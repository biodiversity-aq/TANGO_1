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codeName="ThisWorkbook"/>
  <mc:AlternateContent xmlns:mc="http://schemas.openxmlformats.org/markup-compatibility/2006">
    <mc:Choice Requires="x15">
      <x15ac:absPath xmlns:x15ac="http://schemas.microsoft.com/office/spreadsheetml/2010/11/ac" url="/Users/bruno/Library/CloudStorage/Dropbox/TANGO1_Shared/Data/ALL_DATA/1_RAW/"/>
    </mc:Choice>
  </mc:AlternateContent>
  <xr:revisionPtr revIDLastSave="0" documentId="13_ncr:1_{5B4D6A74-2E02-2F4C-94F6-288E766BA81B}" xr6:coauthVersionLast="47" xr6:coauthVersionMax="47" xr10:uidLastSave="{00000000-0000-0000-0000-000000000000}"/>
  <bookViews>
    <workbookView xWindow="10920" yWindow="600" windowWidth="28800" windowHeight="18000" xr2:uid="{00000000-000D-0000-FFFF-FFFF00000000}"/>
  </bookViews>
  <sheets>
    <sheet name="STATS_Digest" sheetId="10" r:id="rId1"/>
    <sheet name="STATS" sheetId="8" r:id="rId2"/>
    <sheet name="Events" sheetId="1" r:id="rId3"/>
    <sheet name="Samples" sheetId="2" r:id="rId4"/>
    <sheet name="Incubations" sheetId="9" r:id="rId5"/>
    <sheet name="Variables" sheetId="3" state="hidden" r:id="rId6"/>
    <sheet name="Drop-down_menus" sheetId="4" r:id="rId7"/>
    <sheet name="Abbreviations" sheetId="7" r:id="rId8"/>
    <sheet name="LatLong_converter" sheetId="5" r:id="rId9"/>
    <sheet name="SW_parameters" sheetId="6" r:id="rId10"/>
  </sheets>
  <definedNames>
    <definedName name="_xlnm._FilterDatabase" localSheetId="2" hidden="1">Events!$A$1:$AF$175</definedName>
    <definedName name="_xlnm._FilterDatabase" localSheetId="3" hidden="1">Samples!$M$3415:$P$3415</definedName>
    <definedName name="_xlnm._FilterDatabase" localSheetId="1" hidden="1">STATS!$H$1:$H$152</definedName>
    <definedName name="_xlnm.Extract" localSheetId="1">STATS!$J$1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 i="10" l="1"/>
  <c r="I4" i="10"/>
  <c r="I1" i="10"/>
  <c r="U178" i="1"/>
  <c r="U177" i="1"/>
  <c r="U176" i="1"/>
  <c r="T178" i="1"/>
  <c r="T177" i="1"/>
  <c r="T176" i="1"/>
  <c r="E1" i="10"/>
  <c r="E2" i="10"/>
  <c r="E3" i="10"/>
  <c r="E4" i="10"/>
  <c r="E6" i="10"/>
  <c r="E7" i="10"/>
  <c r="E8" i="10"/>
  <c r="E9" i="10"/>
  <c r="E10" i="10"/>
  <c r="E11" i="10"/>
  <c r="E12" i="10"/>
  <c r="E13" i="10"/>
  <c r="E14" i="10"/>
  <c r="E15" i="10"/>
  <c r="E5" i="10"/>
  <c r="K12" i="8"/>
  <c r="F11" i="10" s="1"/>
  <c r="K5" i="8"/>
  <c r="F3" i="10" s="1"/>
  <c r="K11" i="8"/>
  <c r="F10" i="10" s="1"/>
  <c r="K15" i="8"/>
  <c r="F14" i="10" s="1"/>
  <c r="K17" i="8"/>
  <c r="K3" i="8"/>
  <c r="F1" i="10" s="1"/>
  <c r="K13" i="8"/>
  <c r="F12" i="10" s="1"/>
  <c r="K7" i="8"/>
  <c r="F6" i="10" s="1"/>
  <c r="K9" i="8"/>
  <c r="F8" i="10" s="1"/>
  <c r="K10" i="8"/>
  <c r="F9" i="10" s="1"/>
  <c r="K6" i="8"/>
  <c r="F4" i="10" s="1"/>
  <c r="K16" i="8"/>
  <c r="F15" i="10" s="1"/>
  <c r="K14" i="8"/>
  <c r="F13" i="10" s="1"/>
  <c r="K4" i="8"/>
  <c r="K8" i="8"/>
  <c r="F7" i="10" s="1"/>
  <c r="K2" i="8"/>
  <c r="F5" i="10" s="1"/>
  <c r="T100" i="1"/>
  <c r="U100" i="1"/>
  <c r="V100" i="1"/>
  <c r="W100" i="1"/>
  <c r="T101" i="1"/>
  <c r="U101" i="1"/>
  <c r="V101" i="1"/>
  <c r="W101" i="1"/>
  <c r="T102" i="1"/>
  <c r="U102" i="1"/>
  <c r="V102" i="1"/>
  <c r="W102" i="1"/>
  <c r="T103" i="1"/>
  <c r="U103" i="1"/>
  <c r="V103" i="1"/>
  <c r="W103" i="1"/>
  <c r="T104" i="1"/>
  <c r="U104" i="1"/>
  <c r="V104" i="1"/>
  <c r="W104" i="1"/>
  <c r="T105" i="1"/>
  <c r="U105" i="1"/>
  <c r="V105" i="1"/>
  <c r="W105" i="1"/>
  <c r="T106" i="1"/>
  <c r="U106" i="1"/>
  <c r="V106" i="1"/>
  <c r="W106" i="1"/>
  <c r="T107" i="1"/>
  <c r="U107" i="1"/>
  <c r="V107" i="1"/>
  <c r="W107" i="1"/>
  <c r="T108" i="1"/>
  <c r="U108" i="1"/>
  <c r="V108" i="1"/>
  <c r="W108" i="1"/>
  <c r="T109" i="1"/>
  <c r="U109" i="1"/>
  <c r="V109" i="1"/>
  <c r="W109" i="1"/>
  <c r="T110" i="1"/>
  <c r="U110" i="1"/>
  <c r="V110" i="1"/>
  <c r="W110" i="1"/>
  <c r="T111" i="1"/>
  <c r="U111" i="1"/>
  <c r="V111" i="1"/>
  <c r="W111" i="1"/>
  <c r="T112" i="1"/>
  <c r="U112" i="1"/>
  <c r="V112" i="1"/>
  <c r="W112" i="1"/>
  <c r="T113" i="1"/>
  <c r="U113" i="1"/>
  <c r="V113" i="1"/>
  <c r="W113" i="1"/>
  <c r="T114" i="1"/>
  <c r="U114" i="1"/>
  <c r="V114" i="1"/>
  <c r="W114" i="1"/>
  <c r="T115" i="1"/>
  <c r="U115" i="1"/>
  <c r="V115" i="1"/>
  <c r="W115" i="1"/>
  <c r="T116" i="1"/>
  <c r="U116" i="1"/>
  <c r="V116" i="1"/>
  <c r="W116" i="1"/>
  <c r="T117" i="1"/>
  <c r="U117" i="1"/>
  <c r="V117" i="1"/>
  <c r="W117" i="1"/>
  <c r="T118" i="1"/>
  <c r="U118" i="1"/>
  <c r="V118" i="1"/>
  <c r="W118" i="1"/>
  <c r="T119" i="1"/>
  <c r="U119" i="1"/>
  <c r="V119" i="1"/>
  <c r="W119" i="1"/>
  <c r="T120" i="1"/>
  <c r="U120" i="1"/>
  <c r="V120" i="1"/>
  <c r="W120" i="1"/>
  <c r="T121" i="1"/>
  <c r="U121" i="1"/>
  <c r="V121" i="1"/>
  <c r="W121" i="1"/>
  <c r="T122" i="1"/>
  <c r="U122" i="1"/>
  <c r="V122" i="1"/>
  <c r="W122" i="1"/>
  <c r="T123" i="1"/>
  <c r="U123" i="1"/>
  <c r="V123" i="1"/>
  <c r="W123" i="1"/>
  <c r="T124" i="1"/>
  <c r="U124" i="1"/>
  <c r="V124" i="1"/>
  <c r="W124" i="1"/>
  <c r="V125" i="1"/>
  <c r="W125" i="1"/>
  <c r="T126" i="1"/>
  <c r="U126" i="1"/>
  <c r="V126" i="1"/>
  <c r="W126" i="1"/>
  <c r="T127" i="1"/>
  <c r="U127" i="1"/>
  <c r="V127" i="1"/>
  <c r="W127" i="1"/>
  <c r="T128" i="1"/>
  <c r="U128" i="1"/>
  <c r="V128" i="1"/>
  <c r="W128" i="1"/>
  <c r="T129" i="1"/>
  <c r="U129" i="1"/>
  <c r="V129" i="1"/>
  <c r="W129" i="1"/>
  <c r="T130" i="1"/>
  <c r="U130" i="1"/>
  <c r="V130" i="1"/>
  <c r="W130" i="1"/>
  <c r="T131" i="1"/>
  <c r="U131" i="1"/>
  <c r="V131" i="1"/>
  <c r="W131" i="1"/>
  <c r="T132" i="1"/>
  <c r="U132" i="1"/>
  <c r="V132" i="1"/>
  <c r="W132" i="1"/>
  <c r="T133" i="1"/>
  <c r="U133" i="1"/>
  <c r="V133" i="1"/>
  <c r="W133" i="1"/>
  <c r="T134" i="1"/>
  <c r="U134" i="1"/>
  <c r="V134" i="1"/>
  <c r="W134" i="1"/>
  <c r="T135" i="1"/>
  <c r="U135" i="1"/>
  <c r="V135" i="1"/>
  <c r="W135" i="1"/>
  <c r="T136" i="1"/>
  <c r="U136" i="1"/>
  <c r="V136" i="1"/>
  <c r="W136" i="1"/>
  <c r="T137" i="1"/>
  <c r="U137" i="1"/>
  <c r="V137" i="1"/>
  <c r="W137" i="1"/>
  <c r="T138" i="1"/>
  <c r="U138" i="1"/>
  <c r="V138" i="1"/>
  <c r="W138" i="1"/>
  <c r="T139" i="1"/>
  <c r="U139" i="1"/>
  <c r="V139" i="1"/>
  <c r="W139" i="1"/>
  <c r="T140" i="1"/>
  <c r="U140" i="1"/>
  <c r="V140" i="1"/>
  <c r="W140" i="1"/>
  <c r="T141" i="1"/>
  <c r="U141" i="1"/>
  <c r="V141" i="1"/>
  <c r="W141" i="1"/>
  <c r="T142" i="1"/>
  <c r="U142" i="1"/>
  <c r="V142" i="1"/>
  <c r="W142" i="1"/>
  <c r="T143" i="1"/>
  <c r="U143" i="1"/>
  <c r="V143" i="1"/>
  <c r="W143" i="1"/>
  <c r="T144" i="1"/>
  <c r="U144" i="1"/>
  <c r="V144" i="1"/>
  <c r="W144" i="1"/>
  <c r="T145" i="1"/>
  <c r="U145" i="1"/>
  <c r="V145" i="1"/>
  <c r="W145" i="1"/>
  <c r="T146" i="1"/>
  <c r="U146" i="1"/>
  <c r="V146" i="1"/>
  <c r="W146" i="1"/>
  <c r="T147" i="1"/>
  <c r="U147" i="1"/>
  <c r="V147" i="1"/>
  <c r="W147" i="1"/>
  <c r="T148" i="1"/>
  <c r="U148" i="1"/>
  <c r="V148" i="1"/>
  <c r="W148" i="1"/>
  <c r="T149" i="1"/>
  <c r="U149" i="1"/>
  <c r="V149" i="1"/>
  <c r="W149" i="1"/>
  <c r="T150" i="1"/>
  <c r="U150" i="1"/>
  <c r="V150" i="1"/>
  <c r="W150" i="1"/>
  <c r="T151" i="1"/>
  <c r="U151" i="1"/>
  <c r="V151" i="1"/>
  <c r="W151" i="1"/>
  <c r="T152" i="1"/>
  <c r="U152" i="1"/>
  <c r="V152" i="1"/>
  <c r="W152" i="1"/>
  <c r="T153" i="1"/>
  <c r="U153" i="1"/>
  <c r="V153" i="1"/>
  <c r="W153" i="1"/>
  <c r="T154" i="1"/>
  <c r="U154" i="1"/>
  <c r="V154" i="1"/>
  <c r="W154" i="1"/>
  <c r="T155" i="1"/>
  <c r="U155" i="1"/>
  <c r="V155" i="1"/>
  <c r="W155" i="1"/>
  <c r="T156" i="1"/>
  <c r="U156" i="1"/>
  <c r="V156" i="1"/>
  <c r="W156" i="1"/>
  <c r="T157" i="1"/>
  <c r="U157" i="1"/>
  <c r="V157" i="1"/>
  <c r="W157" i="1"/>
  <c r="T158" i="1"/>
  <c r="U158" i="1"/>
  <c r="V158" i="1"/>
  <c r="W158" i="1"/>
  <c r="T159" i="1"/>
  <c r="U159" i="1"/>
  <c r="V159" i="1"/>
  <c r="W159" i="1"/>
  <c r="T160" i="1"/>
  <c r="U160" i="1"/>
  <c r="V160" i="1"/>
  <c r="W160" i="1"/>
  <c r="T161" i="1"/>
  <c r="U161" i="1"/>
  <c r="V161" i="1"/>
  <c r="W161" i="1"/>
  <c r="T162" i="1"/>
  <c r="U162" i="1"/>
  <c r="V162" i="1"/>
  <c r="W162" i="1"/>
  <c r="T163" i="1"/>
  <c r="U163" i="1"/>
  <c r="V163" i="1"/>
  <c r="W163" i="1"/>
  <c r="T164" i="1"/>
  <c r="U164" i="1"/>
  <c r="V164" i="1"/>
  <c r="W164" i="1"/>
  <c r="T165" i="1"/>
  <c r="U165" i="1"/>
  <c r="V165" i="1"/>
  <c r="W165" i="1"/>
  <c r="T166" i="1"/>
  <c r="U166" i="1"/>
  <c r="V166" i="1"/>
  <c r="W166" i="1"/>
  <c r="T167" i="1"/>
  <c r="U167" i="1"/>
  <c r="V167" i="1"/>
  <c r="W167" i="1"/>
  <c r="T168" i="1"/>
  <c r="U168" i="1"/>
  <c r="V168" i="1"/>
  <c r="W168" i="1"/>
  <c r="T169" i="1"/>
  <c r="U169" i="1"/>
  <c r="V169" i="1"/>
  <c r="W169" i="1"/>
  <c r="T170" i="1"/>
  <c r="U170" i="1"/>
  <c r="V170" i="1"/>
  <c r="W170" i="1"/>
  <c r="T171" i="1"/>
  <c r="U171" i="1"/>
  <c r="V171" i="1"/>
  <c r="W171" i="1"/>
  <c r="T172" i="1"/>
  <c r="U172" i="1"/>
  <c r="V172" i="1"/>
  <c r="W172" i="1"/>
  <c r="T173" i="1"/>
  <c r="U173" i="1"/>
  <c r="V173" i="1"/>
  <c r="W173" i="1"/>
  <c r="T174" i="1"/>
  <c r="U174" i="1"/>
  <c r="V174" i="1"/>
  <c r="W174" i="1"/>
  <c r="T175" i="1"/>
  <c r="U175" i="1"/>
  <c r="V175" i="1"/>
  <c r="W175" i="1"/>
  <c r="V99" i="1"/>
  <c r="W99" i="1"/>
  <c r="F2" i="8"/>
  <c r="B3" i="10" s="1"/>
  <c r="F1" i="8"/>
  <c r="B2" i="10" s="1"/>
  <c r="A160" i="8"/>
  <c r="B160" i="8"/>
  <c r="A161" i="8"/>
  <c r="B161" i="8"/>
  <c r="A162" i="8"/>
  <c r="B162" i="8"/>
  <c r="A163" i="8"/>
  <c r="B163" i="8"/>
  <c r="A164" i="8"/>
  <c r="B164" i="8"/>
  <c r="A165" i="8"/>
  <c r="B165" i="8"/>
  <c r="A166" i="8"/>
  <c r="B166" i="8"/>
  <c r="A167" i="8"/>
  <c r="B167" i="8"/>
  <c r="A168" i="8"/>
  <c r="B168" i="8"/>
  <c r="A169" i="8"/>
  <c r="B169" i="8"/>
  <c r="A170" i="8"/>
  <c r="B170" i="8"/>
  <c r="A171" i="8"/>
  <c r="B171" i="8"/>
  <c r="A172" i="8"/>
  <c r="B172" i="8"/>
  <c r="A173" i="8"/>
  <c r="B173" i="8"/>
  <c r="A174" i="8"/>
  <c r="B174" i="8"/>
  <c r="A175" i="8"/>
  <c r="B175" i="8"/>
  <c r="A3" i="8"/>
  <c r="B3" i="8"/>
  <c r="A4" i="8"/>
  <c r="B4" i="8"/>
  <c r="A5" i="8"/>
  <c r="B5" i="8"/>
  <c r="A6" i="8"/>
  <c r="B6" i="8"/>
  <c r="A7" i="8"/>
  <c r="B7" i="8"/>
  <c r="A8" i="8"/>
  <c r="B8" i="8"/>
  <c r="A9" i="8"/>
  <c r="B9" i="8"/>
  <c r="A10" i="8"/>
  <c r="B10" i="8"/>
  <c r="A11" i="8"/>
  <c r="B11" i="8"/>
  <c r="A12" i="8"/>
  <c r="B12" i="8"/>
  <c r="A13" i="8"/>
  <c r="B13" i="8"/>
  <c r="A14" i="8"/>
  <c r="B14" i="8"/>
  <c r="A15" i="8"/>
  <c r="B15" i="8"/>
  <c r="A16" i="8"/>
  <c r="B16" i="8"/>
  <c r="A17" i="8"/>
  <c r="B17" i="8"/>
  <c r="A18" i="8"/>
  <c r="B18" i="8"/>
  <c r="A19" i="8"/>
  <c r="B19" i="8"/>
  <c r="A20" i="8"/>
  <c r="B20" i="8"/>
  <c r="A21" i="8"/>
  <c r="B21" i="8"/>
  <c r="A22" i="8"/>
  <c r="B22" i="8"/>
  <c r="A23" i="8"/>
  <c r="B23" i="8"/>
  <c r="A24" i="8"/>
  <c r="B24" i="8"/>
  <c r="A25" i="8"/>
  <c r="B25" i="8"/>
  <c r="A26" i="8"/>
  <c r="B26" i="8"/>
  <c r="A27" i="8"/>
  <c r="B27" i="8"/>
  <c r="A28" i="8"/>
  <c r="B28" i="8"/>
  <c r="A29" i="8"/>
  <c r="B29" i="8"/>
  <c r="A30" i="8"/>
  <c r="B30" i="8"/>
  <c r="A31" i="8"/>
  <c r="B31" i="8"/>
  <c r="A32" i="8"/>
  <c r="B32" i="8"/>
  <c r="A33" i="8"/>
  <c r="B33" i="8"/>
  <c r="A34" i="8"/>
  <c r="B34" i="8"/>
  <c r="A35" i="8"/>
  <c r="B35" i="8"/>
  <c r="A36" i="8"/>
  <c r="B36" i="8"/>
  <c r="A37" i="8"/>
  <c r="B37" i="8"/>
  <c r="A38" i="8"/>
  <c r="B38" i="8"/>
  <c r="A39" i="8"/>
  <c r="B39" i="8"/>
  <c r="A40" i="8"/>
  <c r="B40" i="8"/>
  <c r="A41" i="8"/>
  <c r="B41" i="8"/>
  <c r="A42" i="8"/>
  <c r="B42" i="8"/>
  <c r="A43" i="8"/>
  <c r="B43" i="8"/>
  <c r="A44" i="8"/>
  <c r="B44" i="8"/>
  <c r="A45" i="8"/>
  <c r="B45" i="8"/>
  <c r="A46" i="8"/>
  <c r="B46" i="8"/>
  <c r="A47" i="8"/>
  <c r="B47" i="8"/>
  <c r="A48" i="8"/>
  <c r="B48" i="8"/>
  <c r="A49" i="8"/>
  <c r="B49" i="8"/>
  <c r="A50" i="8"/>
  <c r="B50" i="8"/>
  <c r="A51" i="8"/>
  <c r="B51" i="8"/>
  <c r="A52" i="8"/>
  <c r="B52" i="8"/>
  <c r="A53" i="8"/>
  <c r="B53" i="8"/>
  <c r="A54" i="8"/>
  <c r="B54" i="8"/>
  <c r="A55" i="8"/>
  <c r="B55" i="8"/>
  <c r="A56" i="8"/>
  <c r="B56" i="8"/>
  <c r="A57" i="8"/>
  <c r="B57" i="8"/>
  <c r="A58" i="8"/>
  <c r="B58" i="8"/>
  <c r="A59" i="8"/>
  <c r="B59" i="8"/>
  <c r="A60" i="8"/>
  <c r="B60" i="8"/>
  <c r="A61" i="8"/>
  <c r="B61" i="8"/>
  <c r="A62" i="8"/>
  <c r="B62" i="8"/>
  <c r="A63" i="8"/>
  <c r="B63" i="8"/>
  <c r="A64" i="8"/>
  <c r="B64" i="8"/>
  <c r="A65" i="8"/>
  <c r="B65" i="8"/>
  <c r="A66" i="8"/>
  <c r="B66" i="8"/>
  <c r="A67" i="8"/>
  <c r="B67" i="8"/>
  <c r="A68" i="8"/>
  <c r="B68" i="8"/>
  <c r="A69" i="8"/>
  <c r="B69" i="8"/>
  <c r="A70" i="8"/>
  <c r="B70" i="8"/>
  <c r="A71" i="8"/>
  <c r="B71" i="8"/>
  <c r="A72" i="8"/>
  <c r="B72" i="8"/>
  <c r="A73" i="8"/>
  <c r="B73" i="8"/>
  <c r="A74" i="8"/>
  <c r="B74" i="8"/>
  <c r="A75" i="8"/>
  <c r="B75" i="8"/>
  <c r="A76" i="8"/>
  <c r="B76" i="8"/>
  <c r="A77" i="8"/>
  <c r="B77" i="8"/>
  <c r="A78" i="8"/>
  <c r="B78" i="8"/>
  <c r="A79" i="8"/>
  <c r="B79" i="8"/>
  <c r="A80" i="8"/>
  <c r="B80" i="8"/>
  <c r="A81" i="8"/>
  <c r="B81" i="8"/>
  <c r="A82" i="8"/>
  <c r="B82" i="8"/>
  <c r="A83" i="8"/>
  <c r="B83" i="8"/>
  <c r="A84" i="8"/>
  <c r="B84" i="8"/>
  <c r="A85" i="8"/>
  <c r="B85" i="8"/>
  <c r="A86" i="8"/>
  <c r="B86" i="8"/>
  <c r="A87" i="8"/>
  <c r="B87" i="8"/>
  <c r="A88" i="8"/>
  <c r="B88" i="8"/>
  <c r="A89" i="8"/>
  <c r="B89" i="8"/>
  <c r="A90" i="8"/>
  <c r="B90" i="8"/>
  <c r="A91" i="8"/>
  <c r="B91" i="8"/>
  <c r="A92" i="8"/>
  <c r="B92" i="8"/>
  <c r="A93" i="8"/>
  <c r="B93" i="8"/>
  <c r="A94" i="8"/>
  <c r="B94" i="8"/>
  <c r="A95" i="8"/>
  <c r="B95" i="8"/>
  <c r="A96" i="8"/>
  <c r="B96" i="8"/>
  <c r="A97" i="8"/>
  <c r="B97" i="8"/>
  <c r="A98" i="8"/>
  <c r="B98" i="8"/>
  <c r="A99" i="8"/>
  <c r="B99" i="8"/>
  <c r="A100" i="8"/>
  <c r="B100" i="8"/>
  <c r="A101" i="8"/>
  <c r="B101" i="8"/>
  <c r="A102" i="8"/>
  <c r="B102" i="8"/>
  <c r="A103" i="8"/>
  <c r="B103" i="8"/>
  <c r="A104" i="8"/>
  <c r="B104" i="8"/>
  <c r="A105" i="8"/>
  <c r="B105" i="8"/>
  <c r="A106" i="8"/>
  <c r="B106" i="8"/>
  <c r="A107" i="8"/>
  <c r="B107" i="8"/>
  <c r="A108" i="8"/>
  <c r="B108" i="8"/>
  <c r="A109" i="8"/>
  <c r="B109" i="8"/>
  <c r="A110" i="8"/>
  <c r="B110" i="8"/>
  <c r="A111" i="8"/>
  <c r="B111" i="8"/>
  <c r="A112" i="8"/>
  <c r="B112" i="8"/>
  <c r="A113" i="8"/>
  <c r="B113" i="8"/>
  <c r="A114" i="8"/>
  <c r="B114" i="8"/>
  <c r="A115" i="8"/>
  <c r="B115" i="8"/>
  <c r="A116" i="8"/>
  <c r="B116" i="8"/>
  <c r="A117" i="8"/>
  <c r="B117" i="8"/>
  <c r="A118" i="8"/>
  <c r="B118" i="8"/>
  <c r="A119" i="8"/>
  <c r="B119" i="8"/>
  <c r="A120" i="8"/>
  <c r="B120" i="8"/>
  <c r="A121" i="8"/>
  <c r="B121" i="8"/>
  <c r="A122" i="8"/>
  <c r="B122" i="8"/>
  <c r="A123" i="8"/>
  <c r="B123" i="8"/>
  <c r="A124" i="8"/>
  <c r="B124" i="8"/>
  <c r="A125" i="8"/>
  <c r="B125" i="8"/>
  <c r="A126" i="8"/>
  <c r="B126" i="8"/>
  <c r="A127" i="8"/>
  <c r="B127" i="8"/>
  <c r="A128" i="8"/>
  <c r="B128" i="8"/>
  <c r="A129" i="8"/>
  <c r="B129" i="8"/>
  <c r="A130" i="8"/>
  <c r="B130" i="8"/>
  <c r="A131" i="8"/>
  <c r="B131" i="8"/>
  <c r="A132" i="8"/>
  <c r="B132" i="8"/>
  <c r="A133" i="8"/>
  <c r="B133" i="8"/>
  <c r="A134" i="8"/>
  <c r="B134" i="8"/>
  <c r="A135" i="8"/>
  <c r="B135" i="8"/>
  <c r="A136" i="8"/>
  <c r="B136" i="8"/>
  <c r="A137" i="8"/>
  <c r="B137" i="8"/>
  <c r="A138" i="8"/>
  <c r="B138" i="8"/>
  <c r="A139" i="8"/>
  <c r="B139" i="8"/>
  <c r="A140" i="8"/>
  <c r="B140" i="8"/>
  <c r="A141" i="8"/>
  <c r="B141" i="8"/>
  <c r="A142" i="8"/>
  <c r="B142" i="8"/>
  <c r="A143" i="8"/>
  <c r="B143" i="8"/>
  <c r="A144" i="8"/>
  <c r="B144" i="8"/>
  <c r="A145" i="8"/>
  <c r="B145" i="8"/>
  <c r="A146" i="8"/>
  <c r="B146" i="8"/>
  <c r="A147" i="8"/>
  <c r="B147" i="8"/>
  <c r="A148" i="8"/>
  <c r="B148" i="8"/>
  <c r="A149" i="8"/>
  <c r="B149" i="8"/>
  <c r="A150" i="8"/>
  <c r="B150" i="8"/>
  <c r="A151" i="8"/>
  <c r="B151" i="8"/>
  <c r="A152" i="8"/>
  <c r="B152" i="8"/>
  <c r="A153" i="8"/>
  <c r="B153" i="8"/>
  <c r="A154" i="8"/>
  <c r="B154" i="8"/>
  <c r="A155" i="8"/>
  <c r="B155" i="8"/>
  <c r="A156" i="8"/>
  <c r="B156" i="8"/>
  <c r="A157" i="8"/>
  <c r="B157" i="8"/>
  <c r="A158" i="8"/>
  <c r="B158" i="8"/>
  <c r="A159" i="8"/>
  <c r="B159" i="8"/>
  <c r="B2" i="8"/>
  <c r="A2" i="8"/>
  <c r="T96" i="1"/>
  <c r="U96" i="1"/>
  <c r="V96" i="1"/>
  <c r="W96" i="1"/>
  <c r="T92" i="1"/>
  <c r="U92" i="1"/>
  <c r="V92" i="1"/>
  <c r="W92" i="1"/>
  <c r="T93" i="1"/>
  <c r="U93" i="1"/>
  <c r="V93" i="1"/>
  <c r="W93" i="1"/>
  <c r="T94" i="1"/>
  <c r="U94" i="1"/>
  <c r="V94" i="1"/>
  <c r="W94" i="1"/>
  <c r="T95" i="1"/>
  <c r="U95" i="1"/>
  <c r="V95" i="1"/>
  <c r="W95" i="1"/>
  <c r="T97" i="1"/>
  <c r="U97" i="1"/>
  <c r="V97" i="1"/>
  <c r="W97" i="1"/>
  <c r="T98" i="1"/>
  <c r="U98" i="1"/>
  <c r="V98" i="1"/>
  <c r="W98" i="1"/>
  <c r="V79" i="1"/>
  <c r="T79" i="1"/>
  <c r="W91" i="1"/>
  <c r="V91" i="1"/>
  <c r="U91" i="1"/>
  <c r="T91" i="1"/>
  <c r="W90" i="1"/>
  <c r="V90" i="1"/>
  <c r="U90" i="1"/>
  <c r="T90" i="1"/>
  <c r="W89" i="1"/>
  <c r="V89" i="1"/>
  <c r="U89" i="1"/>
  <c r="T89" i="1"/>
  <c r="W88" i="1"/>
  <c r="V88" i="1"/>
  <c r="U88" i="1"/>
  <c r="T88" i="1"/>
  <c r="W87" i="1"/>
  <c r="V87" i="1"/>
  <c r="U87" i="1"/>
  <c r="T87" i="1"/>
  <c r="W86" i="1"/>
  <c r="V86" i="1"/>
  <c r="U86" i="1"/>
  <c r="T86" i="1"/>
  <c r="T74" i="1"/>
  <c r="U74" i="1"/>
  <c r="V74" i="1"/>
  <c r="W74" i="1"/>
  <c r="T75" i="1"/>
  <c r="U75" i="1"/>
  <c r="V75" i="1"/>
  <c r="W75" i="1"/>
  <c r="T76" i="1"/>
  <c r="U76" i="1"/>
  <c r="V76" i="1"/>
  <c r="W76" i="1"/>
  <c r="T77" i="1"/>
  <c r="U77" i="1"/>
  <c r="V77" i="1"/>
  <c r="W77" i="1"/>
  <c r="T78" i="1"/>
  <c r="U78" i="1"/>
  <c r="V78" i="1"/>
  <c r="W78" i="1"/>
  <c r="U79" i="1"/>
  <c r="W79" i="1"/>
  <c r="T80" i="1"/>
  <c r="U80" i="1"/>
  <c r="V80" i="1"/>
  <c r="W80" i="1"/>
  <c r="T81" i="1"/>
  <c r="U81" i="1"/>
  <c r="V81" i="1"/>
  <c r="W81" i="1"/>
  <c r="T82" i="1"/>
  <c r="U82" i="1"/>
  <c r="V82" i="1"/>
  <c r="W82" i="1"/>
  <c r="T83" i="1"/>
  <c r="U83" i="1"/>
  <c r="V83" i="1"/>
  <c r="W83" i="1"/>
  <c r="T84" i="1"/>
  <c r="U84" i="1"/>
  <c r="V84" i="1"/>
  <c r="W84" i="1"/>
  <c r="T85" i="1"/>
  <c r="U85" i="1"/>
  <c r="V85" i="1"/>
  <c r="W85" i="1"/>
  <c r="W73" i="1"/>
  <c r="V73" i="1"/>
  <c r="U73" i="1"/>
  <c r="T73" i="1"/>
  <c r="T58" i="1"/>
  <c r="U58" i="1"/>
  <c r="V58" i="1"/>
  <c r="W58" i="1"/>
  <c r="T59" i="1"/>
  <c r="U59" i="1"/>
  <c r="V59" i="1"/>
  <c r="W59" i="1"/>
  <c r="T60" i="1"/>
  <c r="U60" i="1"/>
  <c r="V60" i="1"/>
  <c r="W60" i="1"/>
  <c r="T61" i="1"/>
  <c r="U61" i="1"/>
  <c r="V61" i="1"/>
  <c r="W61" i="1"/>
  <c r="T62" i="1"/>
  <c r="U62" i="1"/>
  <c r="V62" i="1"/>
  <c r="W62" i="1"/>
  <c r="T63" i="1"/>
  <c r="U63" i="1"/>
  <c r="V63" i="1"/>
  <c r="W63" i="1"/>
  <c r="T64" i="1"/>
  <c r="U64" i="1"/>
  <c r="V64" i="1"/>
  <c r="W64" i="1"/>
  <c r="T65" i="1"/>
  <c r="U65" i="1"/>
  <c r="V65" i="1"/>
  <c r="W65" i="1"/>
  <c r="T66" i="1"/>
  <c r="U66" i="1"/>
  <c r="V66" i="1"/>
  <c r="W66" i="1"/>
  <c r="T67" i="1"/>
  <c r="U67" i="1"/>
  <c r="V67" i="1"/>
  <c r="W67" i="1"/>
  <c r="T68" i="1"/>
  <c r="U68" i="1"/>
  <c r="V68" i="1"/>
  <c r="W68" i="1"/>
  <c r="T69" i="1"/>
  <c r="U69" i="1"/>
  <c r="V69" i="1"/>
  <c r="W69" i="1"/>
  <c r="T70" i="1"/>
  <c r="U70" i="1"/>
  <c r="V70" i="1"/>
  <c r="W70" i="1"/>
  <c r="T71" i="1"/>
  <c r="U71" i="1"/>
  <c r="V71" i="1"/>
  <c r="W71" i="1"/>
  <c r="T72" i="1"/>
  <c r="U72" i="1"/>
  <c r="V72" i="1"/>
  <c r="W72" i="1"/>
  <c r="W57" i="1"/>
  <c r="V57" i="1"/>
  <c r="U57" i="1"/>
  <c r="T57" i="1"/>
  <c r="W56" i="1"/>
  <c r="V56" i="1"/>
  <c r="U56" i="1"/>
  <c r="T56" i="1"/>
  <c r="W55" i="1"/>
  <c r="V55" i="1"/>
  <c r="U55" i="1"/>
  <c r="T55" i="1"/>
  <c r="W54" i="1"/>
  <c r="V54" i="1"/>
  <c r="U54" i="1"/>
  <c r="T54" i="1"/>
  <c r="W51" i="1"/>
  <c r="V51" i="1"/>
  <c r="U51" i="1"/>
  <c r="T51" i="1"/>
  <c r="W50" i="1"/>
  <c r="V50" i="1"/>
  <c r="U50" i="1"/>
  <c r="T50" i="1"/>
  <c r="W49" i="1"/>
  <c r="V49" i="1"/>
  <c r="U49" i="1"/>
  <c r="T49" i="1"/>
  <c r="W48" i="1"/>
  <c r="V48" i="1"/>
  <c r="U48" i="1"/>
  <c r="T48" i="1"/>
  <c r="W27" i="1"/>
  <c r="W28" i="1"/>
  <c r="W29" i="1"/>
  <c r="W30" i="1"/>
  <c r="W31" i="1"/>
  <c r="W32" i="1"/>
  <c r="W33" i="1"/>
  <c r="W34" i="1"/>
  <c r="W35" i="1"/>
  <c r="W36" i="1"/>
  <c r="W37" i="1"/>
  <c r="W38" i="1"/>
  <c r="W39" i="1"/>
  <c r="W40" i="1"/>
  <c r="W41" i="1"/>
  <c r="W42" i="1"/>
  <c r="W43" i="1"/>
  <c r="W44" i="1"/>
  <c r="W45" i="1"/>
  <c r="W46" i="1"/>
  <c r="W47" i="1"/>
  <c r="T26" i="1"/>
  <c r="U26" i="1"/>
  <c r="V26" i="1"/>
  <c r="W26" i="1"/>
  <c r="T27" i="1"/>
  <c r="U27" i="1"/>
  <c r="V27" i="1"/>
  <c r="T28" i="1"/>
  <c r="U28" i="1"/>
  <c r="V28" i="1"/>
  <c r="T29" i="1"/>
  <c r="U29" i="1"/>
  <c r="V29" i="1"/>
  <c r="T30" i="1"/>
  <c r="U30" i="1"/>
  <c r="V30" i="1"/>
  <c r="T31" i="1"/>
  <c r="U31" i="1"/>
  <c r="V31" i="1"/>
  <c r="T32" i="1"/>
  <c r="U32" i="1"/>
  <c r="V32" i="1"/>
  <c r="T33" i="1"/>
  <c r="U33" i="1"/>
  <c r="V33" i="1"/>
  <c r="T34" i="1"/>
  <c r="U34" i="1"/>
  <c r="V34" i="1"/>
  <c r="T35" i="1"/>
  <c r="U35" i="1"/>
  <c r="V35" i="1"/>
  <c r="T36" i="1"/>
  <c r="U36" i="1"/>
  <c r="V36" i="1"/>
  <c r="T37" i="1"/>
  <c r="U37" i="1"/>
  <c r="V37" i="1"/>
  <c r="T38" i="1"/>
  <c r="U38" i="1"/>
  <c r="V38" i="1"/>
  <c r="T39" i="1"/>
  <c r="U39" i="1"/>
  <c r="V39" i="1"/>
  <c r="T40" i="1"/>
  <c r="U40" i="1"/>
  <c r="V40" i="1"/>
  <c r="T41" i="1"/>
  <c r="U41" i="1"/>
  <c r="V41" i="1"/>
  <c r="T42" i="1"/>
  <c r="U42" i="1"/>
  <c r="V42" i="1"/>
  <c r="T43" i="1"/>
  <c r="U43" i="1"/>
  <c r="V43" i="1"/>
  <c r="T44" i="1"/>
  <c r="U44" i="1"/>
  <c r="V44" i="1"/>
  <c r="T45" i="1"/>
  <c r="U45" i="1"/>
  <c r="V45" i="1"/>
  <c r="T46" i="1"/>
  <c r="U46" i="1"/>
  <c r="V46" i="1"/>
  <c r="T47" i="1"/>
  <c r="U47" i="1"/>
  <c r="V47" i="1"/>
  <c r="T3" i="1"/>
  <c r="U3" i="1"/>
  <c r="V3" i="1"/>
  <c r="W3" i="1"/>
  <c r="T4" i="1"/>
  <c r="U4" i="1"/>
  <c r="V4" i="1"/>
  <c r="W4" i="1"/>
  <c r="T5" i="1"/>
  <c r="U5" i="1"/>
  <c r="V5" i="1"/>
  <c r="W5" i="1"/>
  <c r="T6" i="1"/>
  <c r="U6" i="1"/>
  <c r="V6" i="1"/>
  <c r="W6" i="1"/>
  <c r="T7" i="1"/>
  <c r="U7" i="1"/>
  <c r="V7" i="1"/>
  <c r="W7" i="1"/>
  <c r="T8" i="1"/>
  <c r="U8" i="1"/>
  <c r="V8" i="1"/>
  <c r="W8" i="1"/>
  <c r="V9" i="1"/>
  <c r="W9" i="1"/>
  <c r="T10" i="1"/>
  <c r="U10" i="1"/>
  <c r="V10" i="1"/>
  <c r="W10" i="1"/>
  <c r="T11" i="1"/>
  <c r="U11" i="1"/>
  <c r="V11" i="1"/>
  <c r="W11" i="1"/>
  <c r="T12" i="1"/>
  <c r="U12" i="1"/>
  <c r="V12" i="1"/>
  <c r="W12" i="1"/>
  <c r="T13" i="1"/>
  <c r="U13" i="1"/>
  <c r="V13" i="1"/>
  <c r="W13" i="1"/>
  <c r="T14" i="1"/>
  <c r="U14" i="1"/>
  <c r="V14" i="1"/>
  <c r="W14" i="1"/>
  <c r="T15" i="1"/>
  <c r="U15" i="1"/>
  <c r="V15" i="1"/>
  <c r="W15" i="1"/>
  <c r="T16" i="1"/>
  <c r="U16" i="1"/>
  <c r="V16" i="1"/>
  <c r="W16" i="1"/>
  <c r="T17" i="1"/>
  <c r="U17" i="1"/>
  <c r="V17" i="1"/>
  <c r="W17" i="1"/>
  <c r="T18" i="1"/>
  <c r="U18" i="1"/>
  <c r="V18" i="1"/>
  <c r="W18" i="1"/>
  <c r="T19" i="1"/>
  <c r="U19" i="1"/>
  <c r="V19" i="1"/>
  <c r="W19" i="1"/>
  <c r="T20" i="1"/>
  <c r="U20" i="1"/>
  <c r="V20" i="1"/>
  <c r="W20" i="1"/>
  <c r="T21" i="1"/>
  <c r="U21" i="1"/>
  <c r="V21" i="1"/>
  <c r="W21" i="1"/>
  <c r="T22" i="1"/>
  <c r="U22" i="1"/>
  <c r="V22" i="1"/>
  <c r="W22" i="1"/>
  <c r="T23" i="1"/>
  <c r="U23" i="1"/>
  <c r="V23" i="1"/>
  <c r="W23" i="1"/>
  <c r="T24" i="1"/>
  <c r="U24" i="1"/>
  <c r="V24" i="1"/>
  <c r="W24" i="1"/>
  <c r="T25" i="1"/>
  <c r="U25" i="1"/>
  <c r="V25" i="1"/>
  <c r="W25" i="1"/>
  <c r="W2" i="1"/>
  <c r="V2" i="1"/>
  <c r="U2" i="1"/>
  <c r="T2" i="1"/>
  <c r="B11" i="5"/>
  <c r="B7" i="5"/>
  <c r="C112" i="8" l="1"/>
  <c r="C158" i="8"/>
  <c r="C154" i="8"/>
  <c r="C150" i="8"/>
  <c r="C146" i="8"/>
  <c r="C142" i="8"/>
  <c r="C138" i="8"/>
  <c r="C134" i="8"/>
  <c r="C130" i="8"/>
  <c r="C126" i="8"/>
  <c r="C122" i="8"/>
  <c r="C118" i="8"/>
  <c r="C114" i="8"/>
  <c r="C110" i="8"/>
  <c r="C106" i="8"/>
  <c r="C102" i="8"/>
  <c r="C98" i="8"/>
  <c r="C94" i="8"/>
  <c r="C90" i="8"/>
  <c r="C86" i="8"/>
  <c r="C82" i="8"/>
  <c r="C78" i="8"/>
  <c r="C74" i="8"/>
  <c r="C70" i="8"/>
  <c r="C66" i="8"/>
  <c r="C62" i="8"/>
  <c r="C58" i="8"/>
  <c r="C54" i="8"/>
  <c r="C50" i="8"/>
  <c r="C46" i="8"/>
  <c r="C42" i="8"/>
  <c r="C38" i="8"/>
  <c r="C34" i="8"/>
  <c r="C30" i="8"/>
  <c r="C26" i="8"/>
  <c r="C22" i="8"/>
  <c r="C18" i="8"/>
  <c r="C14" i="8"/>
  <c r="C10" i="8"/>
  <c r="C6" i="8"/>
  <c r="C175" i="8"/>
  <c r="C171" i="8"/>
  <c r="C159" i="8"/>
  <c r="C155" i="8"/>
  <c r="C151" i="8"/>
  <c r="C147" i="8"/>
  <c r="C143" i="8"/>
  <c r="C139" i="8"/>
  <c r="C135" i="8"/>
  <c r="C131" i="8"/>
  <c r="C127" i="8"/>
  <c r="C123" i="8"/>
  <c r="C119" i="8"/>
  <c r="C115" i="8"/>
  <c r="C111" i="8"/>
  <c r="C163" i="8"/>
  <c r="C167" i="8"/>
  <c r="C156" i="8"/>
  <c r="C152" i="8"/>
  <c r="C148" i="8"/>
  <c r="C144" i="8"/>
  <c r="C136" i="8"/>
  <c r="C132" i="8"/>
  <c r="C128" i="8"/>
  <c r="C124" i="8"/>
  <c r="C120" i="8"/>
  <c r="C116" i="8"/>
  <c r="C108" i="8"/>
  <c r="C104" i="8"/>
  <c r="C100" i="8"/>
  <c r="C96" i="8"/>
  <c r="C92" i="8"/>
  <c r="C88" i="8"/>
  <c r="C84" i="8"/>
  <c r="C80" i="8"/>
  <c r="C72" i="8"/>
  <c r="C68" i="8"/>
  <c r="C64" i="8"/>
  <c r="C60" i="8"/>
  <c r="C56" i="8"/>
  <c r="C52" i="8"/>
  <c r="C48" i="8"/>
  <c r="C44" i="8"/>
  <c r="C40" i="8"/>
  <c r="C36" i="8"/>
  <c r="C32" i="8"/>
  <c r="C28" i="8"/>
  <c r="C24" i="8"/>
  <c r="C20" i="8"/>
  <c r="C16" i="8"/>
  <c r="C12" i="8"/>
  <c r="C8" i="8"/>
  <c r="C4" i="8"/>
  <c r="C173" i="8"/>
  <c r="C161" i="8"/>
  <c r="C107" i="8"/>
  <c r="C153" i="8"/>
  <c r="C149" i="8"/>
  <c r="C145" i="8"/>
  <c r="C141" i="8"/>
  <c r="C137" i="8"/>
  <c r="C133" i="8"/>
  <c r="C129" i="8"/>
  <c r="C125" i="8"/>
  <c r="C121" i="8"/>
  <c r="C117" i="8"/>
  <c r="C113" i="8"/>
  <c r="C109" i="8"/>
  <c r="C105" i="8"/>
  <c r="C101" i="8"/>
  <c r="C97" i="8"/>
  <c r="C93" i="8"/>
  <c r="C89" i="8"/>
  <c r="C85" i="8"/>
  <c r="C81" i="8"/>
  <c r="C77" i="8"/>
  <c r="C73" i="8"/>
  <c r="C69" i="8"/>
  <c r="C65" i="8"/>
  <c r="C61" i="8"/>
  <c r="C57" i="8"/>
  <c r="C53" i="8"/>
  <c r="C49" i="8"/>
  <c r="C45" i="8"/>
  <c r="C41" i="8"/>
  <c r="C37" i="8"/>
  <c r="C33" i="8"/>
  <c r="C29" i="8"/>
  <c r="C25" i="8"/>
  <c r="C21" i="8"/>
  <c r="C17" i="8"/>
  <c r="C13" i="8"/>
  <c r="C9" i="8"/>
  <c r="C5" i="8"/>
  <c r="C174" i="8"/>
  <c r="C166" i="8"/>
  <c r="C162" i="8"/>
  <c r="C169" i="8"/>
  <c r="C170" i="8"/>
  <c r="C157" i="8"/>
  <c r="C103" i="8"/>
  <c r="C99" i="8"/>
  <c r="C95" i="8"/>
  <c r="C91" i="8"/>
  <c r="C87" i="8"/>
  <c r="C83" i="8"/>
  <c r="C79" i="8"/>
  <c r="C75" i="8"/>
  <c r="C71" i="8"/>
  <c r="C67" i="8"/>
  <c r="C63" i="8"/>
  <c r="C59" i="8"/>
  <c r="C55" i="8"/>
  <c r="C51" i="8"/>
  <c r="C47" i="8"/>
  <c r="C43" i="8"/>
  <c r="C39" i="8"/>
  <c r="C35" i="8"/>
  <c r="C31" i="8"/>
  <c r="C27" i="8"/>
  <c r="C23" i="8"/>
  <c r="C19" i="8"/>
  <c r="C15" i="8"/>
  <c r="C11" i="8"/>
  <c r="C7" i="8"/>
  <c r="C3" i="8"/>
  <c r="C172" i="8"/>
  <c r="C168" i="8"/>
  <c r="C164" i="8"/>
  <c r="C160" i="8"/>
  <c r="C140" i="8"/>
  <c r="C165" i="8"/>
  <c r="C76" i="8"/>
  <c r="C2" i="8"/>
  <c r="B1" i="8" l="1"/>
  <c r="B1" i="10" s="1"/>
</calcChain>
</file>

<file path=xl/sharedStrings.xml><?xml version="1.0" encoding="utf-8"?>
<sst xmlns="http://schemas.openxmlformats.org/spreadsheetml/2006/main" count="29031" uniqueCount="1314">
  <si>
    <t>eventID</t>
  </si>
  <si>
    <t>parentEventID</t>
  </si>
  <si>
    <t>eventDate</t>
  </si>
  <si>
    <t>Collector</t>
  </si>
  <si>
    <t>Time start (UTC-3)</t>
  </si>
  <si>
    <t>Time end (UTC-3)</t>
  </si>
  <si>
    <t>Time start (UTC)</t>
  </si>
  <si>
    <t>Time end (UTC)</t>
  </si>
  <si>
    <t>Latitude start (degree)</t>
  </si>
  <si>
    <t>Latitude start (decimal minutes)</t>
  </si>
  <si>
    <t>Longitude start (degree)</t>
  </si>
  <si>
    <t>Longitude start (decimal minutes)</t>
  </si>
  <si>
    <t>Latitude end (degree)</t>
  </si>
  <si>
    <t>Latitude end (decimal minutes)</t>
  </si>
  <si>
    <t>Longitude end (degree)</t>
  </si>
  <si>
    <t>Longitude end (decimal minutes)</t>
  </si>
  <si>
    <t>Latitude start</t>
  </si>
  <si>
    <t>Longitude start</t>
  </si>
  <si>
    <t>Latitude end</t>
  </si>
  <si>
    <t>Longitude end</t>
  </si>
  <si>
    <t>Station Name</t>
  </si>
  <si>
    <t>Minimum depth (m)</t>
  </si>
  <si>
    <t>Maximum depth(m)</t>
  </si>
  <si>
    <t>Max Altitude (m)</t>
  </si>
  <si>
    <t>Bottom Depth (m)</t>
  </si>
  <si>
    <t>Habitat</t>
  </si>
  <si>
    <t>Sampling protocol</t>
  </si>
  <si>
    <t>Gear Type</t>
  </si>
  <si>
    <t>Event Remarks</t>
  </si>
  <si>
    <t>DR_1</t>
  </si>
  <si>
    <t>Bruno Danis</t>
  </si>
  <si>
    <t>Dodman Island</t>
  </si>
  <si>
    <t xml:space="preserve">Mavic 2 PRO </t>
  </si>
  <si>
    <t>Scouting, 500m alt</t>
  </si>
  <si>
    <t>ROV_1</t>
  </si>
  <si>
    <t>Lea Katz</t>
  </si>
  <si>
    <t>BlueROV</t>
  </si>
  <si>
    <t>1 big quadrat</t>
  </si>
  <si>
    <t>ROV_2</t>
  </si>
  <si>
    <t>1 quadrat + 1 transect</t>
  </si>
  <si>
    <t>ROV_3</t>
  </si>
  <si>
    <t>Transect tests</t>
  </si>
  <si>
    <t>CTD_1</t>
  </si>
  <si>
    <t>Axelle Brusselman</t>
  </si>
  <si>
    <t>STAR_ODDI DST CTD</t>
  </si>
  <si>
    <t>RD_1</t>
  </si>
  <si>
    <t>Henri Robert</t>
  </si>
  <si>
    <t>Camille Moreau</t>
  </si>
  <si>
    <t>RD_2</t>
  </si>
  <si>
    <t>ST_1</t>
  </si>
  <si>
    <t>Bruno Delille</t>
  </si>
  <si>
    <t>Deployment</t>
  </si>
  <si>
    <t>ZZ_1</t>
  </si>
  <si>
    <t>Bombard C4</t>
  </si>
  <si>
    <t>Scouting</t>
  </si>
  <si>
    <t>AT_1</t>
  </si>
  <si>
    <t>RD_3</t>
  </si>
  <si>
    <t>SCUBA_1</t>
  </si>
  <si>
    <t>Francesca Pasotti</t>
  </si>
  <si>
    <t>SCUBA</t>
  </si>
  <si>
    <t>Glove Leak FP</t>
  </si>
  <si>
    <t>SCUBA_2</t>
  </si>
  <si>
    <t>Martin Dogniez</t>
  </si>
  <si>
    <t>Sterechinus sampling</t>
  </si>
  <si>
    <t>SCUBA_3</t>
  </si>
  <si>
    <t>Glove Leak FP + core dysfunction</t>
  </si>
  <si>
    <t>CTD_2</t>
  </si>
  <si>
    <t>Test</t>
  </si>
  <si>
    <t>CTD_3</t>
  </si>
  <si>
    <t>CTD_4</t>
  </si>
  <si>
    <t>ROV_4</t>
  </si>
  <si>
    <t>3 quadrats</t>
  </si>
  <si>
    <t>DRM_1</t>
  </si>
  <si>
    <t>DroneDeploy Photogrammetry</t>
  </si>
  <si>
    <t>DRM_2</t>
  </si>
  <si>
    <t>ITD_1</t>
  </si>
  <si>
    <t>Sample for Guillaume Schwob</t>
  </si>
  <si>
    <t>NIS_1</t>
  </si>
  <si>
    <t>NISKIN 3L</t>
  </si>
  <si>
    <t>NIS_2</t>
  </si>
  <si>
    <t>NIS_3</t>
  </si>
  <si>
    <t>NIS_4</t>
  </si>
  <si>
    <t>RD_4</t>
  </si>
  <si>
    <t>NIS_19</t>
  </si>
  <si>
    <t>RD_5</t>
  </si>
  <si>
    <t>Retrieval</t>
  </si>
  <si>
    <t>NIS_5</t>
  </si>
  <si>
    <t>NIS_6</t>
  </si>
  <si>
    <t>NIS_7</t>
  </si>
  <si>
    <t>NIS_8</t>
  </si>
  <si>
    <t>NIS_9</t>
  </si>
  <si>
    <t>NIS_10</t>
  </si>
  <si>
    <t>NIS_11</t>
  </si>
  <si>
    <t>NIS_12</t>
  </si>
  <si>
    <t>NIS_13</t>
  </si>
  <si>
    <t>NIS_14</t>
  </si>
  <si>
    <t>NIS_15</t>
  </si>
  <si>
    <t>NIS_16</t>
  </si>
  <si>
    <t>NIS_17</t>
  </si>
  <si>
    <t>NIS_18</t>
  </si>
  <si>
    <t>CTD_5</t>
  </si>
  <si>
    <t>SCUBA_4</t>
  </si>
  <si>
    <t>SCUBA_5</t>
  </si>
  <si>
    <t>RD_6</t>
  </si>
  <si>
    <t>RD_7</t>
  </si>
  <si>
    <t>ITD_2</t>
  </si>
  <si>
    <t>SCUBA_7</t>
  </si>
  <si>
    <t>NIS_20</t>
  </si>
  <si>
    <t>CYANO_1</t>
  </si>
  <si>
    <t>ROV_5</t>
  </si>
  <si>
    <t>SCUBA_6</t>
  </si>
  <si>
    <t>ROV_6</t>
  </si>
  <si>
    <t>VV_1</t>
  </si>
  <si>
    <t>Ben Wallis</t>
  </si>
  <si>
    <t>NIS_22</t>
  </si>
  <si>
    <t>NIS_23</t>
  </si>
  <si>
    <t>NIS_24</t>
  </si>
  <si>
    <t>NIS_25</t>
  </si>
  <si>
    <t>NIS_26</t>
  </si>
  <si>
    <t>DRM_3</t>
  </si>
  <si>
    <t>DRM_4</t>
  </si>
  <si>
    <t>SCUBA_8</t>
  </si>
  <si>
    <t>SCUBA_9</t>
  </si>
  <si>
    <t>CTD_6</t>
  </si>
  <si>
    <t>NIS_21</t>
  </si>
  <si>
    <t>ROV_7</t>
  </si>
  <si>
    <t>CYANO_2</t>
  </si>
  <si>
    <t>RD_8</t>
  </si>
  <si>
    <t>SCUBA_10</t>
  </si>
  <si>
    <t>SCUBA_11</t>
  </si>
  <si>
    <t>AT_2</t>
  </si>
  <si>
    <t>ROV_8</t>
  </si>
  <si>
    <t>NIS_27</t>
  </si>
  <si>
    <t>Seawater for Manon</t>
  </si>
  <si>
    <t>VV_2</t>
  </si>
  <si>
    <t>ROV_9</t>
  </si>
  <si>
    <t>RD_9</t>
  </si>
  <si>
    <t>AT Retrieval</t>
  </si>
  <si>
    <t>SEAICE_1</t>
  </si>
  <si>
    <t>Grandider Channel</t>
  </si>
  <si>
    <t>CTD_7</t>
  </si>
  <si>
    <t>NIS_28</t>
  </si>
  <si>
    <t>ROV_10</t>
  </si>
  <si>
    <t>Annette Bombosch</t>
  </si>
  <si>
    <t>ROV_11</t>
  </si>
  <si>
    <t>parentSampleID</t>
  </si>
  <si>
    <t>sampleID</t>
  </si>
  <si>
    <t>Sample Type</t>
  </si>
  <si>
    <t>Parameter</t>
  </si>
  <si>
    <t>scientificName</t>
  </si>
  <si>
    <t>individualCount</t>
  </si>
  <si>
    <t>identifiedBy1</t>
  </si>
  <si>
    <t>identifiedBy2</t>
  </si>
  <si>
    <t>identifiedBy3</t>
  </si>
  <si>
    <t>preserved in</t>
  </si>
  <si>
    <t>container</t>
  </si>
  <si>
    <t>Remark</t>
  </si>
  <si>
    <t>recordedBy1</t>
  </si>
  <si>
    <t>recordedBy2</t>
  </si>
  <si>
    <t>Project</t>
  </si>
  <si>
    <t>scientificNameAuthorship</t>
  </si>
  <si>
    <t>identificationQualifier</t>
  </si>
  <si>
    <t>kingdom</t>
  </si>
  <si>
    <t>phylum</t>
  </si>
  <si>
    <t>class</t>
  </si>
  <si>
    <t>order</t>
  </si>
  <si>
    <t>family</t>
  </si>
  <si>
    <t>genus</t>
  </si>
  <si>
    <t>species</t>
  </si>
  <si>
    <t>institutionCode</t>
  </si>
  <si>
    <t>occurrenceRemarks</t>
  </si>
  <si>
    <t>Media_file</t>
  </si>
  <si>
    <t>Media_folder</t>
  </si>
  <si>
    <t>Mapping Quadrat</t>
  </si>
  <si>
    <t>Folder</t>
  </si>
  <si>
    <t>Pool 4</t>
  </si>
  <si>
    <t>Mapping Transect</t>
  </si>
  <si>
    <t>Individual</t>
  </si>
  <si>
    <t>Biodiversity</t>
  </si>
  <si>
    <t>Invertebrates</t>
  </si>
  <si>
    <t>EtOH 70</t>
  </si>
  <si>
    <t>Kautex 500 ml</t>
  </si>
  <si>
    <t>EtOH</t>
  </si>
  <si>
    <t>Kautex 100 ml</t>
  </si>
  <si>
    <t>Brown 2 l jar</t>
  </si>
  <si>
    <t>Sterechinus neumayeri</t>
  </si>
  <si>
    <t>Parborlasia corrugatus</t>
  </si>
  <si>
    <t xml:space="preserve"> cfr Bovalia gigantea</t>
  </si>
  <si>
    <t>Vial 5 ml</t>
  </si>
  <si>
    <t>Polychaeta</t>
  </si>
  <si>
    <t>Falcon 50 ml</t>
  </si>
  <si>
    <t>Amphipoda</t>
  </si>
  <si>
    <t>Tunicata</t>
  </si>
  <si>
    <t>Opportunistic</t>
  </si>
  <si>
    <t>Symbiotes analysis</t>
  </si>
  <si>
    <t>Algae MT1</t>
  </si>
  <si>
    <t>RNAlater</t>
  </si>
  <si>
    <t>Eppendorf 5 ml</t>
  </si>
  <si>
    <t>Algae MT2</t>
  </si>
  <si>
    <t>Algae MT3</t>
  </si>
  <si>
    <t>Algae MT4</t>
  </si>
  <si>
    <t>Algae MT5</t>
  </si>
  <si>
    <t>Algae MT6</t>
  </si>
  <si>
    <t>Algae MT7</t>
  </si>
  <si>
    <t>Sediments</t>
  </si>
  <si>
    <t>xls file</t>
  </si>
  <si>
    <t>Lysianassoidea</t>
  </si>
  <si>
    <t>Brown Jar 2L</t>
  </si>
  <si>
    <t>1L out of 4L kept</t>
  </si>
  <si>
    <t>ITD1</t>
  </si>
  <si>
    <t>Nacella</t>
  </si>
  <si>
    <t>Red lid container 1L</t>
  </si>
  <si>
    <t>For Guillaume Schwob</t>
  </si>
  <si>
    <t>Surface seawater</t>
  </si>
  <si>
    <t>Brown Glass vial 100 ml</t>
  </si>
  <si>
    <t>Conductimeter - Salinity</t>
  </si>
  <si>
    <t>Test CTD</t>
  </si>
  <si>
    <t>Conductimeter - Temperature</t>
  </si>
  <si>
    <t>Testa - Temperature</t>
  </si>
  <si>
    <t>CTD 11%</t>
  </si>
  <si>
    <t>CTD 85%</t>
  </si>
  <si>
    <t>Issue with Measurement</t>
  </si>
  <si>
    <t>CTD Profile</t>
  </si>
  <si>
    <t>.xls file</t>
  </si>
  <si>
    <t>Seawater</t>
  </si>
  <si>
    <t>CH4N2O</t>
  </si>
  <si>
    <t>Clear Serum Bottle 60 ml</t>
  </si>
  <si>
    <t>13C15N</t>
  </si>
  <si>
    <t>Salinity</t>
  </si>
  <si>
    <t>Brown glass bottle 100 ml</t>
  </si>
  <si>
    <t>CT_5</t>
  </si>
  <si>
    <t>Marius Buydens</t>
  </si>
  <si>
    <t>Incubation Cores</t>
  </si>
  <si>
    <t>Frozen (-20°C)</t>
  </si>
  <si>
    <t>Aluminium vials</t>
  </si>
  <si>
    <t>Environmental analysis</t>
  </si>
  <si>
    <t>Petri dish 55 mm</t>
  </si>
  <si>
    <t>Meiofauna, eDNA, Stable Isotopes</t>
  </si>
  <si>
    <t>Seawater_bottom</t>
  </si>
  <si>
    <t>RNA later</t>
  </si>
  <si>
    <t>Eppendorf 2,5 ml</t>
  </si>
  <si>
    <t>Filtration for Manon</t>
  </si>
  <si>
    <t>Terebellidae</t>
  </si>
  <si>
    <t>Falcon 15 ml</t>
  </si>
  <si>
    <t>Barcoding</t>
  </si>
  <si>
    <t>Molgula</t>
  </si>
  <si>
    <t>DNA Buffer</t>
  </si>
  <si>
    <t>Nacella concina</t>
  </si>
  <si>
    <t>Desmarestia</t>
  </si>
  <si>
    <t>Mapping Quadrat Small</t>
  </si>
  <si>
    <t>Pool 1</t>
  </si>
  <si>
    <t>Ziplock</t>
  </si>
  <si>
    <t>Scooped sediments</t>
  </si>
  <si>
    <t>Gastropoda</t>
  </si>
  <si>
    <t>Pool</t>
  </si>
  <si>
    <t>Formaldehyde 8%</t>
  </si>
  <si>
    <t xml:space="preserve">Mapping Quadrat </t>
  </si>
  <si>
    <t>Pool 3</t>
  </si>
  <si>
    <t>Glyphoperidium bursa</t>
  </si>
  <si>
    <t>Failed attempt</t>
  </si>
  <si>
    <t>Mapping Quadrat Large</t>
  </si>
  <si>
    <t>RD_06</t>
  </si>
  <si>
    <t>Invertebrata</t>
  </si>
  <si>
    <t>Kautex 500 ml (incl. cryotubes)</t>
  </si>
  <si>
    <t>RD_07</t>
  </si>
  <si>
    <t>more than 500 individuals</t>
  </si>
  <si>
    <t>Clean Serum Vial 60 ml</t>
  </si>
  <si>
    <t>Total Alkalinity</t>
  </si>
  <si>
    <t>DIC</t>
  </si>
  <si>
    <t>Nitrates</t>
  </si>
  <si>
    <t>Plastic bottle 300 ml</t>
  </si>
  <si>
    <t>Filtrate</t>
  </si>
  <si>
    <t>Chlorophyll_a</t>
  </si>
  <si>
    <t>GF/F Filter</t>
  </si>
  <si>
    <t>Fatty Acids</t>
  </si>
  <si>
    <t>Methanol/Chloroform</t>
  </si>
  <si>
    <t>eDNA</t>
  </si>
  <si>
    <t>Continental Ice</t>
  </si>
  <si>
    <t>0,4 L sieved on 1 mm</t>
  </si>
  <si>
    <t>1,5 L sieved on 1 mm</t>
  </si>
  <si>
    <t>1,7 L sieved on 1 mm</t>
  </si>
  <si>
    <t>Ascidia challengeri</t>
  </si>
  <si>
    <t>Falcon 5 ml</t>
  </si>
  <si>
    <t>Glass Vial 20 ml</t>
  </si>
  <si>
    <t>Nemidocarpa verrucosa</t>
  </si>
  <si>
    <t>Trematocarpus antarcticus</t>
  </si>
  <si>
    <t>Rhodophyta</t>
  </si>
  <si>
    <t>AB</t>
  </si>
  <si>
    <t>BDE</t>
  </si>
  <si>
    <t>clean serum bottle 60 ml</t>
  </si>
  <si>
    <t>0 m</t>
  </si>
  <si>
    <t>brown glas bottle 100 ml</t>
  </si>
  <si>
    <t>Filter GF/F</t>
  </si>
  <si>
    <t>10 m</t>
  </si>
  <si>
    <t xml:space="preserve">10 m </t>
  </si>
  <si>
    <t>24 m</t>
  </si>
  <si>
    <t>Redo of #463</t>
  </si>
  <si>
    <t xml:space="preserve">Mapping Transect </t>
  </si>
  <si>
    <t>Green rock biofilm</t>
  </si>
  <si>
    <t>Crinoidea</t>
  </si>
  <si>
    <t>Holothuroidea</t>
  </si>
  <si>
    <t>12 sorted glass vials inside</t>
  </si>
  <si>
    <t>Incubation cores</t>
  </si>
  <si>
    <t>aluminium vials</t>
  </si>
  <si>
    <t>Petri dish 50 mm</t>
  </si>
  <si>
    <t>eDNA, Stable isotopes, meiofauna</t>
  </si>
  <si>
    <t>Formaldehyde 8% (4°C)</t>
  </si>
  <si>
    <t>MPB</t>
  </si>
  <si>
    <t>Asteroidea</t>
  </si>
  <si>
    <t>Bryozoa</t>
  </si>
  <si>
    <t>Algae</t>
  </si>
  <si>
    <t>brown glass bottle 100 ml</t>
  </si>
  <si>
    <t>Stable Isotopes</t>
  </si>
  <si>
    <t>Cnemicarpa verrucosa</t>
  </si>
  <si>
    <t>Dried</t>
  </si>
  <si>
    <t>Glass vial 4 ml</t>
  </si>
  <si>
    <t>Psilaster charcoti</t>
  </si>
  <si>
    <t>Hemaxinella bafforensis</t>
  </si>
  <si>
    <t>Porifera</t>
  </si>
  <si>
    <t>Serolidae</t>
  </si>
  <si>
    <t>Pool 1 (flight over Martin's Spot 2)</t>
  </si>
  <si>
    <t>Iridae cordata</t>
  </si>
  <si>
    <t>Margarella</t>
  </si>
  <si>
    <t>Plastic vial 200 ml</t>
  </si>
  <si>
    <t>Polynoidea</t>
  </si>
  <si>
    <t>Isopoda</t>
  </si>
  <si>
    <t>Nemerta</t>
  </si>
  <si>
    <t>Hydrozoa</t>
  </si>
  <si>
    <t>Kirkpatricia variolosa</t>
  </si>
  <si>
    <t>Cnemidocarpa verrucosa</t>
  </si>
  <si>
    <t>DNA buffer</t>
  </si>
  <si>
    <t>EtOH 100</t>
  </si>
  <si>
    <t>Natatolana sp included</t>
  </si>
  <si>
    <t>cfr. Abyssorchomene plebs</t>
  </si>
  <si>
    <t>Charcotia obesa</t>
  </si>
  <si>
    <t>Glass vial 10 ml</t>
  </si>
  <si>
    <t>Sea ice</t>
  </si>
  <si>
    <t>Ice thickness</t>
  </si>
  <si>
    <t>BDe</t>
  </si>
  <si>
    <t>First estimation</t>
  </si>
  <si>
    <t>Snow thickness</t>
  </si>
  <si>
    <t>air temperature</t>
  </si>
  <si>
    <t>freeboard</t>
  </si>
  <si>
    <t>Chla slush</t>
  </si>
  <si>
    <t>Chla snow</t>
  </si>
  <si>
    <t>Chla SI 0-20cm</t>
  </si>
  <si>
    <t>Chla SI 20-41cm</t>
  </si>
  <si>
    <t>Chla SI 41-60cm</t>
  </si>
  <si>
    <t>Chla SI 60-80cm</t>
  </si>
  <si>
    <t>Chla SI 80-100cm</t>
  </si>
  <si>
    <t>Chla SI 100-120cm</t>
  </si>
  <si>
    <t>Chla SI 120-140cm</t>
  </si>
  <si>
    <t>Chla SI 140-160cm</t>
  </si>
  <si>
    <t>Chla SI 10-33cm</t>
  </si>
  <si>
    <t>From the bottom</t>
  </si>
  <si>
    <t>Chla SI 0-10cm</t>
  </si>
  <si>
    <t>POC slush</t>
  </si>
  <si>
    <t>POC snow</t>
  </si>
  <si>
    <t>POC SI 0-20cm</t>
  </si>
  <si>
    <t>POC SI 20-40cm</t>
  </si>
  <si>
    <t>POC SI 40-60cm</t>
  </si>
  <si>
    <t>POC SI 60-80cm</t>
  </si>
  <si>
    <t>POC SI 80-100cm</t>
  </si>
  <si>
    <t>POC SI 100-120cm</t>
  </si>
  <si>
    <t>POC SI 120-140cm</t>
  </si>
  <si>
    <t>POC SI 140-148cm</t>
  </si>
  <si>
    <t>POC SI 30-34cm</t>
  </si>
  <si>
    <t>POC SI 10-30cm</t>
  </si>
  <si>
    <t>POC SI 0-10cm</t>
  </si>
  <si>
    <t>XLS file</t>
  </si>
  <si>
    <t>Sal SI 0-10cm</t>
  </si>
  <si>
    <t>100ml brown glass bottle</t>
  </si>
  <si>
    <t>Sal SI 10-20cm</t>
  </si>
  <si>
    <t>Sal SI 20-29cm</t>
  </si>
  <si>
    <t>Sal SI 29-39cm</t>
  </si>
  <si>
    <t>Sal SI 39-49cm</t>
  </si>
  <si>
    <t>Sal SI 49-59cm</t>
  </si>
  <si>
    <t>Sal SI 59-69cm</t>
  </si>
  <si>
    <t>Sal SI 69-80cm</t>
  </si>
  <si>
    <t>Sal SI 80-90cm</t>
  </si>
  <si>
    <t>Sal SI 90-100cm</t>
  </si>
  <si>
    <t>Sal SI 100-109cm</t>
  </si>
  <si>
    <t>Sal SI 109-117cm</t>
  </si>
  <si>
    <t>Sal SI 20-30cm</t>
  </si>
  <si>
    <t>Sal SI 30-40cm</t>
  </si>
  <si>
    <t>From the bottom + gap layer</t>
  </si>
  <si>
    <t>18O SI 0-10cm</t>
  </si>
  <si>
    <t>Exetainer 12ml</t>
  </si>
  <si>
    <t>18O SI 10-20cm</t>
  </si>
  <si>
    <t>18O SI 20-29cm</t>
  </si>
  <si>
    <t>18O SI 29-39cm</t>
  </si>
  <si>
    <t>18O SI 39-49cm</t>
  </si>
  <si>
    <t>18O SI 49-59cm</t>
  </si>
  <si>
    <t>18O SI 59-69cm</t>
  </si>
  <si>
    <t>18O SI 69-80cm</t>
  </si>
  <si>
    <t>18O SI 80-90cm</t>
  </si>
  <si>
    <t>18O SI 90-100cm</t>
  </si>
  <si>
    <t>18O SI 100-109cm</t>
  </si>
  <si>
    <t>18O SI 109-117cm</t>
  </si>
  <si>
    <t>18O SI 20-30cm</t>
  </si>
  <si>
    <t>18O SI 30-40cm</t>
  </si>
  <si>
    <t>Conductimeter</t>
  </si>
  <si>
    <t>Nutrient SI 0-20cm</t>
  </si>
  <si>
    <t>-20°C</t>
  </si>
  <si>
    <t>30ml plastic bottle</t>
  </si>
  <si>
    <t>Nutrient SI 20-40cm</t>
  </si>
  <si>
    <t>Nutrient SI 40-60cm</t>
  </si>
  <si>
    <t>Nutrient SI 60-80cm</t>
  </si>
  <si>
    <t>Core 1+2</t>
  </si>
  <si>
    <t>Nutrient SI 80-100cm</t>
  </si>
  <si>
    <t>Nutrient SI 100-120cm</t>
  </si>
  <si>
    <t>Nutrient SI 120-140cm</t>
  </si>
  <si>
    <t>Nutrient SI 140-148cm</t>
  </si>
  <si>
    <t>Nutrient SI 30-37cm</t>
  </si>
  <si>
    <t>Nutrient SI 10-30cm</t>
  </si>
  <si>
    <t>Nutrient SI 0-10cm</t>
  </si>
  <si>
    <t>Gas bag SI 0-10cm</t>
  </si>
  <si>
    <t>60ml clear serum bottle</t>
  </si>
  <si>
    <t>Gas bag SI 10-20cm</t>
  </si>
  <si>
    <t>Gas bag SI 20-30cm</t>
  </si>
  <si>
    <t>Gas bag SI 30-40cm</t>
  </si>
  <si>
    <t>Gas bag SI 40-50cm</t>
  </si>
  <si>
    <t>Gas bag SI 50-60cm</t>
  </si>
  <si>
    <t>Gas bag SI 60-70cm</t>
  </si>
  <si>
    <t>Gas bag SI 70-80cm</t>
  </si>
  <si>
    <t>Gas bag SI 80-90cm</t>
  </si>
  <si>
    <t>Gas bag SI 90-100cm</t>
  </si>
  <si>
    <t>Gas bag SI 100-110,5cm</t>
  </si>
  <si>
    <t>Gas bag SI 110,5-120cm</t>
  </si>
  <si>
    <t>Gas bag SI 120-130cm</t>
  </si>
  <si>
    <t>Gas bag SI 30-42cm</t>
  </si>
  <si>
    <t>Nutrient slush</t>
  </si>
  <si>
    <t>nutrient snow</t>
  </si>
  <si>
    <t>sal snow</t>
  </si>
  <si>
    <t>sal slush</t>
  </si>
  <si>
    <t>Core 1 SI CH4 profile</t>
  </si>
  <si>
    <t>Core 1 SI CO2 profile</t>
  </si>
  <si>
    <t>Core 1 SI O/Ar profile</t>
  </si>
  <si>
    <t>Core 1 SI N2O profile</t>
  </si>
  <si>
    <t>Core 1 SI N profile</t>
  </si>
  <si>
    <t>Core 1 salinity profile</t>
  </si>
  <si>
    <t>Core 1 thin section</t>
  </si>
  <si>
    <t>Core 2 SI CH4 profile</t>
  </si>
  <si>
    <t>Core 2 SI CO2 profile</t>
  </si>
  <si>
    <t>Core 2 SI O/Ar profile</t>
  </si>
  <si>
    <t>Core 2 SI N2O profile</t>
  </si>
  <si>
    <t>Core 2 SI N profile</t>
  </si>
  <si>
    <t>Core 2 salinity profile</t>
  </si>
  <si>
    <t>Core 2 thin section</t>
  </si>
  <si>
    <t>Core 3 SI CH4 profile</t>
  </si>
  <si>
    <t>Core 3 SI CO2 profile</t>
  </si>
  <si>
    <t>Core 3 SI O/Ar profile</t>
  </si>
  <si>
    <t>Core 3 SI N2O profile</t>
  </si>
  <si>
    <t>Core 3 SI N profile</t>
  </si>
  <si>
    <t>Core 3 salinity profile</t>
  </si>
  <si>
    <t>Core 3 thin section</t>
  </si>
  <si>
    <t>Core 4 SI CH4 profile</t>
  </si>
  <si>
    <t>Core 4 SI CO2 profile</t>
  </si>
  <si>
    <t>Core 4 SI O/Ar profile</t>
  </si>
  <si>
    <t>Core 4 SI N2O profile</t>
  </si>
  <si>
    <t>Core 4 SI N profile</t>
  </si>
  <si>
    <t>Core 4 salinity profile</t>
  </si>
  <si>
    <t>Core 4 thin section</t>
  </si>
  <si>
    <t>Core 5 SI CH4 profile</t>
  </si>
  <si>
    <t>Core 5 SI CO2 profile</t>
  </si>
  <si>
    <t>Core 5 SI O/Ar profile</t>
  </si>
  <si>
    <t>Core 5 SI N2O profile</t>
  </si>
  <si>
    <t>Core 5 SI N profile</t>
  </si>
  <si>
    <t>Core 5 salinity profile</t>
  </si>
  <si>
    <t>Core 5 thin section</t>
  </si>
  <si>
    <t>Core 6 SI CH4 profile</t>
  </si>
  <si>
    <t>Core 6 SI CO2 profile</t>
  </si>
  <si>
    <t>Core 6 SI O/Ar profile</t>
  </si>
  <si>
    <t>Core 6 SI N2O profile</t>
  </si>
  <si>
    <t>Core 6 SI N profile</t>
  </si>
  <si>
    <t>Core 6 salinity profile</t>
  </si>
  <si>
    <t>Core 6 thin section</t>
  </si>
  <si>
    <t>Core 7 SI CH4 profile</t>
  </si>
  <si>
    <t>Core 7 SI CO2 profile</t>
  </si>
  <si>
    <t>Core 7 SI O/Ar profile</t>
  </si>
  <si>
    <t>Core 7 SI N2O profile</t>
  </si>
  <si>
    <t>Core 7 SI N profile</t>
  </si>
  <si>
    <t>Core 7 salinity profile</t>
  </si>
  <si>
    <t>Core 7 thin section</t>
  </si>
  <si>
    <t>Core 8 SI CH4 profile</t>
  </si>
  <si>
    <t>Core 8 SI CO2 profile</t>
  </si>
  <si>
    <t>Core 8 SI O/Ar profile</t>
  </si>
  <si>
    <t>Core 8 SI N2O profile</t>
  </si>
  <si>
    <t>Core 8 SI N profile</t>
  </si>
  <si>
    <t>Core 8 salinity profile</t>
  </si>
  <si>
    <t>Core 8 thin section</t>
  </si>
  <si>
    <t>Core 9 SI CH4 profile</t>
  </si>
  <si>
    <t>Core 9 SI CO2 profile</t>
  </si>
  <si>
    <t>Core 9 SI O/Ar profile</t>
  </si>
  <si>
    <t>Core 9 SI N2O profile</t>
  </si>
  <si>
    <t>Core 9 SI N profile</t>
  </si>
  <si>
    <t>Core 9 salinity profile</t>
  </si>
  <si>
    <t>Core 9 thin section</t>
  </si>
  <si>
    <t>Core 10 SI CH4 profile</t>
  </si>
  <si>
    <t>Core 10 SI CO2 profile</t>
  </si>
  <si>
    <t>Core 10 SI O/Ar profile</t>
  </si>
  <si>
    <t>Core 10 SI N2O profile</t>
  </si>
  <si>
    <t>Core 10 SI N profile</t>
  </si>
  <si>
    <t>Core 10 salinity profile</t>
  </si>
  <si>
    <t>Core 10 thin section</t>
  </si>
  <si>
    <t>Ice thickness core 2</t>
  </si>
  <si>
    <t>Already melting</t>
  </si>
  <si>
    <t>Ice thickness core 3</t>
  </si>
  <si>
    <t>Ice thickness core 4</t>
  </si>
  <si>
    <t>Ice thickness core 5</t>
  </si>
  <si>
    <t>Ice thickness core 6</t>
  </si>
  <si>
    <t>Ice thickness core 7</t>
  </si>
  <si>
    <t>Ice thickness core 8</t>
  </si>
  <si>
    <t>Ice thickness core 9</t>
  </si>
  <si>
    <t>Ice thickness core 10</t>
  </si>
  <si>
    <t>18O snow</t>
  </si>
  <si>
    <t>18O slush</t>
  </si>
  <si>
    <t>Conductivity - Salinity - Temperature</t>
  </si>
  <si>
    <t>100m depth</t>
  </si>
  <si>
    <t>Nutrients</t>
  </si>
  <si>
    <t>50m depth</t>
  </si>
  <si>
    <t>0m depth</t>
  </si>
  <si>
    <t>Chla</t>
  </si>
  <si>
    <t>Glass Vial 4ml</t>
  </si>
  <si>
    <t>Nemertea</t>
  </si>
  <si>
    <t>Dendrilla</t>
  </si>
  <si>
    <t>Sediment</t>
  </si>
  <si>
    <t xml:space="preserve">Glass Vial 4ml </t>
  </si>
  <si>
    <t>HR</t>
  </si>
  <si>
    <t>Cotex 100ml</t>
  </si>
  <si>
    <t>MD</t>
  </si>
  <si>
    <t>Dry</t>
  </si>
  <si>
    <t>4ml glass vial</t>
  </si>
  <si>
    <t>sediment</t>
  </si>
  <si>
    <t>Solvant</t>
  </si>
  <si>
    <t>XXX</t>
  </si>
  <si>
    <t>HgCl2</t>
  </si>
  <si>
    <t>Exetainer (20 ml)</t>
  </si>
  <si>
    <t>Alcalinity</t>
  </si>
  <si>
    <t>Exetainer (100 ml)</t>
  </si>
  <si>
    <t>Scintillation vial (20 ml)</t>
  </si>
  <si>
    <t>N20, CH4</t>
  </si>
  <si>
    <t>Porewater</t>
  </si>
  <si>
    <t>Exetainer (350µl)</t>
  </si>
  <si>
    <t>Frozen (-20°)</t>
  </si>
  <si>
    <t>Eppendorf (1,5 ml)</t>
  </si>
  <si>
    <t>Exetainer (XX ml)</t>
  </si>
  <si>
    <t>Biota</t>
  </si>
  <si>
    <t>Biodiversity (Macrofauna)</t>
  </si>
  <si>
    <t>Backup SW sample</t>
  </si>
  <si>
    <t>Plastic Vial 250 ml</t>
  </si>
  <si>
    <t>sampleType</t>
  </si>
  <si>
    <t>gearType</t>
  </si>
  <si>
    <t>14C AMS dating</t>
  </si>
  <si>
    <t>500 ml bottle</t>
  </si>
  <si>
    <t>AADI</t>
  </si>
  <si>
    <t>Active water sampler</t>
  </si>
  <si>
    <t>Acoustics recorder</t>
  </si>
  <si>
    <t>ADCP</t>
  </si>
  <si>
    <t>Algal Incubator</t>
  </si>
  <si>
    <t>aDNA</t>
  </si>
  <si>
    <t>ARGO</t>
  </si>
  <si>
    <t>Algae aggregates</t>
  </si>
  <si>
    <t>ASSIST</t>
  </si>
  <si>
    <t>AT/DIC/pH</t>
  </si>
  <si>
    <t>AUV</t>
  </si>
  <si>
    <t>Bacterial production</t>
  </si>
  <si>
    <t>Beam trawl</t>
  </si>
  <si>
    <t>Bio bulk</t>
  </si>
  <si>
    <t>Bongonet 180 um</t>
  </si>
  <si>
    <t>Biogenic silica</t>
  </si>
  <si>
    <t>Bongonet 64 um</t>
  </si>
  <si>
    <t>Brine</t>
  </si>
  <si>
    <t>Bottle 1L</t>
  </si>
  <si>
    <t>CDOM</t>
  </si>
  <si>
    <t>Box core</t>
  </si>
  <si>
    <t>Chlorophyll a &gt; 10 um</t>
  </si>
  <si>
    <t>Bucket</t>
  </si>
  <si>
    <t>Chlorophyll a tot</t>
  </si>
  <si>
    <t>Calypso</t>
  </si>
  <si>
    <t>CTD</t>
  </si>
  <si>
    <t>Camera</t>
  </si>
  <si>
    <t>d13C</t>
  </si>
  <si>
    <t>Campelen trawl</t>
  </si>
  <si>
    <t>d13C DIC</t>
  </si>
  <si>
    <t>Campelen trawl with fish lift</t>
  </si>
  <si>
    <t>d18O</t>
  </si>
  <si>
    <t>Cast away CTD</t>
  </si>
  <si>
    <t>Data: no physical sample</t>
  </si>
  <si>
    <t>CMET Ballons</t>
  </si>
  <si>
    <t>dCSP</t>
  </si>
  <si>
    <t>dD and d18O</t>
  </si>
  <si>
    <t>CTD w/bottles</t>
  </si>
  <si>
    <t>Dilution culture</t>
  </si>
  <si>
    <t>Drone</t>
  </si>
  <si>
    <t>Dinocysts</t>
  </si>
  <si>
    <t>EK80</t>
  </si>
  <si>
    <t>Dissolved Organic Carbon</t>
  </si>
  <si>
    <t>EM-bird</t>
  </si>
  <si>
    <t>Dissolved trace elements</t>
  </si>
  <si>
    <t>EM302</t>
  </si>
  <si>
    <t>Dive</t>
  </si>
  <si>
    <t>EM710</t>
  </si>
  <si>
    <t>DNA</t>
  </si>
  <si>
    <t>Filtration Pump</t>
  </si>
  <si>
    <t>DO</t>
  </si>
  <si>
    <t>Glider</t>
  </si>
  <si>
    <t>dTEP</t>
  </si>
  <si>
    <t>GNSS setup</t>
  </si>
  <si>
    <t>Ecotoxicology</t>
  </si>
  <si>
    <t>GO-FLO</t>
  </si>
  <si>
    <t>Gravity corer</t>
  </si>
  <si>
    <t>Electron microscopy (SEM filter)</t>
  </si>
  <si>
    <t>Harstad trawl</t>
  </si>
  <si>
    <t>Experiments</t>
  </si>
  <si>
    <t>Ice auger</t>
  </si>
  <si>
    <t>Fatty acids</t>
  </si>
  <si>
    <t>Ice corer</t>
  </si>
  <si>
    <t>FDOM</t>
  </si>
  <si>
    <t>Ice corer 9 cm</t>
  </si>
  <si>
    <t>Fecal pellet flux</t>
  </si>
  <si>
    <t>L-ADCP</t>
  </si>
  <si>
    <t>Fecal pellets</t>
  </si>
  <si>
    <t>Macroplankton trawl</t>
  </si>
  <si>
    <t>Female:egg ratio</t>
  </si>
  <si>
    <t>MIK-net 1500 um</t>
  </si>
  <si>
    <t>Fish</t>
  </si>
  <si>
    <t>Mooring</t>
  </si>
  <si>
    <t>FISH-EPS</t>
  </si>
  <si>
    <t>Multicorer</t>
  </si>
  <si>
    <t>FISH-Mixotrophy</t>
  </si>
  <si>
    <t>Multinet 180 um</t>
  </si>
  <si>
    <t>FlowCam</t>
  </si>
  <si>
    <t>Multinet 64 um</t>
  </si>
  <si>
    <t>GC catcher sample</t>
  </si>
  <si>
    <t>Niskin</t>
  </si>
  <si>
    <t>GC cutter sample</t>
  </si>
  <si>
    <t>Optical profiler</t>
  </si>
  <si>
    <t>GC section</t>
  </si>
  <si>
    <t>pC02 underway</t>
  </si>
  <si>
    <t>GC section archive half</t>
  </si>
  <si>
    <t>Phytoplankton net 10 um</t>
  </si>
  <si>
    <t>GC section working half</t>
  </si>
  <si>
    <t>Phytoplankton net 20 um</t>
  </si>
  <si>
    <t>Gel trap</t>
  </si>
  <si>
    <t>ROV</t>
  </si>
  <si>
    <t>Gelatinous zooplankton taxonomy</t>
  </si>
  <si>
    <t>SBP300</t>
  </si>
  <si>
    <t>Gelatinous zooplankton volume</t>
  </si>
  <si>
    <t>Sea water intake</t>
  </si>
  <si>
    <t>Grain size</t>
  </si>
  <si>
    <t>Sediment trap (long term)</t>
  </si>
  <si>
    <t>HBI</t>
  </si>
  <si>
    <t>Sediment trap (short term)</t>
  </si>
  <si>
    <t>Highly branched isoprenoids (HBI)</t>
  </si>
  <si>
    <t>Slurp gun</t>
  </si>
  <si>
    <t>HPLC Pigments</t>
  </si>
  <si>
    <t>Snow pit</t>
  </si>
  <si>
    <t>Ice algae</t>
  </si>
  <si>
    <t>Snow probe</t>
  </si>
  <si>
    <t>Ice core</t>
  </si>
  <si>
    <t>Spear</t>
  </si>
  <si>
    <t>ICP</t>
  </si>
  <si>
    <t>Suction pump (20 um)</t>
  </si>
  <si>
    <t>iDNA</t>
  </si>
  <si>
    <t>Suction pump (200 um)</t>
  </si>
  <si>
    <t>IP25</t>
  </si>
  <si>
    <t>Suction pump (500 um)</t>
  </si>
  <si>
    <t>Isotopes</t>
  </si>
  <si>
    <t>Surface drifter</t>
  </si>
  <si>
    <t>ISUS</t>
  </si>
  <si>
    <t>Swim net (200 um)</t>
  </si>
  <si>
    <t>Syringe</t>
  </si>
  <si>
    <t>Macrofauna taxonomy</t>
  </si>
  <si>
    <t>Thermosalinograph</t>
  </si>
  <si>
    <t>Macrozooplankton biomass</t>
  </si>
  <si>
    <t>Topas40</t>
  </si>
  <si>
    <t>Macrozooplankton diet</t>
  </si>
  <si>
    <t>TS probe</t>
  </si>
  <si>
    <t>Macrozooplankton metagenomics</t>
  </si>
  <si>
    <t>Tube</t>
  </si>
  <si>
    <t>Macrozooplankton taxonomy</t>
  </si>
  <si>
    <t>UIW</t>
  </si>
  <si>
    <t>Megafauna taxonomy</t>
  </si>
  <si>
    <t>USV</t>
  </si>
  <si>
    <t>Meiofauna abundance</t>
  </si>
  <si>
    <t>Vertical microstructure profiler</t>
  </si>
  <si>
    <t>Meiofauna taxonomy</t>
  </si>
  <si>
    <t>Wave recorder</t>
  </si>
  <si>
    <t>Melt pond</t>
  </si>
  <si>
    <t>Weather station</t>
  </si>
  <si>
    <t>Meroplankton taxonomy</t>
  </si>
  <si>
    <t>WP2 180 um</t>
  </si>
  <si>
    <t>Mesozooplankton biomass</t>
  </si>
  <si>
    <t>WP2 64 um</t>
  </si>
  <si>
    <t>Mesozooplankton diet</t>
  </si>
  <si>
    <t>WP2 90 um</t>
  </si>
  <si>
    <t>Mesozooplankton ecotoxicology</t>
  </si>
  <si>
    <t>WP3 1000 um</t>
  </si>
  <si>
    <t>Mesozooplankton metagenomics</t>
  </si>
  <si>
    <t>Mesozooplankton taxonomy</t>
  </si>
  <si>
    <t>Methylmercury</t>
  </si>
  <si>
    <t>Microalgal diversity</t>
  </si>
  <si>
    <t>Microbial abundance</t>
  </si>
  <si>
    <t xml:space="preserve">Microbial activity (RNA) </t>
  </si>
  <si>
    <t>Microbial diversity (DNA and RNA)</t>
  </si>
  <si>
    <t>Microzooplankton abundance</t>
  </si>
  <si>
    <t>Microzooplankton biomass</t>
  </si>
  <si>
    <t>Mixotrophy FISH</t>
  </si>
  <si>
    <t>Multicore</t>
  </si>
  <si>
    <t>Multicore archive half</t>
  </si>
  <si>
    <t>Multicore work half</t>
  </si>
  <si>
    <t>Niskin Bottle</t>
  </si>
  <si>
    <t>Organic matter characterization</t>
  </si>
  <si>
    <t>Particulate absorption</t>
  </si>
  <si>
    <t>Particulate elements</t>
  </si>
  <si>
    <t>PC section</t>
  </si>
  <si>
    <t>pCSP</t>
  </si>
  <si>
    <t>Photography</t>
  </si>
  <si>
    <t>Plankton barcoding</t>
  </si>
  <si>
    <t>Plankton metabarcoding</t>
  </si>
  <si>
    <t>POC/PON</t>
  </si>
  <si>
    <t>Primary production (14C-CO2)</t>
  </si>
  <si>
    <t>Profile</t>
  </si>
  <si>
    <t>Protist abundance and taxonomy</t>
  </si>
  <si>
    <t>Protist diversity &lt;10 um</t>
  </si>
  <si>
    <t>Protist diversity &gt;10 um</t>
  </si>
  <si>
    <t>pTEP</t>
  </si>
  <si>
    <t>Racetrack</t>
  </si>
  <si>
    <t>RNA</t>
  </si>
  <si>
    <t>Sediment incubation</t>
  </si>
  <si>
    <t>Sediment pigments</t>
  </si>
  <si>
    <t>Sediment porosity</t>
  </si>
  <si>
    <t>Sediment slice</t>
  </si>
  <si>
    <t>Sediment trap</t>
  </si>
  <si>
    <t>Seston elemental composition</t>
  </si>
  <si>
    <t>Single cell isolate</t>
  </si>
  <si>
    <t>Site coordinates</t>
  </si>
  <si>
    <t>Small meiofauna abundance</t>
  </si>
  <si>
    <t>Small meiofauna diet</t>
  </si>
  <si>
    <t>Small meiofauna taxonomy</t>
  </si>
  <si>
    <t>Small mesozooplankton biomass</t>
  </si>
  <si>
    <t>Small mesozooplankton diet</t>
  </si>
  <si>
    <t>Small mesozooplankton metagenomics</t>
  </si>
  <si>
    <t>Small mesozooplankton taxonomy</t>
  </si>
  <si>
    <t>Snow</t>
  </si>
  <si>
    <t>Stable isotopes</t>
  </si>
  <si>
    <t>Station</t>
  </si>
  <si>
    <t>Temperature and pressure logger</t>
  </si>
  <si>
    <t>Temperature logger</t>
  </si>
  <si>
    <t>Tissue</t>
  </si>
  <si>
    <t>Total Mercury</t>
  </si>
  <si>
    <t>Total nitrogen</t>
  </si>
  <si>
    <t>Total organic carbon</t>
  </si>
  <si>
    <t>Total thickness ice+snow</t>
  </si>
  <si>
    <t>Trace elements</t>
  </si>
  <si>
    <t>Under ice water</t>
  </si>
  <si>
    <t>Viral decay</t>
  </si>
  <si>
    <t>Viral diversity (FeCl3)</t>
  </si>
  <si>
    <t>Viral production</t>
  </si>
  <si>
    <t>Water</t>
  </si>
  <si>
    <t>basisOfRecord</t>
  </si>
  <si>
    <t>preparations</t>
  </si>
  <si>
    <t>person</t>
  </si>
  <si>
    <t>orcid</t>
  </si>
  <si>
    <t>institutionID</t>
  </si>
  <si>
    <t>project</t>
  </si>
  <si>
    <t>gut</t>
  </si>
  <si>
    <t>MaterialSample</t>
  </si>
  <si>
    <t>Ethanol 100</t>
  </si>
  <si>
    <t/>
  </si>
  <si>
    <t>UGENT</t>
  </si>
  <si>
    <t>https://ror.org/00cv9y106</t>
  </si>
  <si>
    <t>BENTHOS</t>
  </si>
  <si>
    <t>body</t>
  </si>
  <si>
    <t>MachineObservation</t>
  </si>
  <si>
    <t>https://orcid.org/0000-0002-9037-7623</t>
  </si>
  <si>
    <t>ULB</t>
  </si>
  <si>
    <t>https://ror.org/01r9htc13</t>
  </si>
  <si>
    <t>BIOGEO</t>
  </si>
  <si>
    <t>limb</t>
  </si>
  <si>
    <t>observation</t>
  </si>
  <si>
    <t>Frozen  (-20°C)</t>
  </si>
  <si>
    <t>https://orcid.org/0000-0003-0502-8101</t>
  </si>
  <si>
    <t>ULiege</t>
  </si>
  <si>
    <t>https://ror.org/00afp2z80</t>
  </si>
  <si>
    <t>ICE</t>
  </si>
  <si>
    <t>media_file</t>
  </si>
  <si>
    <t>Ethanol 70</t>
  </si>
  <si>
    <t>https://orcid.org/0000-0002-0981-7442</t>
  </si>
  <si>
    <t>INTERTIDAL</t>
  </si>
  <si>
    <t>RNA Later</t>
  </si>
  <si>
    <t>https://orcid.org/0000-0002-8971-8195</t>
  </si>
  <si>
    <t>MEIO</t>
  </si>
  <si>
    <t>suspended particulate organic matter</t>
  </si>
  <si>
    <t>PELAGIC</t>
  </si>
  <si>
    <t>swab</t>
  </si>
  <si>
    <t>https://orcid.org/0000-0001-5748-602X</t>
  </si>
  <si>
    <t>tissue</t>
  </si>
  <si>
    <t>Flash frozen (liquid N2)</t>
  </si>
  <si>
    <t>SONATINA</t>
  </si>
  <si>
    <t>https://orcid.org/0000-0002-9708-1761</t>
  </si>
  <si>
    <t>SYMB</t>
  </si>
  <si>
    <t>digestive pellets</t>
  </si>
  <si>
    <t>Maria Amenabar</t>
  </si>
  <si>
    <t>TOP</t>
  </si>
  <si>
    <t>seawater</t>
  </si>
  <si>
    <t>TROPHIC</t>
  </si>
  <si>
    <t>individual</t>
  </si>
  <si>
    <t>sea ice</t>
  </si>
  <si>
    <t>ALL</t>
  </si>
  <si>
    <t>filtrate</t>
  </si>
  <si>
    <t>media_folder</t>
  </si>
  <si>
    <t>AT</t>
  </si>
  <si>
    <t>Amphipod Trap</t>
  </si>
  <si>
    <t>Conductivity-Salinity-Temperature</t>
  </si>
  <si>
    <t>DR</t>
  </si>
  <si>
    <t>DRM</t>
  </si>
  <si>
    <t>Drone Mapping</t>
  </si>
  <si>
    <t>ITD</t>
  </si>
  <si>
    <t>Intertidal</t>
  </si>
  <si>
    <t>NIS</t>
  </si>
  <si>
    <t>RD</t>
  </si>
  <si>
    <t>Rauschert Dredge</t>
  </si>
  <si>
    <t>Remotely Operated Vehicle</t>
  </si>
  <si>
    <t>Scuba Divers</t>
  </si>
  <si>
    <t>ST</t>
  </si>
  <si>
    <t>Sedimet Traps</t>
  </si>
  <si>
    <t>ZZ</t>
  </si>
  <si>
    <t>Zodiac Zip</t>
  </si>
  <si>
    <t xml:space="preserve">Coordinate conversion </t>
  </si>
  <si>
    <t xml:space="preserve">Degree Minutes Seconds </t>
  </si>
  <si>
    <t xml:space="preserve">Degrees </t>
  </si>
  <si>
    <t xml:space="preserve">Minutes </t>
  </si>
  <si>
    <t xml:space="preserve">Seconds </t>
  </si>
  <si>
    <t xml:space="preserve">Decimal degrees </t>
  </si>
  <si>
    <t>Degree decimal minutes</t>
  </si>
  <si>
    <t xml:space="preserve">Decimal minutes </t>
  </si>
  <si>
    <t xml:space="preserve">
Measurement parameter/name</t>
  </si>
  <si>
    <t>Gear</t>
  </si>
  <si>
    <t xml:space="preserve">
Meas urement Unit</t>
  </si>
  <si>
    <t xml:space="preserve">
Method responsible</t>
  </si>
  <si>
    <t>Sea Ice Thickness (cm)</t>
  </si>
  <si>
    <t>Sea Water pH  (total scale)</t>
  </si>
  <si>
    <t>POC (ug/L)</t>
  </si>
  <si>
    <t>Sea Water Practical Salinity (1)</t>
  </si>
  <si>
    <t>Sea Water Conductivity (S/m)</t>
  </si>
  <si>
    <t>Sea Water Temp (C)</t>
  </si>
  <si>
    <t>°C</t>
  </si>
  <si>
    <t>Sediment TOC (mg/L)</t>
  </si>
  <si>
    <t>mg/L</t>
  </si>
  <si>
    <t>SCUBA_12</t>
  </si>
  <si>
    <t>SCUBA_13</t>
  </si>
  <si>
    <t>SCUBA_14</t>
  </si>
  <si>
    <t>SCUBA_15</t>
  </si>
  <si>
    <t>SCUBA_16</t>
  </si>
  <si>
    <t>SCUBA_17</t>
  </si>
  <si>
    <t>SCUBA_18</t>
  </si>
  <si>
    <t>Seroilidae</t>
  </si>
  <si>
    <t>VV_3</t>
  </si>
  <si>
    <t>ROV_12</t>
  </si>
  <si>
    <t>RD_10</t>
  </si>
  <si>
    <t>AT_3</t>
  </si>
  <si>
    <t>TANGO_1 Expedition</t>
  </si>
  <si>
    <t>AT Deployment</t>
  </si>
  <si>
    <t>NIS_30</t>
  </si>
  <si>
    <t>NIS_29</t>
  </si>
  <si>
    <t>ROV_13</t>
  </si>
  <si>
    <t>RD_11</t>
  </si>
  <si>
    <t>NIS_31</t>
  </si>
  <si>
    <t>ST retrieval</t>
  </si>
  <si>
    <t>Glycerol</t>
  </si>
  <si>
    <t>Eppendorf 1.5 ml</t>
  </si>
  <si>
    <t>Microbiology</t>
  </si>
  <si>
    <t>Microbiology for Isabelle George, in Bag Manon O3</t>
  </si>
  <si>
    <t>ROV_14</t>
  </si>
  <si>
    <t>AT retrieval</t>
  </si>
  <si>
    <t>CYANO_3</t>
  </si>
  <si>
    <t>CYANO_4</t>
  </si>
  <si>
    <t>VV_4</t>
  </si>
  <si>
    <t>BATHY_XX</t>
  </si>
  <si>
    <t>ST_2</t>
  </si>
  <si>
    <t>ROV_15</t>
  </si>
  <si>
    <t>AT_4</t>
  </si>
  <si>
    <t>CTD_8</t>
  </si>
  <si>
    <t>NIS_32</t>
  </si>
  <si>
    <t>RD_12</t>
  </si>
  <si>
    <t>RD_13</t>
  </si>
  <si>
    <t>RD_14</t>
  </si>
  <si>
    <t>CYANO_5</t>
  </si>
  <si>
    <t>VV_5</t>
  </si>
  <si>
    <t>Blaiklock Island</t>
  </si>
  <si>
    <t>RD_15</t>
  </si>
  <si>
    <t>RD_16</t>
  </si>
  <si>
    <t>SCUBA_19</t>
  </si>
  <si>
    <t>DRM_5</t>
  </si>
  <si>
    <t>DRM_6</t>
  </si>
  <si>
    <t>ROV_18</t>
  </si>
  <si>
    <t>DR_2</t>
  </si>
  <si>
    <t>SCUBA_20</t>
  </si>
  <si>
    <t>ROV_17</t>
  </si>
  <si>
    <t>NIS_34</t>
  </si>
  <si>
    <t>Time Deployments</t>
  </si>
  <si>
    <t>ROV_19</t>
  </si>
  <si>
    <t>RD_17</t>
  </si>
  <si>
    <t>RD_18</t>
  </si>
  <si>
    <t>SCUBA_21</t>
  </si>
  <si>
    <t>DRM_7</t>
  </si>
  <si>
    <t>DRM_8</t>
  </si>
  <si>
    <t>NIS_35</t>
  </si>
  <si>
    <t>NIS_36</t>
  </si>
  <si>
    <t>CTD_9</t>
  </si>
  <si>
    <t>ITD_3</t>
  </si>
  <si>
    <t>VV_6</t>
  </si>
  <si>
    <t>SCUBA_22</t>
  </si>
  <si>
    <t>ICE_2</t>
  </si>
  <si>
    <t>CTD_11</t>
  </si>
  <si>
    <t>NIS_37</t>
  </si>
  <si>
    <t>SCUBA_23</t>
  </si>
  <si>
    <t>ROV_20</t>
  </si>
  <si>
    <t>DRM_9</t>
  </si>
  <si>
    <t>AT_5</t>
  </si>
  <si>
    <t>DRM_10</t>
  </si>
  <si>
    <t>ROV_21</t>
  </si>
  <si>
    <t>SURVEY FOR SITE 2 BELOW ship</t>
  </si>
  <si>
    <t>RD_19</t>
  </si>
  <si>
    <t>SCUBA_24</t>
  </si>
  <si>
    <t>SCUBA_25</t>
  </si>
  <si>
    <t>SCUBA_26</t>
  </si>
  <si>
    <t>ROV_22</t>
  </si>
  <si>
    <t>NIS_39</t>
  </si>
  <si>
    <t>RD_20</t>
  </si>
  <si>
    <t>First attempt unsuccessful. Second success but poor</t>
  </si>
  <si>
    <t>Halted: frozen REG (LK)</t>
  </si>
  <si>
    <t>Incubation core + meiocore</t>
  </si>
  <si>
    <t>MD quadrats + sea urchins</t>
  </si>
  <si>
    <t>Manon</t>
  </si>
  <si>
    <t>SCUBA_29</t>
  </si>
  <si>
    <t>SCUBA_28</t>
  </si>
  <si>
    <t>SCUBA_27</t>
  </si>
  <si>
    <t>RD_21</t>
  </si>
  <si>
    <t>ROV_23</t>
  </si>
  <si>
    <t>NIS_40</t>
  </si>
  <si>
    <t>VV_7</t>
  </si>
  <si>
    <t>SCUBA_30</t>
  </si>
  <si>
    <t>NIS_41</t>
  </si>
  <si>
    <t>CTD_14</t>
  </si>
  <si>
    <t>DR_5</t>
  </si>
  <si>
    <t>CTD_13</t>
  </si>
  <si>
    <t>DRM_11</t>
  </si>
  <si>
    <t>Site 2B (Seamount)</t>
  </si>
  <si>
    <t>3 cores for macrofauna</t>
  </si>
  <si>
    <t>MD Quadrats + Sea Urchins</t>
  </si>
  <si>
    <t>Transect on seamount</t>
  </si>
  <si>
    <t>Failed, same as SCUBA_28</t>
  </si>
  <si>
    <t>CFR ST_2 retrieval</t>
  </si>
  <si>
    <t>Site 2B</t>
  </si>
  <si>
    <t>Recovery via SCUBA_30</t>
  </si>
  <si>
    <t>Number of Events</t>
  </si>
  <si>
    <t>Number of Samples</t>
  </si>
  <si>
    <t>Individuals</t>
  </si>
  <si>
    <t>Heterocucumis steinii</t>
  </si>
  <si>
    <t>EtOH pure</t>
  </si>
  <si>
    <t>15ml falcon</t>
  </si>
  <si>
    <t>mycale sp</t>
  </si>
  <si>
    <t>plocamium sp</t>
  </si>
  <si>
    <t>pyura setora</t>
  </si>
  <si>
    <t>eusirus sp.</t>
  </si>
  <si>
    <t>odontaster validus</t>
  </si>
  <si>
    <t>Parborlasia corigatus</t>
  </si>
  <si>
    <t>Odontaster meridionalis</t>
  </si>
  <si>
    <t>Diplasterias sp.</t>
  </si>
  <si>
    <t>Lysasterias sp.</t>
  </si>
  <si>
    <t>Glyptonotu antarcticus</t>
  </si>
  <si>
    <t>Ascidia sp1</t>
  </si>
  <si>
    <t>Dendrila antarctica</t>
  </si>
  <si>
    <t>Homoxinello balfourenis</t>
  </si>
  <si>
    <t>Polynoidea sp.</t>
  </si>
  <si>
    <t>Bivalve sp.</t>
  </si>
  <si>
    <t>Laternula elliptica</t>
  </si>
  <si>
    <t>Odontaster validus</t>
  </si>
  <si>
    <t>Solvent</t>
  </si>
  <si>
    <t>Glyphoperidium antarctica</t>
  </si>
  <si>
    <t>Ascidia sp.</t>
  </si>
  <si>
    <t>Heterocucumis sp.</t>
  </si>
  <si>
    <t>15ml glass vial</t>
  </si>
  <si>
    <t>Sterechinus Nemay.</t>
  </si>
  <si>
    <t>Kautex 100ml</t>
  </si>
  <si>
    <t>Glass vial 5ml</t>
  </si>
  <si>
    <t>Polychaetae sp.</t>
  </si>
  <si>
    <t>Isopoda sp.</t>
  </si>
  <si>
    <t>Gasteropoda sp.</t>
  </si>
  <si>
    <t>Invert sp.</t>
  </si>
  <si>
    <t>Asteridae sp.</t>
  </si>
  <si>
    <t>Holoturoidea sp.</t>
  </si>
  <si>
    <t>Polychaete sp.</t>
  </si>
  <si>
    <t>Glass vial 20ml</t>
  </si>
  <si>
    <t>In tube</t>
  </si>
  <si>
    <t>Sterechinus Nevm.</t>
  </si>
  <si>
    <t>Bivalva sp.</t>
  </si>
  <si>
    <t>Holothuroid sp.</t>
  </si>
  <si>
    <t>Podia</t>
  </si>
  <si>
    <t>Cryotube 5ml</t>
  </si>
  <si>
    <t>15.7m deep</t>
  </si>
  <si>
    <t>CH4/N2O</t>
  </si>
  <si>
    <t>60ml clear glass bottle</t>
  </si>
  <si>
    <t>13C/15N</t>
  </si>
  <si>
    <t>-80°C</t>
  </si>
  <si>
    <t>GF/F filter</t>
  </si>
  <si>
    <t>dry</t>
  </si>
  <si>
    <t>6m deep</t>
  </si>
  <si>
    <t>0m deep</t>
  </si>
  <si>
    <t>30ml HDPE</t>
  </si>
  <si>
    <t>Cyano5</t>
  </si>
  <si>
    <t>Biofilm</t>
  </si>
  <si>
    <t>Green Biofilm</t>
  </si>
  <si>
    <t>50ml Falcon</t>
  </si>
  <si>
    <t>Red Biofilm</t>
  </si>
  <si>
    <t>1.4L</t>
  </si>
  <si>
    <t>Macrofauna for the incubation water</t>
  </si>
  <si>
    <t>Marius B</t>
  </si>
  <si>
    <t>1.7L</t>
  </si>
  <si>
    <t>1 core</t>
  </si>
  <si>
    <t>Incubation</t>
  </si>
  <si>
    <t>Alu vials</t>
  </si>
  <si>
    <t>Environmental</t>
  </si>
  <si>
    <t>Petri 55mm OD</t>
  </si>
  <si>
    <t>SI eDNA</t>
  </si>
  <si>
    <t>1 Falcon</t>
  </si>
  <si>
    <t>Formol 4%</t>
  </si>
  <si>
    <t>Falcon 50ml</t>
  </si>
  <si>
    <t xml:space="preserve">Large </t>
  </si>
  <si>
    <t>Pb120</t>
  </si>
  <si>
    <t>Fatty acid</t>
  </si>
  <si>
    <t>Chloroform/methanol</t>
  </si>
  <si>
    <t>Cartridge</t>
  </si>
  <si>
    <t>Invert Miscellaneous</t>
  </si>
  <si>
    <t>Leftover from Martin</t>
  </si>
  <si>
    <t>Sterechinus Neumayeri</t>
  </si>
  <si>
    <t>Ophiaunautus Victoriae</t>
  </si>
  <si>
    <t>Ice cream plastic cup 180 ml</t>
  </si>
  <si>
    <t>Polychete sp.</t>
  </si>
  <si>
    <t>Isopoda mix</t>
  </si>
  <si>
    <t>cumacea sp.</t>
  </si>
  <si>
    <t>Worm sp.</t>
  </si>
  <si>
    <t>Invert mix.</t>
  </si>
  <si>
    <t>Kautex 500ml</t>
  </si>
  <si>
    <t>unsorted subsample</t>
  </si>
  <si>
    <t>Polychete mix.</t>
  </si>
  <si>
    <t>Glass Vial 20ml</t>
  </si>
  <si>
    <t>Anemone Sp.</t>
  </si>
  <si>
    <t>Isopoda mix.</t>
  </si>
  <si>
    <t>Holoturia sp.</t>
  </si>
  <si>
    <t>Gasteropoda Mix.</t>
  </si>
  <si>
    <t>12 individus released</t>
  </si>
  <si>
    <t>Ophiaurid sp.</t>
  </si>
  <si>
    <t>27 individus released</t>
  </si>
  <si>
    <t>Gasteropoda mix.</t>
  </si>
  <si>
    <t>&gt;20</t>
  </si>
  <si>
    <t>8 sterechinus Neumayeri released</t>
  </si>
  <si>
    <t>Plastic Vial 50ml</t>
  </si>
  <si>
    <t>For GB Schwabe. There has been a confusion in the nubering. It can be labelled at sample 2136</t>
  </si>
  <si>
    <t>There has been a confusion in the nubering. It can be labelled at sample 2137</t>
  </si>
  <si>
    <t>Clear glass vial 60ml</t>
  </si>
  <si>
    <t>There has been a confusion in the nubering. It can be labelled at sample 2114</t>
  </si>
  <si>
    <t>There has been a confusion in the nubering. It can be labelled at sample 2115</t>
  </si>
  <si>
    <t>There has been a confusion in the nubering. It can be labelled at sample 2116</t>
  </si>
  <si>
    <t>There has been a confusion in the nubering. It can be labelled at sample 2117</t>
  </si>
  <si>
    <t>There has been a confusion in the nubering. It can be labelled at sample 2118</t>
  </si>
  <si>
    <t>Heterocucumis steineni</t>
  </si>
  <si>
    <t>ethanol</t>
  </si>
  <si>
    <t>Plastic Vial 500 ml</t>
  </si>
  <si>
    <t>Underwater Photography</t>
  </si>
  <si>
    <t>Pennatulaceae</t>
  </si>
  <si>
    <t>Bovallia gigantea</t>
  </si>
  <si>
    <t>Mixed invertebrates</t>
  </si>
  <si>
    <t>Neosmilaster georgianus</t>
  </si>
  <si>
    <t>Glass Vial 10 ml</t>
  </si>
  <si>
    <t>Asteriidae</t>
  </si>
  <si>
    <t>cf Abyssorchomene plebs</t>
  </si>
  <si>
    <t>AT_03</t>
  </si>
  <si>
    <t>Euphausia superba</t>
  </si>
  <si>
    <t>Natatolana</t>
  </si>
  <si>
    <t>Glass Vial 2 ml</t>
  </si>
  <si>
    <t>Fuel consumption</t>
  </si>
  <si>
    <t>Area covered</t>
  </si>
  <si>
    <t>Cumulative time for deployments</t>
  </si>
  <si>
    <t>Number of Events per gear</t>
  </si>
  <si>
    <t>CYANO</t>
  </si>
  <si>
    <t>VV</t>
  </si>
  <si>
    <t>SEAICE</t>
  </si>
  <si>
    <t>BATHY</t>
  </si>
  <si>
    <t>Number of events per gear</t>
  </si>
  <si>
    <t>Total Suspended Matter</t>
  </si>
  <si>
    <t>Snow temperature</t>
  </si>
  <si>
    <t>Sea Ice salinity profile</t>
  </si>
  <si>
    <t>Sea Ice temperature profile</t>
  </si>
  <si>
    <t>Particulate Organic Matter</t>
  </si>
  <si>
    <t>Aerial Mapping</t>
  </si>
  <si>
    <t>Ice thickness physic</t>
  </si>
  <si>
    <t>Ice thickness Chla</t>
  </si>
  <si>
    <t>Ice temperature</t>
  </si>
  <si>
    <t>Icefloe mapping</t>
  </si>
  <si>
    <t>Dissolved Inorganic Carbon</t>
  </si>
  <si>
    <t>CO2 Chamber</t>
  </si>
  <si>
    <t>Data Mass (GB)</t>
  </si>
  <si>
    <t>ROV_frontCAM</t>
  </si>
  <si>
    <t>ROV_GoPRO</t>
  </si>
  <si>
    <t>MAVIC2_Bruno</t>
  </si>
  <si>
    <t>Photos</t>
  </si>
  <si>
    <t>Videos</t>
  </si>
  <si>
    <t>CTD data</t>
  </si>
  <si>
    <t>Incubation data</t>
  </si>
  <si>
    <t>Aerial</t>
  </si>
  <si>
    <t>Aerial Imagery</t>
  </si>
  <si>
    <t>image files</t>
  </si>
  <si>
    <t>DroneDeploy, for Photogrametry</t>
  </si>
  <si>
    <t>Algae_MT1</t>
  </si>
  <si>
    <t>Algae_MT2</t>
  </si>
  <si>
    <t>Algae_MT3</t>
  </si>
  <si>
    <t>Algae_MT4</t>
  </si>
  <si>
    <t>Algae_MT5</t>
  </si>
  <si>
    <t>Algae_MT6</t>
  </si>
  <si>
    <t>Algae_MT7</t>
  </si>
  <si>
    <t>Fragment of individual</t>
  </si>
  <si>
    <t>DNA Barcoding</t>
  </si>
  <si>
    <t>Isotopic analysis</t>
  </si>
  <si>
    <t>Aristotle lantern</t>
  </si>
  <si>
    <t>Sex_ID</t>
  </si>
  <si>
    <t>Microbiome</t>
  </si>
  <si>
    <t>Gonad</t>
  </si>
  <si>
    <t>Digestive pellet</t>
  </si>
  <si>
    <t>Intestine</t>
  </si>
  <si>
    <t>Dissected</t>
  </si>
  <si>
    <t>Spine</t>
  </si>
  <si>
    <t>Eppendorf 2 ml</t>
  </si>
  <si>
    <t>Glass vial 20 ml</t>
  </si>
  <si>
    <t>Bryosoa</t>
  </si>
  <si>
    <t>Portion of individual</t>
  </si>
  <si>
    <t>NIS_42</t>
  </si>
  <si>
    <t>NIS_43</t>
  </si>
  <si>
    <t>NIS_44</t>
  </si>
  <si>
    <t>Transect</t>
  </si>
  <si>
    <t>Invert. Mix</t>
  </si>
  <si>
    <t>Ascidia</t>
  </si>
  <si>
    <t>Glass vial 5 ml</t>
  </si>
  <si>
    <t>1 ophiuroid, many bryozoans</t>
  </si>
  <si>
    <t>Frozen -20°C</t>
  </si>
  <si>
    <t>For Alison Murray</t>
  </si>
  <si>
    <t>Frozen -80°C</t>
  </si>
  <si>
    <t>6m depth</t>
  </si>
  <si>
    <t>18,2m depth</t>
  </si>
  <si>
    <t>SEAICE_2</t>
  </si>
  <si>
    <t>Chla SI 10-20cm</t>
  </si>
  <si>
    <t>Chla SI 20-30cm</t>
  </si>
  <si>
    <t>Chla SI 30-41cm</t>
  </si>
  <si>
    <t>Chla SI 41-50cm</t>
  </si>
  <si>
    <t>Chla SI 50-60cm</t>
  </si>
  <si>
    <t>Chla SI 60-73cm</t>
  </si>
  <si>
    <t>POC SI 20-38cm</t>
  </si>
  <si>
    <t>POC SI 38-60cm</t>
  </si>
  <si>
    <t>POC SI 60-70cm</t>
  </si>
  <si>
    <t>POC SI 20-29cm</t>
  </si>
  <si>
    <t>POC SI 10-20cm</t>
  </si>
  <si>
    <t>Sal SI 10-21cm</t>
  </si>
  <si>
    <t>Sal SI 21-30cm</t>
  </si>
  <si>
    <t>Sal SI 40-50cm</t>
  </si>
  <si>
    <t>Sal SI 50-60cm</t>
  </si>
  <si>
    <t>Sal SI 60-70cm</t>
  </si>
  <si>
    <t>Sal SI 70-80cm</t>
  </si>
  <si>
    <t>Sal SI 100-106cm</t>
  </si>
  <si>
    <t>18O SI 10-21cm</t>
  </si>
  <si>
    <t>18O SI 21-30cm</t>
  </si>
  <si>
    <t>18O SI 40-50cm</t>
  </si>
  <si>
    <t>18O SI 50-60cm</t>
  </si>
  <si>
    <t>18O SI 50-70cm</t>
  </si>
  <si>
    <t>18O SI 70-80cm</t>
  </si>
  <si>
    <t>18O SI 100-106cm</t>
  </si>
  <si>
    <t>Nutrient SI 20-38cm</t>
  </si>
  <si>
    <t>Nutrient SI 38-60cm</t>
  </si>
  <si>
    <t>Nutrient SI 60-70cm</t>
  </si>
  <si>
    <t>Nutrient SI 20-29cm</t>
  </si>
  <si>
    <t>Nutrient SI 10-20cm</t>
  </si>
  <si>
    <t>Gas bag SI 30-41cm</t>
  </si>
  <si>
    <t>Gas bag SI 41-50cm</t>
  </si>
  <si>
    <t>Gas bag SI 60-67cm</t>
  </si>
  <si>
    <t>Gas bag SI 50-64cm</t>
  </si>
  <si>
    <t>Fatty Acid 0-20 cm</t>
  </si>
  <si>
    <t>eDNA 10-20 cm</t>
  </si>
  <si>
    <t>eDNA 40-60 cm</t>
  </si>
  <si>
    <t>Salinity Gas bag SI 0-10cm</t>
  </si>
  <si>
    <t>Salinity Gas bag SI 10-20cm</t>
  </si>
  <si>
    <t>Salinity Gas bag SI 20-30cm</t>
  </si>
  <si>
    <t>Salinity Gas bag SI 30-41cm</t>
  </si>
  <si>
    <t>Salinity Gas bag SI 41-50cm</t>
  </si>
  <si>
    <t>Salinity Gas bag SI 50-60cm</t>
  </si>
  <si>
    <t>Salinity Gas bag SI 60-67cm</t>
  </si>
  <si>
    <t>Salinity Gas bag SI 50-64cm</t>
  </si>
  <si>
    <t>Salinity Gas bag SI 40-50cm</t>
  </si>
  <si>
    <t>Salinity Gas bag SI 30-40cm</t>
  </si>
  <si>
    <t>SEAICE_3</t>
  </si>
  <si>
    <t>Plastic bag</t>
  </si>
  <si>
    <t>Chloroform/Methanol</t>
  </si>
  <si>
    <t>Glass vial 2 ml</t>
  </si>
  <si>
    <t>Core 1</t>
  </si>
  <si>
    <t>Core 2</t>
  </si>
  <si>
    <t>CTD_12</t>
  </si>
  <si>
    <t>NIS_38</t>
  </si>
  <si>
    <t>23 m depth</t>
  </si>
  <si>
    <t>0 m depth</t>
  </si>
  <si>
    <t>27 m depth</t>
  </si>
  <si>
    <t>Filter GF/F in cryotube</t>
  </si>
  <si>
    <t>Filter GF/F in petri dish</t>
  </si>
  <si>
    <t>Temperature</t>
  </si>
  <si>
    <t>.xls</t>
  </si>
  <si>
    <t>NIS_45</t>
  </si>
  <si>
    <t>SCUBA 05</t>
  </si>
  <si>
    <t>NIS 20</t>
  </si>
  <si>
    <t>VV 19</t>
  </si>
  <si>
    <t>NIS 34</t>
  </si>
  <si>
    <t>NIS 40</t>
  </si>
  <si>
    <t>Desmarestia sp</t>
  </si>
  <si>
    <t>Nemertea sp</t>
  </si>
  <si>
    <t>Terebellidae sp</t>
  </si>
  <si>
    <t>Polynoidae sp</t>
  </si>
  <si>
    <t>Dendrilla antarctica</t>
  </si>
  <si>
    <t>Molgula sp</t>
  </si>
  <si>
    <t>Amphipoda sp</t>
  </si>
  <si>
    <t>Isopoda sp</t>
  </si>
  <si>
    <t>Ascidia sp</t>
  </si>
  <si>
    <t>Nacella concinna</t>
  </si>
  <si>
    <t>Gasteropoda sp</t>
  </si>
  <si>
    <t>Exosphaeromas gigas</t>
  </si>
  <si>
    <t>Suspended Particulate Organic Matter</t>
  </si>
  <si>
    <t>Cnemidocarpus verrucosa</t>
  </si>
  <si>
    <t>Parborlarsia corrugatus</t>
  </si>
  <si>
    <t>Carella antarctica</t>
  </si>
  <si>
    <t xml:space="preserve">Trematocarpus antarctica </t>
  </si>
  <si>
    <t>Rhodophyta sp</t>
  </si>
  <si>
    <t>Homaxinella balfourensis</t>
  </si>
  <si>
    <t>Porifera sp</t>
  </si>
  <si>
    <t>Serolidae sp</t>
  </si>
  <si>
    <t>Iridaea cordata</t>
  </si>
  <si>
    <t>Margarella sp</t>
  </si>
  <si>
    <t>Kirkpatrickia variolosa</t>
  </si>
  <si>
    <t>Hydrozoa sp</t>
  </si>
  <si>
    <t>Himanthothalus grandifolius</t>
  </si>
  <si>
    <t>Lysasterias sp</t>
  </si>
  <si>
    <t>Diplasterias sp</t>
  </si>
  <si>
    <t>Mycale sp</t>
  </si>
  <si>
    <t>Plocamium sp</t>
  </si>
  <si>
    <t>Polychaeta sp</t>
  </si>
  <si>
    <t>polyplacophora sp</t>
  </si>
  <si>
    <t>Pyura setosa</t>
  </si>
  <si>
    <t>Polyplacophora sp</t>
  </si>
  <si>
    <t>Eusirus sp</t>
  </si>
  <si>
    <t>Glyptonotus antarcticus</t>
  </si>
  <si>
    <t>Bivalvia sp</t>
  </si>
  <si>
    <t>Microphytobenthos</t>
  </si>
  <si>
    <t>Ophiuridae victoriae</t>
  </si>
  <si>
    <t>Yoldia sp</t>
  </si>
  <si>
    <t>Adamussium colbecki</t>
  </si>
  <si>
    <t>Stomphia selaginella</t>
  </si>
  <si>
    <t>Acodontaster sp</t>
  </si>
  <si>
    <t>Staurocucumis turqueti</t>
  </si>
  <si>
    <t>Flabelligera mundata</t>
  </si>
  <si>
    <t>Didemnum studeri</t>
  </si>
  <si>
    <t>Glabraster antarcticus</t>
  </si>
  <si>
    <t>Cuenotaster involutus</t>
  </si>
  <si>
    <t>Marseniopsis mollis</t>
  </si>
  <si>
    <t>Bryozoa sp</t>
  </si>
  <si>
    <t>Corallimorphus karinae</t>
  </si>
  <si>
    <t>Isodictya sp</t>
  </si>
  <si>
    <t>Bulk</t>
  </si>
  <si>
    <t>CM</t>
  </si>
  <si>
    <t>LK</t>
  </si>
  <si>
    <t>Methanol/Chloroform solvent</t>
  </si>
  <si>
    <t>DNA buffer (Sylphium Molecular Ecology)</t>
  </si>
  <si>
    <t>Pure EtOH</t>
  </si>
  <si>
    <t>4mL glass vial</t>
  </si>
  <si>
    <t>15mL Falcon tube</t>
  </si>
  <si>
    <t>Aluminum foil</t>
  </si>
  <si>
    <t>eDNA capsule (Sylphium Molecular Ecology)</t>
  </si>
  <si>
    <t>20mL glass vial</t>
  </si>
  <si>
    <t>Cryotube</t>
  </si>
  <si>
    <t>Petri dish</t>
  </si>
  <si>
    <t>Probablement Cnemidocarpus verrucosa</t>
  </si>
  <si>
    <t>In a 20ml GV</t>
  </si>
  <si>
    <t>Frozen instead of ethanol</t>
  </si>
  <si>
    <t>Communauté épiphytes avec beaucoup de bryozoaires</t>
  </si>
  <si>
    <t>Présence de Desmarestia dans la VV, donc deux types d'amphipodes présents (rouges et blancs)</t>
  </si>
  <si>
    <t xml:space="preserve">Pauvre en boulettes </t>
  </si>
  <si>
    <t>Très pauvre en boulettes</t>
  </si>
  <si>
    <t>Vrai numéro 3071</t>
  </si>
  <si>
    <t>Vrai numéro 3069</t>
  </si>
  <si>
    <t>Conductivity - Salinity - Depth</t>
  </si>
  <si>
    <t>VV_8</t>
  </si>
  <si>
    <t>VV_9</t>
  </si>
  <si>
    <t>VV_10</t>
  </si>
  <si>
    <t>VV_11</t>
  </si>
  <si>
    <t>VV_12</t>
  </si>
  <si>
    <t>VV_13</t>
  </si>
  <si>
    <t>VV_14</t>
  </si>
  <si>
    <t>VV_15</t>
  </si>
  <si>
    <t>VV_16</t>
  </si>
  <si>
    <t>VV_17</t>
  </si>
  <si>
    <t>VV_18</t>
  </si>
  <si>
    <t>VV_20</t>
  </si>
  <si>
    <t>VV_21</t>
  </si>
  <si>
    <t>VV_22</t>
  </si>
  <si>
    <t>VV_23</t>
  </si>
  <si>
    <t>VV_24</t>
  </si>
  <si>
    <t>VV_25</t>
  </si>
  <si>
    <t>VV_26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</si>
</sst>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00"/>
    <numFmt numFmtId="165" formatCode="yyyy\-mm\-dd"/>
    <numFmt numFmtId="166" formatCode="[$]hh:mm;@" x16r2:formatCode16="[$-en-BE,1]hh:mm;@"/>
    <numFmt numFmtId="167" formatCode="0.000"/>
  </numFmts>
  <fonts count="16">
    <font>
      <sz val="10"/>
      <color theme="1"/>
      <name val="Calibri"/>
      <scheme val="minor"/>
    </font>
    <font>
      <sz val="10"/>
      <color theme="1"/>
      <name val="Calibri"/>
      <family val="2"/>
    </font>
    <font>
      <sz val="11"/>
      <color theme="1"/>
      <name val="Calibri"/>
      <family val="2"/>
    </font>
    <font>
      <sz val="10"/>
      <color theme="1"/>
      <name val="Calibri"/>
      <family val="2"/>
      <scheme val="minor"/>
    </font>
    <font>
      <b/>
      <sz val="10"/>
      <color theme="1"/>
      <name val="Calibri"/>
      <family val="2"/>
    </font>
    <font>
      <sz val="10"/>
      <color theme="1"/>
      <name val="Arial"/>
      <family val="2"/>
    </font>
    <font>
      <u/>
      <sz val="10"/>
      <color rgb="FF56A3F1"/>
      <name val="Calibri"/>
      <family val="2"/>
    </font>
    <font>
      <u/>
      <sz val="10"/>
      <color rgb="FF0000FF"/>
      <name val="Calibri"/>
      <family val="2"/>
    </font>
    <font>
      <sz val="12"/>
      <color theme="1"/>
      <name val="Calibri"/>
      <family val="2"/>
    </font>
    <font>
      <sz val="10"/>
      <name val="Calibri"/>
      <family val="2"/>
    </font>
    <font>
      <u/>
      <sz val="10"/>
      <color theme="10"/>
      <name val="Calibri"/>
      <family val="2"/>
      <scheme val="minor"/>
    </font>
    <font>
      <i/>
      <sz val="8"/>
      <color theme="1"/>
      <name val="Helvetica"/>
      <family val="2"/>
    </font>
    <font>
      <sz val="8"/>
      <name val="Calibri"/>
      <family val="2"/>
      <scheme val="minor"/>
    </font>
    <font>
      <sz val="10"/>
      <color rgb="FF000000"/>
      <name val="Calibri"/>
      <family val="2"/>
      <scheme val="minor"/>
    </font>
    <font>
      <sz val="11"/>
      <color rgb="FF000000"/>
      <name val="Calibri"/>
      <family val="2"/>
      <scheme val="minor"/>
    </font>
    <font>
      <sz val="10"/>
      <color rgb="FF000000"/>
      <name val="Calibri"/>
      <family val="2"/>
    </font>
  </fonts>
  <fills count="6">
    <fill>
      <patternFill patternType="none"/>
    </fill>
    <fill>
      <patternFill patternType="gray125"/>
    </fill>
    <fill>
      <patternFill patternType="solid">
        <fgColor rgb="FFB9F6F5"/>
        <bgColor rgb="FFB9F6F5"/>
      </patternFill>
    </fill>
    <fill>
      <patternFill patternType="solid">
        <fgColor rgb="FF23EEFF"/>
        <bgColor rgb="FF23EEFF"/>
      </patternFill>
    </fill>
    <fill>
      <patternFill patternType="solid">
        <fgColor rgb="FFFF94E8"/>
        <bgColor rgb="FFFF94E8"/>
      </patternFill>
    </fill>
    <fill>
      <patternFill patternType="solid">
        <fgColor rgb="FFFFFF00"/>
        <bgColor indexed="64"/>
      </patternFill>
    </fill>
  </fills>
  <borders count="3">
    <border>
      <left/>
      <right/>
      <top/>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10" fillId="0" borderId="0" applyNumberFormat="0" applyFill="0" applyBorder="0" applyAlignment="0" applyProtection="0"/>
  </cellStyleXfs>
  <cellXfs count="57">
    <xf numFmtId="0" fontId="0" fillId="0" borderId="0" xfId="0"/>
    <xf numFmtId="164" fontId="1" fillId="0" borderId="0" xfId="0" applyNumberFormat="1" applyFont="1"/>
    <xf numFmtId="0" fontId="3" fillId="0" borderId="0" xfId="0" applyFont="1"/>
    <xf numFmtId="165" fontId="1" fillId="0" borderId="0" xfId="0" applyNumberFormat="1" applyFont="1"/>
    <xf numFmtId="20" fontId="1" fillId="0" borderId="0" xfId="0" applyNumberFormat="1" applyFont="1"/>
    <xf numFmtId="0" fontId="4" fillId="0" borderId="0" xfId="0" applyFont="1"/>
    <xf numFmtId="0" fontId="5" fillId="0" borderId="0" xfId="0" applyFont="1"/>
    <xf numFmtId="0" fontId="6" fillId="0" borderId="0" xfId="0" applyFont="1"/>
    <xf numFmtId="0" fontId="7" fillId="0" borderId="0" xfId="0" applyFont="1"/>
    <xf numFmtId="0" fontId="10" fillId="0" borderId="0" xfId="1"/>
    <xf numFmtId="0" fontId="2" fillId="2" borderId="2" xfId="0" applyFont="1" applyFill="1" applyBorder="1" applyAlignment="1">
      <alignment vertical="center" wrapText="1"/>
    </xf>
    <xf numFmtId="0" fontId="3" fillId="0" borderId="0" xfId="0" quotePrefix="1" applyFont="1"/>
    <xf numFmtId="0" fontId="2" fillId="2" borderId="2" xfId="0" applyFont="1" applyFill="1" applyBorder="1" applyAlignment="1" applyProtection="1">
      <alignment vertical="center" wrapText="1"/>
      <protection locked="0"/>
    </xf>
    <xf numFmtId="0" fontId="0" fillId="0" borderId="0" xfId="0" applyProtection="1">
      <protection locked="0"/>
    </xf>
    <xf numFmtId="0" fontId="3" fillId="0" borderId="0" xfId="0" applyFont="1" applyProtection="1">
      <protection locked="0"/>
    </xf>
    <xf numFmtId="20" fontId="1" fillId="0" borderId="0" xfId="0" applyNumberFormat="1" applyFont="1" applyProtection="1">
      <protection locked="0"/>
    </xf>
    <xf numFmtId="0" fontId="1" fillId="0" borderId="0" xfId="0" applyFont="1"/>
    <xf numFmtId="0" fontId="8" fillId="2" borderId="2" xfId="0" applyFont="1" applyFill="1" applyBorder="1" applyAlignment="1">
      <alignment horizontal="left" wrapText="1"/>
    </xf>
    <xf numFmtId="0" fontId="8" fillId="4" borderId="2" xfId="0" applyFont="1" applyFill="1" applyBorder="1" applyAlignment="1">
      <alignment horizontal="left" wrapText="1"/>
    </xf>
    <xf numFmtId="0" fontId="0" fillId="0" borderId="0" xfId="0" applyAlignment="1">
      <alignment wrapText="1"/>
    </xf>
    <xf numFmtId="0" fontId="11" fillId="0" borderId="0" xfId="0" applyFont="1" applyAlignment="1">
      <alignment wrapText="1"/>
    </xf>
    <xf numFmtId="166" fontId="2" fillId="2" borderId="2" xfId="0" applyNumberFormat="1" applyFont="1" applyFill="1" applyBorder="1" applyAlignment="1">
      <alignment vertical="center" wrapText="1"/>
    </xf>
    <xf numFmtId="166" fontId="1" fillId="0" borderId="0" xfId="0" applyNumberFormat="1" applyFont="1"/>
    <xf numFmtId="166" fontId="0" fillId="0" borderId="0" xfId="0" applyNumberFormat="1"/>
    <xf numFmtId="164" fontId="2" fillId="2" borderId="2" xfId="0" applyNumberFormat="1" applyFont="1" applyFill="1" applyBorder="1" applyAlignment="1">
      <alignment vertical="center" wrapText="1"/>
    </xf>
    <xf numFmtId="164" fontId="0" fillId="0" borderId="0" xfId="0" applyNumberFormat="1"/>
    <xf numFmtId="1" fontId="2" fillId="2" borderId="2" xfId="0" applyNumberFormat="1" applyFont="1" applyFill="1" applyBorder="1" applyAlignment="1">
      <alignment vertical="center" wrapText="1"/>
    </xf>
    <xf numFmtId="1" fontId="1" fillId="0" borderId="0" xfId="0" applyNumberFormat="1" applyFont="1"/>
    <xf numFmtId="1" fontId="0" fillId="0" borderId="0" xfId="0" applyNumberFormat="1"/>
    <xf numFmtId="167" fontId="2" fillId="2" borderId="2" xfId="0" applyNumberFormat="1" applyFont="1" applyFill="1" applyBorder="1" applyAlignment="1">
      <alignment vertical="center" wrapText="1"/>
    </xf>
    <xf numFmtId="167" fontId="1" fillId="0" borderId="0" xfId="0" applyNumberFormat="1" applyFont="1"/>
    <xf numFmtId="167" fontId="0" fillId="0" borderId="0" xfId="0" applyNumberFormat="1"/>
    <xf numFmtId="0" fontId="3" fillId="5" borderId="0" xfId="0" applyFont="1" applyFill="1"/>
    <xf numFmtId="166" fontId="1" fillId="5" borderId="0" xfId="0" applyNumberFormat="1" applyFont="1" applyFill="1"/>
    <xf numFmtId="1" fontId="1" fillId="5" borderId="0" xfId="0" applyNumberFormat="1" applyFont="1" applyFill="1"/>
    <xf numFmtId="167" fontId="1" fillId="5" borderId="0" xfId="0" applyNumberFormat="1" applyFont="1" applyFill="1"/>
    <xf numFmtId="164" fontId="0" fillId="5" borderId="0" xfId="0" applyNumberFormat="1" applyFill="1"/>
    <xf numFmtId="164" fontId="1" fillId="5" borderId="0" xfId="0" applyNumberFormat="1" applyFont="1" applyFill="1"/>
    <xf numFmtId="1" fontId="13" fillId="0" borderId="0" xfId="0" applyNumberFormat="1" applyFont="1"/>
    <xf numFmtId="167" fontId="13" fillId="0" borderId="0" xfId="0" applyNumberFormat="1" applyFont="1"/>
    <xf numFmtId="165" fontId="13" fillId="0" borderId="0" xfId="0" applyNumberFormat="1" applyFont="1"/>
    <xf numFmtId="20" fontId="1" fillId="5" borderId="0" xfId="0" applyNumberFormat="1" applyFont="1" applyFill="1" applyProtection="1">
      <protection locked="0"/>
    </xf>
    <xf numFmtId="0" fontId="13" fillId="0" borderId="0" xfId="0" applyFont="1" applyProtection="1">
      <protection locked="0"/>
    </xf>
    <xf numFmtId="0" fontId="14" fillId="2" borderId="2" xfId="0" applyFont="1" applyFill="1" applyBorder="1" applyAlignment="1" applyProtection="1">
      <alignment vertical="center" wrapText="1"/>
      <protection locked="0"/>
    </xf>
    <xf numFmtId="1" fontId="0" fillId="5" borderId="0" xfId="0" applyNumberFormat="1" applyFill="1"/>
    <xf numFmtId="167" fontId="0" fillId="5" borderId="0" xfId="0" applyNumberFormat="1" applyFill="1"/>
    <xf numFmtId="0" fontId="13" fillId="0" borderId="0" xfId="0" applyFont="1"/>
    <xf numFmtId="0" fontId="1" fillId="0" borderId="0" xfId="0" applyFont="1" applyProtection="1">
      <protection locked="0"/>
    </xf>
    <xf numFmtId="0" fontId="1" fillId="5" borderId="0" xfId="0" applyFont="1" applyFill="1" applyProtection="1">
      <protection locked="0"/>
    </xf>
    <xf numFmtId="0" fontId="15" fillId="0" borderId="0" xfId="0" applyFont="1" applyProtection="1">
      <protection locked="0"/>
    </xf>
    <xf numFmtId="20" fontId="15" fillId="0" borderId="0" xfId="0" applyNumberFormat="1" applyFont="1" applyProtection="1">
      <protection locked="0"/>
    </xf>
    <xf numFmtId="0" fontId="15" fillId="5" borderId="0" xfId="0" applyFont="1" applyFill="1" applyProtection="1">
      <protection locked="0"/>
    </xf>
    <xf numFmtId="20" fontId="15" fillId="5" borderId="0" xfId="0" applyNumberFormat="1" applyFont="1" applyFill="1" applyProtection="1">
      <protection locked="0"/>
    </xf>
    <xf numFmtId="166" fontId="3" fillId="0" borderId="0" xfId="0" applyNumberFormat="1" applyFont="1"/>
    <xf numFmtId="0" fontId="1" fillId="0" borderId="0" xfId="0" quotePrefix="1" applyFont="1" applyProtection="1">
      <protection locked="0"/>
    </xf>
    <xf numFmtId="0" fontId="8" fillId="3" borderId="1" xfId="0" applyFont="1" applyFill="1" applyBorder="1" applyAlignment="1">
      <alignment horizontal="center" wrapText="1"/>
    </xf>
    <xf numFmtId="0" fontId="9" fillId="0" borderId="2" xfId="0" applyFont="1" applyBorder="1"/>
  </cellXfs>
  <cellStyles count="2">
    <cellStyle name="Hyperlink" xfId="1" builtinId="8"/>
    <cellStyle name="Normal" xfId="0" builtinId="0"/>
  </cellStyles>
  <dxfs count="4">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s>
  <tableStyles count="2" defaultTableStyle="TableStyleMedium2" defaultPivotStyle="PivotStyleLight16">
    <tableStyle name="Variables-style" pivot="0" count="2" xr9:uid="{00000000-0011-0000-FFFF-FFFF00000000}">
      <tableStyleElement type="firstRowStripe" dxfId="3"/>
      <tableStyleElement type="secondRowStripe" dxfId="2"/>
    </tableStyle>
    <tableStyle name="Variables-style 2" pivot="0" count="2" xr9:uid="{00000000-0011-0000-FFFF-FFFF01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A140" headerRowCount="0">
  <tableColumns count="1">
    <tableColumn id="1" xr3:uid="{00000000-0010-0000-0000-000001000000}" name="Column1"/>
  </tableColumns>
  <tableStyleInfo name="Variable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2:B77" headerRowCount="0">
  <tableColumns count="1">
    <tableColumn id="1" xr3:uid="{00000000-0010-0000-0100-000001000000}" name="Column1"/>
  </tableColumns>
  <tableStyleInfo name="Variables-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8" Type="http://schemas.openxmlformats.org/officeDocument/2006/relationships/hyperlink" Target="https://orcid.org/0000-0002-0981-7442" TargetMode="External"/><Relationship Id="rId3" Type="http://schemas.openxmlformats.org/officeDocument/2006/relationships/hyperlink" Target="https://orcid.org/0000-0002-9708-1761" TargetMode="External"/><Relationship Id="rId7" Type="http://schemas.openxmlformats.org/officeDocument/2006/relationships/hyperlink" Target="https://orcid.org/0000-0003-0502-8101" TargetMode="External"/><Relationship Id="rId2" Type="http://schemas.openxmlformats.org/officeDocument/2006/relationships/hyperlink" Target="https://ror.org/01r9htc13" TargetMode="External"/><Relationship Id="rId1" Type="http://schemas.openxmlformats.org/officeDocument/2006/relationships/hyperlink" Target="https://ror.org/00afp2z80" TargetMode="External"/><Relationship Id="rId6" Type="http://schemas.openxmlformats.org/officeDocument/2006/relationships/hyperlink" Target="https://ror.org/00cv9y106" TargetMode="External"/><Relationship Id="rId5" Type="http://schemas.openxmlformats.org/officeDocument/2006/relationships/hyperlink" Target="https://orcid.org/0000-0002-9037-7623" TargetMode="External"/><Relationship Id="rId4" Type="http://schemas.openxmlformats.org/officeDocument/2006/relationships/hyperlink" Target="https://orcid.org/0000-0001-5748-602X" TargetMode="External"/><Relationship Id="rId9" Type="http://schemas.openxmlformats.org/officeDocument/2006/relationships/hyperlink" Target="https://orcid.org/0000-0002-8971-81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A6DA2-0EDD-4C49-8DA6-B5C9CF04D44E}">
  <dimension ref="A1:O17"/>
  <sheetViews>
    <sheetView tabSelected="1" zoomScale="130" zoomScaleNormal="130" workbookViewId="0">
      <selection activeCell="E14" sqref="E14"/>
    </sheetView>
  </sheetViews>
  <sheetFormatPr baseColWidth="10" defaultRowHeight="14"/>
  <cols>
    <col min="1" max="1" width="22.59765625" customWidth="1"/>
    <col min="4" max="4" width="23" bestFit="1" customWidth="1"/>
    <col min="8" max="9" width="13.796875" bestFit="1" customWidth="1"/>
    <col min="10" max="10" width="11.59765625" bestFit="1" customWidth="1"/>
    <col min="11" max="13" width="13.796875" bestFit="1" customWidth="1"/>
  </cols>
  <sheetData>
    <row r="1" spans="1:15">
      <c r="A1" s="53" t="s">
        <v>1086</v>
      </c>
      <c r="B1" s="23" t="e">
        <f>STATS!B1</f>
        <v>#REF!</v>
      </c>
      <c r="D1" s="2" t="s">
        <v>1092</v>
      </c>
      <c r="E1" t="str">
        <f>STATS!J3</f>
        <v>AT</v>
      </c>
      <c r="F1">
        <f>STATS!K3</f>
        <v>5</v>
      </c>
      <c r="H1" s="2" t="s">
        <v>1105</v>
      </c>
      <c r="I1">
        <f>SUM(I2:I8)</f>
        <v>523.23</v>
      </c>
      <c r="L1" s="2"/>
      <c r="M1" s="2"/>
      <c r="N1" s="2"/>
      <c r="O1" s="2"/>
    </row>
    <row r="2" spans="1:15">
      <c r="A2" s="2" t="s">
        <v>958</v>
      </c>
      <c r="B2">
        <f>STATS!F1</f>
        <v>178</v>
      </c>
      <c r="E2" t="str">
        <f>STATS!J4</f>
        <v>BATHY</v>
      </c>
      <c r="F2">
        <v>5</v>
      </c>
      <c r="H2" s="2" t="s">
        <v>1106</v>
      </c>
    </row>
    <row r="3" spans="1:15">
      <c r="A3" s="2" t="s">
        <v>959</v>
      </c>
      <c r="B3">
        <f>STATS!F2</f>
        <v>3952</v>
      </c>
      <c r="E3" t="str">
        <f>STATS!J5</f>
        <v>CTD</v>
      </c>
      <c r="F3">
        <f>STATS!K5</f>
        <v>13</v>
      </c>
      <c r="H3" s="2" t="s">
        <v>1107</v>
      </c>
      <c r="I3">
        <v>425</v>
      </c>
    </row>
    <row r="4" spans="1:15">
      <c r="A4" s="2" t="s">
        <v>1084</v>
      </c>
      <c r="E4" t="str">
        <f>STATS!J6</f>
        <v>CYANO</v>
      </c>
      <c r="F4">
        <f>STATS!K6</f>
        <v>5</v>
      </c>
      <c r="H4" s="2" t="s">
        <v>1108</v>
      </c>
      <c r="I4">
        <f>67+0.97+3.74+2.8+4.25+1.61+3.4+4.2+1.03+1.67+0.78+2.93+1.43+0.08+0.78+0.84+0.48+0.24</f>
        <v>98.230000000000018</v>
      </c>
    </row>
    <row r="5" spans="1:15">
      <c r="A5" s="2" t="s">
        <v>1085</v>
      </c>
      <c r="E5" t="str">
        <f>STATS!J2</f>
        <v>DR</v>
      </c>
      <c r="F5">
        <f>STATS!K2</f>
        <v>5</v>
      </c>
      <c r="H5" s="2" t="s">
        <v>1109</v>
      </c>
    </row>
    <row r="6" spans="1:15">
      <c r="E6" t="str">
        <f>STATS!J7</f>
        <v>DRM</v>
      </c>
      <c r="F6">
        <f>STATS!K7</f>
        <v>11</v>
      </c>
      <c r="H6" s="2" t="s">
        <v>1110</v>
      </c>
    </row>
    <row r="7" spans="1:15">
      <c r="E7" t="str">
        <f>STATS!J8</f>
        <v>ICE</v>
      </c>
      <c r="F7">
        <f>STATS!K8</f>
        <v>0</v>
      </c>
      <c r="H7" s="2" t="s">
        <v>1111</v>
      </c>
    </row>
    <row r="8" spans="1:15">
      <c r="E8" t="str">
        <f>STATS!J9</f>
        <v>ITD</v>
      </c>
      <c r="F8">
        <f>STATS!K9</f>
        <v>3</v>
      </c>
      <c r="H8" s="2" t="s">
        <v>1112</v>
      </c>
    </row>
    <row r="9" spans="1:15">
      <c r="E9" t="str">
        <f>STATS!J10</f>
        <v>NIS</v>
      </c>
      <c r="F9">
        <f>STATS!K10</f>
        <v>42</v>
      </c>
    </row>
    <row r="10" spans="1:15">
      <c r="E10" t="str">
        <f>STATS!J11</f>
        <v>RD</v>
      </c>
      <c r="F10">
        <f>STATS!K11</f>
        <v>22</v>
      </c>
    </row>
    <row r="11" spans="1:15">
      <c r="E11" t="str">
        <f>STATS!J12</f>
        <v>ROV</v>
      </c>
      <c r="F11">
        <f>STATS!K12</f>
        <v>22</v>
      </c>
    </row>
    <row r="12" spans="1:15">
      <c r="E12" t="str">
        <f>STATS!J13</f>
        <v>SCUBA</v>
      </c>
      <c r="F12">
        <f>STATS!K13</f>
        <v>30</v>
      </c>
    </row>
    <row r="13" spans="1:15">
      <c r="E13" t="str">
        <f>STATS!J14</f>
        <v>SEAICE</v>
      </c>
      <c r="F13">
        <f>STATS!K14</f>
        <v>2</v>
      </c>
    </row>
    <row r="14" spans="1:15">
      <c r="E14" t="str">
        <f>STATS!J15</f>
        <v>ST</v>
      </c>
      <c r="F14">
        <f>STATS!K15</f>
        <v>2</v>
      </c>
    </row>
    <row r="15" spans="1:15">
      <c r="E15" t="str">
        <f>STATS!J16</f>
        <v>VV</v>
      </c>
      <c r="F15">
        <f>STATS!K16</f>
        <v>7</v>
      </c>
    </row>
    <row r="17" spans="6:6">
      <c r="F17">
        <f>SUM(F1:F15)</f>
        <v>174</v>
      </c>
    </row>
  </sheetData>
  <sortState xmlns:xlrd2="http://schemas.microsoft.com/office/spreadsheetml/2017/richdata2" ref="E1:F15">
    <sortCondition ref="E1:E1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312C8-6AD9-F844-AAD4-225A2160D91D}">
  <dimension ref="A1:K250"/>
  <sheetViews>
    <sheetView zoomScale="130" zoomScaleNormal="130" workbookViewId="0">
      <selection activeCell="B1" sqref="B1"/>
    </sheetView>
  </sheetViews>
  <sheetFormatPr baseColWidth="10" defaultColWidth="11.3984375" defaultRowHeight="14"/>
  <cols>
    <col min="1" max="1" width="16.59765625" style="23" bestFit="1" customWidth="1"/>
    <col min="2" max="2" width="10" style="23" customWidth="1"/>
    <col min="3" max="3" width="6" bestFit="1" customWidth="1"/>
    <col min="5" max="5" width="15.59765625" bestFit="1" customWidth="1"/>
  </cols>
  <sheetData>
    <row r="1" spans="1:11">
      <c r="A1" s="53" t="s">
        <v>902</v>
      </c>
      <c r="B1" s="23" t="e">
        <f>SUM(C:C)</f>
        <v>#REF!</v>
      </c>
      <c r="E1" s="2" t="s">
        <v>958</v>
      </c>
      <c r="F1">
        <f>COUNTA(Events!B:B)</f>
        <v>178</v>
      </c>
      <c r="H1" s="2" t="s">
        <v>1087</v>
      </c>
      <c r="J1" s="2" t="s">
        <v>1087</v>
      </c>
    </row>
    <row r="2" spans="1:11">
      <c r="A2" s="23">
        <f>Events!H2</f>
        <v>0.38680555555555557</v>
      </c>
      <c r="B2" s="23">
        <f>Events!I2</f>
        <v>0.39374999999999999</v>
      </c>
      <c r="C2" s="23">
        <f>B2-A2</f>
        <v>6.9444444444444198E-3</v>
      </c>
      <c r="E2" s="2" t="s">
        <v>959</v>
      </c>
      <c r="F2">
        <f>COUNTA(Samples!B:B)</f>
        <v>3952</v>
      </c>
      <c r="H2" s="2" t="s">
        <v>813</v>
      </c>
      <c r="I2">
        <v>1</v>
      </c>
      <c r="J2" t="s">
        <v>816</v>
      </c>
      <c r="K2">
        <f t="shared" ref="K2:K17" si="0">COUNTIF(H:H, J2)</f>
        <v>5</v>
      </c>
    </row>
    <row r="3" spans="1:11">
      <c r="A3" s="23">
        <f>Events!H3</f>
        <v>0.40972222222222227</v>
      </c>
      <c r="B3" s="23">
        <f>Events!I3</f>
        <v>0.4375</v>
      </c>
      <c r="C3" s="23">
        <f t="shared" ref="C3:C66" si="1">B3-A3</f>
        <v>2.7777777777777735E-2</v>
      </c>
      <c r="H3" s="2" t="s">
        <v>813</v>
      </c>
      <c r="I3">
        <v>2</v>
      </c>
      <c r="J3" t="s">
        <v>813</v>
      </c>
      <c r="K3">
        <f t="shared" si="0"/>
        <v>5</v>
      </c>
    </row>
    <row r="4" spans="1:11">
      <c r="A4" s="23">
        <f>Events!H4</f>
        <v>0.64583333333333337</v>
      </c>
      <c r="B4" s="23">
        <f>Events!I4</f>
        <v>0.66666666666666663</v>
      </c>
      <c r="C4" s="23">
        <f t="shared" si="1"/>
        <v>2.0833333333333259E-2</v>
      </c>
      <c r="H4" s="2" t="s">
        <v>813</v>
      </c>
      <c r="I4">
        <v>3</v>
      </c>
      <c r="J4" t="s">
        <v>1091</v>
      </c>
      <c r="K4">
        <f t="shared" si="0"/>
        <v>0</v>
      </c>
    </row>
    <row r="5" spans="1:11">
      <c r="A5" s="23">
        <f>Events!H5</f>
        <v>0.67013888888888884</v>
      </c>
      <c r="B5" s="23">
        <f>Events!I5</f>
        <v>0.67708333333333337</v>
      </c>
      <c r="C5" s="23">
        <f t="shared" si="1"/>
        <v>6.9444444444445308E-3</v>
      </c>
      <c r="H5" s="2" t="s">
        <v>813</v>
      </c>
      <c r="I5">
        <v>4</v>
      </c>
      <c r="J5" t="s">
        <v>580</v>
      </c>
      <c r="K5">
        <f t="shared" si="0"/>
        <v>13</v>
      </c>
    </row>
    <row r="6" spans="1:11">
      <c r="A6" s="23">
        <f>Events!H6</f>
        <v>0.75</v>
      </c>
      <c r="B6" s="23">
        <f>Events!I6</f>
        <v>0.77083333333333337</v>
      </c>
      <c r="C6" s="23">
        <f t="shared" si="1"/>
        <v>2.083333333333337E-2</v>
      </c>
      <c r="H6" s="2" t="s">
        <v>813</v>
      </c>
      <c r="I6">
        <v>5</v>
      </c>
      <c r="J6" t="s">
        <v>1088</v>
      </c>
      <c r="K6">
        <f t="shared" si="0"/>
        <v>5</v>
      </c>
    </row>
    <row r="7" spans="1:11">
      <c r="A7" s="23">
        <f>Events!H7</f>
        <v>0.4375</v>
      </c>
      <c r="B7" s="23">
        <f>Events!I7</f>
        <v>0.45833333333333331</v>
      </c>
      <c r="C7" s="23">
        <f t="shared" si="1"/>
        <v>2.0833333333333315E-2</v>
      </c>
      <c r="H7" s="2" t="s">
        <v>580</v>
      </c>
      <c r="I7">
        <v>1</v>
      </c>
      <c r="J7" t="s">
        <v>817</v>
      </c>
      <c r="K7">
        <f t="shared" si="0"/>
        <v>11</v>
      </c>
    </row>
    <row r="8" spans="1:11">
      <c r="A8" s="23">
        <f>Events!H8</f>
        <v>0.6875</v>
      </c>
      <c r="B8" s="23">
        <f>Events!I8</f>
        <v>0.70833333333333337</v>
      </c>
      <c r="C8" s="23">
        <f t="shared" si="1"/>
        <v>2.083333333333337E-2</v>
      </c>
      <c r="H8" s="2" t="s">
        <v>580</v>
      </c>
      <c r="I8">
        <v>2</v>
      </c>
      <c r="J8" t="s">
        <v>786</v>
      </c>
      <c r="K8">
        <f t="shared" si="0"/>
        <v>0</v>
      </c>
    </row>
    <row r="9" spans="1:11">
      <c r="A9" s="23">
        <f>Events!H9</f>
        <v>0.48958333333333331</v>
      </c>
      <c r="B9" s="23">
        <f>Events!I9</f>
        <v>0</v>
      </c>
      <c r="C9" s="23">
        <f t="shared" si="1"/>
        <v>-0.48958333333333331</v>
      </c>
      <c r="H9" s="2" t="s">
        <v>580</v>
      </c>
      <c r="I9">
        <v>3</v>
      </c>
      <c r="J9" t="s">
        <v>819</v>
      </c>
      <c r="K9">
        <f t="shared" si="0"/>
        <v>3</v>
      </c>
    </row>
    <row r="10" spans="1:11">
      <c r="A10" s="23">
        <f>Events!H10</f>
        <v>0.39583333333333331</v>
      </c>
      <c r="B10" s="23">
        <f>Events!I10</f>
        <v>0.45833333333333331</v>
      </c>
      <c r="C10" s="23">
        <f t="shared" si="1"/>
        <v>6.25E-2</v>
      </c>
      <c r="H10" s="2" t="s">
        <v>580</v>
      </c>
      <c r="I10">
        <v>4</v>
      </c>
      <c r="J10" t="s">
        <v>821</v>
      </c>
      <c r="K10">
        <f t="shared" si="0"/>
        <v>42</v>
      </c>
    </row>
    <row r="11" spans="1:11">
      <c r="A11" s="23">
        <f>Events!H11</f>
        <v>0.4236111111111111</v>
      </c>
      <c r="B11" s="23">
        <f>Events!I11</f>
        <v>0</v>
      </c>
      <c r="C11" s="23">
        <f t="shared" si="1"/>
        <v>-0.4236111111111111</v>
      </c>
      <c r="H11" s="2" t="s">
        <v>580</v>
      </c>
      <c r="I11">
        <v>5</v>
      </c>
      <c r="J11" t="s">
        <v>822</v>
      </c>
      <c r="K11">
        <f t="shared" si="0"/>
        <v>22</v>
      </c>
    </row>
    <row r="12" spans="1:11">
      <c r="A12" s="23">
        <f>Events!H12</f>
        <v>0.72916666666666663</v>
      </c>
      <c r="B12" s="23">
        <f>Events!I12</f>
        <v>0.73958333333333337</v>
      </c>
      <c r="C12" s="23">
        <f t="shared" si="1"/>
        <v>1.0416666666666741E-2</v>
      </c>
      <c r="H12" s="2" t="s">
        <v>580</v>
      </c>
      <c r="I12">
        <v>6</v>
      </c>
      <c r="J12" t="s">
        <v>645</v>
      </c>
      <c r="K12">
        <f t="shared" si="0"/>
        <v>22</v>
      </c>
    </row>
    <row r="13" spans="1:11">
      <c r="A13" s="23">
        <f>Events!H13</f>
        <v>0.39583333333333331</v>
      </c>
      <c r="B13" s="23">
        <f>Events!I13</f>
        <v>0.40277777777777773</v>
      </c>
      <c r="C13" s="23">
        <f t="shared" si="1"/>
        <v>6.9444444444444198E-3</v>
      </c>
      <c r="H13" s="2" t="s">
        <v>580</v>
      </c>
      <c r="I13">
        <v>7</v>
      </c>
      <c r="J13" t="s">
        <v>59</v>
      </c>
      <c r="K13">
        <f t="shared" si="0"/>
        <v>30</v>
      </c>
    </row>
    <row r="14" spans="1:11">
      <c r="A14" s="23">
        <f>Events!H14</f>
        <v>0.51458333333333328</v>
      </c>
      <c r="B14" s="23">
        <f>Events!I14</f>
        <v>0.52708333333333335</v>
      </c>
      <c r="C14" s="23">
        <f t="shared" si="1"/>
        <v>1.2500000000000067E-2</v>
      </c>
      <c r="H14" s="2" t="s">
        <v>580</v>
      </c>
      <c r="I14">
        <v>8</v>
      </c>
      <c r="J14" t="s">
        <v>1090</v>
      </c>
      <c r="K14">
        <f t="shared" si="0"/>
        <v>2</v>
      </c>
    </row>
    <row r="15" spans="1:11">
      <c r="A15" s="23">
        <f>Events!H15</f>
        <v>0.6069444444444444</v>
      </c>
      <c r="B15" s="23">
        <f>Events!I15</f>
        <v>0.61805555555555558</v>
      </c>
      <c r="C15" s="23">
        <f t="shared" si="1"/>
        <v>1.1111111111111183E-2</v>
      </c>
      <c r="H15" s="2" t="s">
        <v>580</v>
      </c>
      <c r="I15">
        <v>9</v>
      </c>
      <c r="J15" t="s">
        <v>826</v>
      </c>
      <c r="K15">
        <f t="shared" si="0"/>
        <v>2</v>
      </c>
    </row>
    <row r="16" spans="1:11">
      <c r="A16" s="23">
        <f>Events!H16</f>
        <v>0.35069444444444442</v>
      </c>
      <c r="B16" s="23">
        <f>Events!I16</f>
        <v>0.375</v>
      </c>
      <c r="C16" s="23">
        <f t="shared" si="1"/>
        <v>2.430555555555558E-2</v>
      </c>
      <c r="H16" s="2" t="s">
        <v>580</v>
      </c>
      <c r="I16">
        <v>10</v>
      </c>
      <c r="J16" t="s">
        <v>1089</v>
      </c>
      <c r="K16">
        <f t="shared" si="0"/>
        <v>7</v>
      </c>
    </row>
    <row r="17" spans="1:11">
      <c r="A17" s="23">
        <f>Events!H17</f>
        <v>0.43055555555555558</v>
      </c>
      <c r="B17" s="23">
        <f>Events!I17</f>
        <v>0.4375</v>
      </c>
      <c r="C17" s="23">
        <f t="shared" si="1"/>
        <v>6.9444444444444198E-3</v>
      </c>
      <c r="H17" s="2" t="s">
        <v>580</v>
      </c>
      <c r="I17">
        <v>11</v>
      </c>
      <c r="J17" t="s">
        <v>828</v>
      </c>
      <c r="K17">
        <f t="shared" si="0"/>
        <v>1</v>
      </c>
    </row>
    <row r="18" spans="1:11">
      <c r="A18" s="23">
        <f>Events!H18</f>
        <v>0.47152777777777777</v>
      </c>
      <c r="B18" s="23">
        <f>Events!I18</f>
        <v>0.5</v>
      </c>
      <c r="C18" s="23">
        <f t="shared" si="1"/>
        <v>2.8472222222222232E-2</v>
      </c>
      <c r="H18" s="2" t="s">
        <v>580</v>
      </c>
      <c r="I18">
        <v>13</v>
      </c>
    </row>
    <row r="19" spans="1:11">
      <c r="A19" s="23">
        <f>Events!H19</f>
        <v>0.64652777777777781</v>
      </c>
      <c r="B19" s="23">
        <f>Events!I19</f>
        <v>0.70208333333333339</v>
      </c>
      <c r="C19" s="23">
        <f t="shared" si="1"/>
        <v>5.555555555555558E-2</v>
      </c>
      <c r="H19" s="2" t="s">
        <v>580</v>
      </c>
      <c r="I19">
        <v>14</v>
      </c>
    </row>
    <row r="20" spans="1:11">
      <c r="A20" s="23">
        <f>Events!H20</f>
        <v>0.68055555555555547</v>
      </c>
      <c r="B20" s="23">
        <f>Events!I20</f>
        <v>0.69444444444444453</v>
      </c>
      <c r="C20" s="23">
        <f t="shared" si="1"/>
        <v>1.3888888888889062E-2</v>
      </c>
      <c r="H20" s="2" t="s">
        <v>1088</v>
      </c>
      <c r="I20">
        <v>1</v>
      </c>
    </row>
    <row r="21" spans="1:11">
      <c r="A21" s="23">
        <f>Events!H21</f>
        <v>0.70833333333333337</v>
      </c>
      <c r="B21" s="23">
        <f>Events!I21</f>
        <v>0.73263888888888884</v>
      </c>
      <c r="C21" s="23">
        <f t="shared" si="1"/>
        <v>2.4305555555555469E-2</v>
      </c>
      <c r="H21" s="2" t="s">
        <v>1088</v>
      </c>
      <c r="I21">
        <v>2</v>
      </c>
    </row>
    <row r="22" spans="1:11">
      <c r="A22" s="23">
        <f>Events!H22</f>
        <v>0</v>
      </c>
      <c r="B22" s="23">
        <f>Events!I22</f>
        <v>0</v>
      </c>
      <c r="C22" s="23">
        <f t="shared" si="1"/>
        <v>0</v>
      </c>
      <c r="H22" s="2" t="s">
        <v>1088</v>
      </c>
      <c r="I22">
        <v>3</v>
      </c>
    </row>
    <row r="23" spans="1:11">
      <c r="A23" s="23">
        <f>Events!H23</f>
        <v>0.48819444444444443</v>
      </c>
      <c r="B23" s="23">
        <f>Events!I23</f>
        <v>0.51041666666666663</v>
      </c>
      <c r="C23" s="23">
        <f t="shared" si="1"/>
        <v>2.2222222222222199E-2</v>
      </c>
      <c r="H23" s="2" t="s">
        <v>1088</v>
      </c>
      <c r="I23">
        <v>4</v>
      </c>
    </row>
    <row r="24" spans="1:11">
      <c r="A24" s="23">
        <f>Events!H24</f>
        <v>0.52083333333333337</v>
      </c>
      <c r="B24" s="23">
        <f>Events!I24</f>
        <v>0.53125</v>
      </c>
      <c r="C24" s="23">
        <f t="shared" si="1"/>
        <v>1.041666666666663E-2</v>
      </c>
      <c r="H24" s="2" t="s">
        <v>1088</v>
      </c>
      <c r="I24">
        <v>5</v>
      </c>
    </row>
    <row r="25" spans="1:11">
      <c r="A25" s="23">
        <f>Events!H25</f>
        <v>0.53125</v>
      </c>
      <c r="B25" s="23">
        <f>Events!I25</f>
        <v>0.54166666666666663</v>
      </c>
      <c r="C25" s="23">
        <f t="shared" si="1"/>
        <v>1.041666666666663E-2</v>
      </c>
      <c r="H25" s="2" t="s">
        <v>816</v>
      </c>
      <c r="I25">
        <v>1</v>
      </c>
    </row>
    <row r="26" spans="1:11">
      <c r="A26" s="23">
        <f>Events!H26</f>
        <v>0.38194444444444442</v>
      </c>
      <c r="B26" s="23">
        <f>Events!I26</f>
        <v>0.3833333333333333</v>
      </c>
      <c r="C26" s="23">
        <f t="shared" si="1"/>
        <v>1.388888888888884E-3</v>
      </c>
      <c r="H26" s="2" t="s">
        <v>816</v>
      </c>
      <c r="I26">
        <v>2</v>
      </c>
    </row>
    <row r="27" spans="1:11">
      <c r="A27" s="23">
        <f>Events!H27</f>
        <v>0.45833333333333331</v>
      </c>
      <c r="B27" s="23">
        <f>Events!I27</f>
        <v>0.47222222222222227</v>
      </c>
      <c r="C27" s="23">
        <f t="shared" si="1"/>
        <v>1.3888888888888951E-2</v>
      </c>
      <c r="H27" s="2" t="s">
        <v>816</v>
      </c>
      <c r="I27">
        <v>3</v>
      </c>
    </row>
    <row r="28" spans="1:11">
      <c r="A28" s="23">
        <f>Events!H28</f>
        <v>0.58333333333333337</v>
      </c>
      <c r="B28" s="23">
        <f>Events!I28</f>
        <v>0.59027777777777779</v>
      </c>
      <c r="C28" s="23">
        <f t="shared" si="1"/>
        <v>6.9444444444444198E-3</v>
      </c>
      <c r="H28" s="2" t="s">
        <v>816</v>
      </c>
      <c r="I28">
        <v>4</v>
      </c>
    </row>
    <row r="29" spans="1:11">
      <c r="A29" s="23">
        <f>Events!H29</f>
        <v>0.60416666666666663</v>
      </c>
      <c r="B29" s="23">
        <f>Events!I29</f>
        <v>0.61805555555555558</v>
      </c>
      <c r="C29" s="23">
        <f t="shared" si="1"/>
        <v>1.3888888888888951E-2</v>
      </c>
      <c r="H29" s="2" t="s">
        <v>816</v>
      </c>
      <c r="I29">
        <v>5</v>
      </c>
    </row>
    <row r="30" spans="1:11">
      <c r="A30" s="23">
        <f>Events!H30</f>
        <v>0</v>
      </c>
      <c r="B30" s="23">
        <f>Events!I30</f>
        <v>0.6875</v>
      </c>
      <c r="C30" s="23">
        <f t="shared" si="1"/>
        <v>0.6875</v>
      </c>
      <c r="H30" s="2" t="s">
        <v>817</v>
      </c>
      <c r="I30">
        <v>1</v>
      </c>
    </row>
    <row r="31" spans="1:11">
      <c r="A31" s="23">
        <f>Events!H31</f>
        <v>0.7270833333333333</v>
      </c>
      <c r="B31" s="23">
        <f>Events!I31</f>
        <v>0.73055555555555562</v>
      </c>
      <c r="C31" s="23">
        <f t="shared" si="1"/>
        <v>3.4722222222223209E-3</v>
      </c>
      <c r="H31" s="2" t="s">
        <v>817</v>
      </c>
      <c r="I31">
        <v>2</v>
      </c>
    </row>
    <row r="32" spans="1:11">
      <c r="A32" s="23">
        <f>Events!H32</f>
        <v>0.68333333333333324</v>
      </c>
      <c r="B32" s="23">
        <f>Events!I32</f>
        <v>0.68680555555555556</v>
      </c>
      <c r="C32" s="23">
        <f t="shared" si="1"/>
        <v>3.4722222222223209E-3</v>
      </c>
      <c r="H32" s="2" t="s">
        <v>817</v>
      </c>
      <c r="I32">
        <v>3</v>
      </c>
    </row>
    <row r="33" spans="1:9">
      <c r="A33" s="23">
        <f>Events!H33</f>
        <v>0.69166666666666676</v>
      </c>
      <c r="B33" s="23">
        <f>Events!I33</f>
        <v>0.69513888888888886</v>
      </c>
      <c r="C33" s="23">
        <f t="shared" si="1"/>
        <v>3.4722222222220989E-3</v>
      </c>
      <c r="H33" s="2" t="s">
        <v>817</v>
      </c>
      <c r="I33">
        <v>4</v>
      </c>
    </row>
    <row r="34" spans="1:9">
      <c r="A34" s="23">
        <f>Events!H34</f>
        <v>0.7006944444444444</v>
      </c>
      <c r="B34" s="23">
        <f>Events!I34</f>
        <v>0.70416666666666661</v>
      </c>
      <c r="C34" s="23">
        <f t="shared" si="1"/>
        <v>3.4722222222222099E-3</v>
      </c>
      <c r="H34" s="2" t="s">
        <v>817</v>
      </c>
      <c r="I34">
        <v>5</v>
      </c>
    </row>
    <row r="35" spans="1:9">
      <c r="A35" s="23">
        <f>Events!H35</f>
        <v>0.70486111111111116</v>
      </c>
      <c r="B35" s="23">
        <f>Events!I35</f>
        <v>0.70833333333333337</v>
      </c>
      <c r="C35" s="23">
        <f t="shared" si="1"/>
        <v>3.4722222222222099E-3</v>
      </c>
      <c r="H35" s="2" t="s">
        <v>817</v>
      </c>
      <c r="I35">
        <v>6</v>
      </c>
    </row>
    <row r="36" spans="1:9">
      <c r="A36" s="23">
        <f>Events!H36</f>
        <v>0.7104166666666667</v>
      </c>
      <c r="B36" s="23">
        <f>Events!I36</f>
        <v>0.71388888888888891</v>
      </c>
      <c r="C36" s="23">
        <f t="shared" si="1"/>
        <v>3.4722222222222099E-3</v>
      </c>
      <c r="H36" s="2" t="s">
        <v>817</v>
      </c>
      <c r="I36">
        <v>7</v>
      </c>
    </row>
    <row r="37" spans="1:9">
      <c r="A37" s="23">
        <f>Events!H37</f>
        <v>0.71666666666666667</v>
      </c>
      <c r="B37" s="23">
        <f>Events!I37</f>
        <v>0.72013888888888899</v>
      </c>
      <c r="C37" s="23">
        <f t="shared" si="1"/>
        <v>3.4722222222223209E-3</v>
      </c>
      <c r="H37" s="2" t="s">
        <v>817</v>
      </c>
      <c r="I37">
        <v>8</v>
      </c>
    </row>
    <row r="38" spans="1:9">
      <c r="A38" s="23">
        <f>Events!H38</f>
        <v>0.60486111111111118</v>
      </c>
      <c r="B38" s="23">
        <f>Events!I38</f>
        <v>0.60833333333333328</v>
      </c>
      <c r="C38" s="23">
        <f t="shared" si="1"/>
        <v>3.4722222222220989E-3</v>
      </c>
      <c r="H38" s="2" t="s">
        <v>817</v>
      </c>
      <c r="I38">
        <v>9</v>
      </c>
    </row>
    <row r="39" spans="1:9">
      <c r="A39" s="23">
        <f>Events!H39</f>
        <v>0.61458333333333337</v>
      </c>
      <c r="B39" s="23">
        <f>Events!I39</f>
        <v>0.61805555555555558</v>
      </c>
      <c r="C39" s="23">
        <f t="shared" si="1"/>
        <v>3.4722222222222099E-3</v>
      </c>
      <c r="H39" s="2" t="s">
        <v>817</v>
      </c>
      <c r="I39">
        <v>10</v>
      </c>
    </row>
    <row r="40" spans="1:9">
      <c r="A40" s="23">
        <f>Events!H40</f>
        <v>0.62013888888888891</v>
      </c>
      <c r="B40" s="23">
        <f>Events!I40</f>
        <v>0.62361111111111112</v>
      </c>
      <c r="C40" s="23">
        <f t="shared" si="1"/>
        <v>3.4722222222222099E-3</v>
      </c>
      <c r="H40" s="2" t="s">
        <v>817</v>
      </c>
      <c r="I40">
        <v>11</v>
      </c>
    </row>
    <row r="41" spans="1:9">
      <c r="A41" s="23">
        <f>Events!H41</f>
        <v>0.62638888888888888</v>
      </c>
      <c r="B41" s="23">
        <f>Events!I41</f>
        <v>0.62986111111111109</v>
      </c>
      <c r="C41" s="23">
        <f t="shared" si="1"/>
        <v>3.4722222222222099E-3</v>
      </c>
      <c r="H41" s="2" t="s">
        <v>819</v>
      </c>
      <c r="I41">
        <v>1</v>
      </c>
    </row>
    <row r="42" spans="1:9">
      <c r="A42" s="23">
        <f>Events!H42</f>
        <v>0.63124999999999998</v>
      </c>
      <c r="B42" s="23">
        <f>Events!I42</f>
        <v>0.63472222222222219</v>
      </c>
      <c r="C42" s="23">
        <f t="shared" si="1"/>
        <v>3.4722222222222099E-3</v>
      </c>
      <c r="H42" s="2" t="s">
        <v>819</v>
      </c>
      <c r="I42">
        <v>2</v>
      </c>
    </row>
    <row r="43" spans="1:9">
      <c r="A43" s="23">
        <f>Events!H43</f>
        <v>0.63611111111111118</v>
      </c>
      <c r="B43" s="23">
        <f>Events!I43</f>
        <v>0.63958333333333328</v>
      </c>
      <c r="C43" s="23">
        <f t="shared" si="1"/>
        <v>3.4722222222220989E-3</v>
      </c>
      <c r="H43" s="2" t="s">
        <v>819</v>
      </c>
      <c r="I43">
        <v>3</v>
      </c>
    </row>
    <row r="44" spans="1:9">
      <c r="A44" s="23">
        <f>Events!H44</f>
        <v>0.65416666666666667</v>
      </c>
      <c r="B44" s="23">
        <f>Events!I44</f>
        <v>0.65763888888888888</v>
      </c>
      <c r="C44" s="23">
        <f t="shared" si="1"/>
        <v>3.4722222222222099E-3</v>
      </c>
      <c r="H44" s="2" t="s">
        <v>821</v>
      </c>
      <c r="I44">
        <v>1</v>
      </c>
    </row>
    <row r="45" spans="1:9">
      <c r="A45" s="23">
        <f>Events!H45</f>
        <v>0.36944444444444446</v>
      </c>
      <c r="B45" s="23">
        <f>Events!I45</f>
        <v>0.37083333333333335</v>
      </c>
      <c r="C45" s="23">
        <f t="shared" si="1"/>
        <v>1.388888888888884E-3</v>
      </c>
      <c r="H45" s="2" t="s">
        <v>821</v>
      </c>
      <c r="I45">
        <v>2</v>
      </c>
    </row>
    <row r="46" spans="1:9">
      <c r="A46" s="23">
        <f>Events!H46</f>
        <v>0.3972222222222222</v>
      </c>
      <c r="B46" s="23">
        <f>Events!I46</f>
        <v>0.4236111111111111</v>
      </c>
      <c r="C46" s="23">
        <f t="shared" si="1"/>
        <v>2.6388888888888906E-2</v>
      </c>
      <c r="H46" s="2" t="s">
        <v>821</v>
      </c>
      <c r="I46">
        <v>3</v>
      </c>
    </row>
    <row r="47" spans="1:9">
      <c r="A47" s="23">
        <f>Events!H47</f>
        <v>0.47847222222222219</v>
      </c>
      <c r="B47" s="23">
        <f>Events!I47</f>
        <v>0.50486111111111109</v>
      </c>
      <c r="C47" s="23">
        <f t="shared" si="1"/>
        <v>2.6388888888888906E-2</v>
      </c>
      <c r="H47" s="2" t="s">
        <v>821</v>
      </c>
      <c r="I47">
        <v>4</v>
      </c>
    </row>
    <row r="48" spans="1:9">
      <c r="A48" s="23">
        <f>Events!H48</f>
        <v>0.4375</v>
      </c>
      <c r="B48" s="23">
        <f>Events!I48</f>
        <v>0.4513888888888889</v>
      </c>
      <c r="C48" s="23">
        <f t="shared" si="1"/>
        <v>1.3888888888888895E-2</v>
      </c>
      <c r="H48" s="2" t="s">
        <v>821</v>
      </c>
      <c r="I48">
        <v>5</v>
      </c>
    </row>
    <row r="49" spans="1:9">
      <c r="A49" s="23">
        <f>Events!H49</f>
        <v>0.75</v>
      </c>
      <c r="B49" s="23">
        <f>Events!I49</f>
        <v>0.77083333333333337</v>
      </c>
      <c r="C49" s="23">
        <f t="shared" si="1"/>
        <v>2.083333333333337E-2</v>
      </c>
      <c r="H49" s="2" t="s">
        <v>821</v>
      </c>
      <c r="I49">
        <v>6</v>
      </c>
    </row>
    <row r="50" spans="1:9">
      <c r="A50" s="23">
        <f>Events!H50</f>
        <v>0.66666666666666663</v>
      </c>
      <c r="B50" s="23">
        <f>Events!I50</f>
        <v>0.70833333333333337</v>
      </c>
      <c r="C50" s="23">
        <f t="shared" si="1"/>
        <v>4.1666666666666741E-2</v>
      </c>
      <c r="H50" s="2" t="s">
        <v>821</v>
      </c>
      <c r="I50">
        <v>7</v>
      </c>
    </row>
    <row r="51" spans="1:9">
      <c r="A51" s="23">
        <f>Events!H51</f>
        <v>0.62083333333333335</v>
      </c>
      <c r="B51" s="23">
        <f>Events!I51</f>
        <v>0.64861111111111114</v>
      </c>
      <c r="C51" s="23">
        <f t="shared" si="1"/>
        <v>2.777777777777779E-2</v>
      </c>
      <c r="H51" s="2" t="s">
        <v>821</v>
      </c>
      <c r="I51">
        <v>8</v>
      </c>
    </row>
    <row r="52" spans="1:9">
      <c r="A52" s="23">
        <f>Events!H52</f>
        <v>0.47916666666666669</v>
      </c>
      <c r="B52" s="23">
        <f>Events!I52</f>
        <v>0.50138888888888888</v>
      </c>
      <c r="C52" s="23">
        <f t="shared" si="1"/>
        <v>2.2222222222222199E-2</v>
      </c>
      <c r="H52" s="2" t="s">
        <v>821</v>
      </c>
      <c r="I52">
        <v>9</v>
      </c>
    </row>
    <row r="53" spans="1:9">
      <c r="A53" s="23">
        <f>Events!H53</f>
        <v>0.78125</v>
      </c>
      <c r="B53" s="23">
        <f>Events!I53</f>
        <v>0.79166666666666663</v>
      </c>
      <c r="C53" s="23">
        <f t="shared" si="1"/>
        <v>1.041666666666663E-2</v>
      </c>
      <c r="H53" s="2" t="s">
        <v>821</v>
      </c>
      <c r="I53">
        <v>10</v>
      </c>
    </row>
    <row r="54" spans="1:9">
      <c r="A54" s="23">
        <f>Events!H54</f>
        <v>0.375</v>
      </c>
      <c r="B54" s="23">
        <f>Events!I54</f>
        <v>0.40972222222222227</v>
      </c>
      <c r="C54" s="23">
        <f t="shared" si="1"/>
        <v>3.4722222222222265E-2</v>
      </c>
      <c r="H54" s="2" t="s">
        <v>821</v>
      </c>
      <c r="I54">
        <v>11</v>
      </c>
    </row>
    <row r="55" spans="1:9">
      <c r="A55" s="23">
        <f>Events!H55</f>
        <v>0.39861111111111108</v>
      </c>
      <c r="B55" s="23">
        <f>Events!I55</f>
        <v>0.41875000000000001</v>
      </c>
      <c r="C55" s="23">
        <f t="shared" si="1"/>
        <v>2.0138888888888928E-2</v>
      </c>
      <c r="H55" s="2" t="s">
        <v>821</v>
      </c>
      <c r="I55">
        <v>12</v>
      </c>
    </row>
    <row r="56" spans="1:9">
      <c r="A56" s="23">
        <f>Events!H56</f>
        <v>0.62152777777777779</v>
      </c>
      <c r="B56" s="23">
        <f>Events!I56</f>
        <v>0.67222222222222217</v>
      </c>
      <c r="C56" s="23">
        <f t="shared" si="1"/>
        <v>5.0694444444444375E-2</v>
      </c>
      <c r="H56" s="2" t="s">
        <v>821</v>
      </c>
      <c r="I56">
        <v>13</v>
      </c>
    </row>
    <row r="57" spans="1:9">
      <c r="A57" s="23">
        <f>Events!H57</f>
        <v>0.41666666666666669</v>
      </c>
      <c r="B57" s="23">
        <f>Events!I57</f>
        <v>0.4375</v>
      </c>
      <c r="C57" s="23">
        <f t="shared" si="1"/>
        <v>2.0833333333333315E-2</v>
      </c>
      <c r="H57" s="2" t="s">
        <v>821</v>
      </c>
      <c r="I57">
        <v>14</v>
      </c>
    </row>
    <row r="58" spans="1:9">
      <c r="A58" s="23">
        <f>Events!H58</f>
        <v>0.71944444444444444</v>
      </c>
      <c r="B58" s="23">
        <f>Events!I58</f>
        <v>0.72291666666666676</v>
      </c>
      <c r="C58" s="23">
        <f t="shared" si="1"/>
        <v>3.4722222222223209E-3</v>
      </c>
      <c r="H58" s="2" t="s">
        <v>821</v>
      </c>
      <c r="I58">
        <v>15</v>
      </c>
    </row>
    <row r="59" spans="1:9">
      <c r="A59" s="23">
        <f>Events!H59</f>
        <v>0.72569444444444453</v>
      </c>
      <c r="B59" s="23">
        <f>Events!I59</f>
        <v>0.72916666666666663</v>
      </c>
      <c r="C59" s="23">
        <f t="shared" si="1"/>
        <v>3.4722222222220989E-3</v>
      </c>
      <c r="H59" s="2" t="s">
        <v>821</v>
      </c>
      <c r="I59">
        <v>16</v>
      </c>
    </row>
    <row r="60" spans="1:9">
      <c r="A60" s="23">
        <f>Events!H60</f>
        <v>0.73263888888888884</v>
      </c>
      <c r="B60" s="23">
        <f>Events!I60</f>
        <v>0.73611111111111116</v>
      </c>
      <c r="C60" s="23">
        <f t="shared" si="1"/>
        <v>3.4722222222223209E-3</v>
      </c>
      <c r="H60" s="2" t="s">
        <v>821</v>
      </c>
      <c r="I60">
        <v>17</v>
      </c>
    </row>
    <row r="61" spans="1:9">
      <c r="A61" s="23">
        <f>Events!H61</f>
        <v>0.73819444444444438</v>
      </c>
      <c r="B61" s="23">
        <f>Events!I61</f>
        <v>0.7416666666666667</v>
      </c>
      <c r="C61" s="23">
        <f t="shared" si="1"/>
        <v>3.4722222222223209E-3</v>
      </c>
      <c r="H61" s="2" t="s">
        <v>821</v>
      </c>
      <c r="I61">
        <v>18</v>
      </c>
    </row>
    <row r="62" spans="1:9">
      <c r="A62" s="23">
        <f>Events!H62</f>
        <v>0.74305555555555547</v>
      </c>
      <c r="B62" s="23">
        <f>Events!I62</f>
        <v>0.74652777777777779</v>
      </c>
      <c r="C62" s="23">
        <f t="shared" si="1"/>
        <v>3.4722222222223209E-3</v>
      </c>
      <c r="H62" s="2" t="s">
        <v>821</v>
      </c>
      <c r="I62">
        <v>19</v>
      </c>
    </row>
    <row r="63" spans="1:9">
      <c r="A63" s="23">
        <f>Events!H63</f>
        <v>0.69166666666666676</v>
      </c>
      <c r="B63" s="23">
        <f>Events!I63</f>
        <v>0.7284722222222223</v>
      </c>
      <c r="C63" s="23">
        <f t="shared" si="1"/>
        <v>3.6805555555555536E-2</v>
      </c>
      <c r="H63" s="2" t="s">
        <v>821</v>
      </c>
      <c r="I63">
        <v>20</v>
      </c>
    </row>
    <row r="64" spans="1:9">
      <c r="A64" s="23">
        <f>Events!H64</f>
        <v>0.73888888888888893</v>
      </c>
      <c r="B64" s="23">
        <f>Events!I64</f>
        <v>0.75277777777777777</v>
      </c>
      <c r="C64" s="23">
        <f t="shared" si="1"/>
        <v>1.388888888888884E-2</v>
      </c>
      <c r="H64" s="2" t="s">
        <v>821</v>
      </c>
      <c r="I64">
        <v>21</v>
      </c>
    </row>
    <row r="65" spans="1:9">
      <c r="A65" s="23">
        <f>Events!H65</f>
        <v>0.40625</v>
      </c>
      <c r="B65" s="23">
        <f>Events!I65</f>
        <v>0.43402777777777773</v>
      </c>
      <c r="C65" s="23">
        <f t="shared" si="1"/>
        <v>2.7777777777777735E-2</v>
      </c>
      <c r="H65" s="2" t="s">
        <v>821</v>
      </c>
      <c r="I65">
        <v>22</v>
      </c>
    </row>
    <row r="66" spans="1:9">
      <c r="A66" s="23">
        <f>Events!H66</f>
        <v>0.66666666666666663</v>
      </c>
      <c r="B66" s="23">
        <f>Events!I66</f>
        <v>0.69097222222222221</v>
      </c>
      <c r="C66" s="23">
        <f t="shared" si="1"/>
        <v>2.430555555555558E-2</v>
      </c>
      <c r="H66" s="2" t="s">
        <v>821</v>
      </c>
      <c r="I66">
        <v>23</v>
      </c>
    </row>
    <row r="67" spans="1:9">
      <c r="A67" s="23">
        <f>Events!H67</f>
        <v>0.49444444444444446</v>
      </c>
      <c r="B67" s="23">
        <f>Events!I67</f>
        <v>0.49652777777777773</v>
      </c>
      <c r="C67" s="23">
        <f t="shared" ref="C67:C130" si="2">B67-A67</f>
        <v>2.0833333333332704E-3</v>
      </c>
      <c r="H67" s="2" t="s">
        <v>821</v>
      </c>
      <c r="I67">
        <v>24</v>
      </c>
    </row>
    <row r="68" spans="1:9">
      <c r="A68" s="23">
        <f>Events!H68</f>
        <v>0.51944444444444449</v>
      </c>
      <c r="B68" s="23">
        <f>Events!I68</f>
        <v>0.52986111111111112</v>
      </c>
      <c r="C68" s="23">
        <f t="shared" si="2"/>
        <v>1.041666666666663E-2</v>
      </c>
      <c r="H68" s="2" t="s">
        <v>821</v>
      </c>
      <c r="I68">
        <v>25</v>
      </c>
    </row>
    <row r="69" spans="1:9">
      <c r="A69" s="23">
        <f>Events!H69</f>
        <v>0.63888888888888895</v>
      </c>
      <c r="B69" s="23">
        <f>Events!I69</f>
        <v>0.68055555555555547</v>
      </c>
      <c r="C69" s="23">
        <f t="shared" si="2"/>
        <v>4.1666666666666519E-2</v>
      </c>
      <c r="H69" s="2" t="s">
        <v>821</v>
      </c>
      <c r="I69">
        <v>26</v>
      </c>
    </row>
    <row r="70" spans="1:9">
      <c r="A70" s="23">
        <f>Events!H70</f>
        <v>0.75486111111111109</v>
      </c>
      <c r="B70" s="23">
        <f>Events!I70</f>
        <v>0.76874999999999993</v>
      </c>
      <c r="C70" s="23">
        <f t="shared" si="2"/>
        <v>1.388888888888884E-2</v>
      </c>
      <c r="H70" s="2" t="s">
        <v>821</v>
      </c>
      <c r="I70">
        <v>27</v>
      </c>
    </row>
    <row r="71" spans="1:9">
      <c r="A71" s="23">
        <f>Events!H71</f>
        <v>0.64583333333333337</v>
      </c>
      <c r="B71" s="23">
        <f>Events!I71</f>
        <v>0.65972222222222221</v>
      </c>
      <c r="C71" s="23">
        <f t="shared" si="2"/>
        <v>1.388888888888884E-2</v>
      </c>
      <c r="H71" s="2" t="s">
        <v>821</v>
      </c>
      <c r="I71">
        <v>28</v>
      </c>
    </row>
    <row r="72" spans="1:9">
      <c r="A72" s="23">
        <f>Events!H72</f>
        <v>0.4916666666666667</v>
      </c>
      <c r="B72" s="23">
        <f>Events!I72</f>
        <v>0.50416666666666665</v>
      </c>
      <c r="C72" s="23">
        <f t="shared" si="2"/>
        <v>1.2499999999999956E-2</v>
      </c>
      <c r="H72" s="2" t="s">
        <v>821</v>
      </c>
      <c r="I72">
        <v>29</v>
      </c>
    </row>
    <row r="73" spans="1:9">
      <c r="A73" s="23">
        <f>Events!H73</f>
        <v>0.39583333333333331</v>
      </c>
      <c r="B73" s="23">
        <f>Events!I73</f>
        <v>0.4284722222222222</v>
      </c>
      <c r="C73" s="23">
        <f t="shared" si="2"/>
        <v>3.2638888888888884E-2</v>
      </c>
      <c r="H73" s="2" t="s">
        <v>821</v>
      </c>
      <c r="I73">
        <v>30</v>
      </c>
    </row>
    <row r="74" spans="1:9">
      <c r="A74" s="23">
        <f>Events!H74</f>
        <v>0.5</v>
      </c>
      <c r="B74" s="23">
        <f>Events!I74</f>
        <v>0</v>
      </c>
      <c r="C74" s="23">
        <f t="shared" si="2"/>
        <v>-0.5</v>
      </c>
      <c r="H74" s="2" t="s">
        <v>821</v>
      </c>
      <c r="I74">
        <v>31</v>
      </c>
    </row>
    <row r="75" spans="1:9">
      <c r="A75" s="23">
        <f>Events!H75</f>
        <v>0.61805555555555558</v>
      </c>
      <c r="B75" s="23">
        <f>Events!I75</f>
        <v>0.63194444444444442</v>
      </c>
      <c r="C75" s="23">
        <f t="shared" si="2"/>
        <v>1.388888888888884E-2</v>
      </c>
      <c r="H75" s="2" t="s">
        <v>821</v>
      </c>
      <c r="I75">
        <v>32</v>
      </c>
    </row>
    <row r="76" spans="1:9">
      <c r="A76" s="23">
        <f>Events!H76</f>
        <v>0.58333333333333337</v>
      </c>
      <c r="B76" s="23">
        <f>Events!I76</f>
        <v>0.60416666666666663</v>
      </c>
      <c r="C76" s="23">
        <f t="shared" si="2"/>
        <v>2.0833333333333259E-2</v>
      </c>
      <c r="H76" s="2" t="s">
        <v>821</v>
      </c>
      <c r="I76">
        <v>34</v>
      </c>
    </row>
    <row r="77" spans="1:9">
      <c r="A77" s="23">
        <f>Events!H77</f>
        <v>0.58333333333333337</v>
      </c>
      <c r="B77" s="23">
        <f>Events!I77</f>
        <v>0.60416666666666663</v>
      </c>
      <c r="C77" s="23">
        <f t="shared" si="2"/>
        <v>2.0833333333333259E-2</v>
      </c>
      <c r="H77" s="2" t="s">
        <v>821</v>
      </c>
      <c r="I77">
        <v>35</v>
      </c>
    </row>
    <row r="78" spans="1:9">
      <c r="A78" s="23">
        <f>Events!H78</f>
        <v>0.66319444444444442</v>
      </c>
      <c r="B78" s="23">
        <f>Events!I78</f>
        <v>0.69791666666666663</v>
      </c>
      <c r="C78" s="23">
        <f t="shared" si="2"/>
        <v>3.472222222222221E-2</v>
      </c>
      <c r="H78" s="2" t="s">
        <v>821</v>
      </c>
      <c r="I78">
        <v>36</v>
      </c>
    </row>
    <row r="79" spans="1:9">
      <c r="A79" s="23">
        <f>Events!H79</f>
        <v>0.6875</v>
      </c>
      <c r="B79" s="23">
        <f>Events!I79</f>
        <v>0.70138888888888884</v>
      </c>
      <c r="C79" s="23">
        <f t="shared" si="2"/>
        <v>1.388888888888884E-2</v>
      </c>
      <c r="H79" s="2" t="s">
        <v>821</v>
      </c>
      <c r="I79">
        <v>37</v>
      </c>
    </row>
    <row r="80" spans="1:9">
      <c r="A80" s="23">
        <f>Events!H80</f>
        <v>0</v>
      </c>
      <c r="B80" s="23">
        <f>Events!I80</f>
        <v>0.3125</v>
      </c>
      <c r="C80" s="23">
        <f t="shared" si="2"/>
        <v>0.3125</v>
      </c>
      <c r="H80" s="2" t="s">
        <v>821</v>
      </c>
      <c r="I80">
        <v>39</v>
      </c>
    </row>
    <row r="81" spans="1:9">
      <c r="A81" s="23">
        <f>Events!H81</f>
        <v>0.375</v>
      </c>
      <c r="B81" s="23">
        <f>Events!I81</f>
        <v>0.64583333333333337</v>
      </c>
      <c r="C81" s="23">
        <f t="shared" si="2"/>
        <v>0.27083333333333337</v>
      </c>
      <c r="H81" s="2" t="s">
        <v>821</v>
      </c>
      <c r="I81">
        <v>40</v>
      </c>
    </row>
    <row r="82" spans="1:9">
      <c r="A82" s="23">
        <f>Events!H82</f>
        <v>0.6875</v>
      </c>
      <c r="B82" s="23">
        <f>Events!I82</f>
        <v>0.70138888888888884</v>
      </c>
      <c r="C82" s="23">
        <f t="shared" si="2"/>
        <v>1.388888888888884E-2</v>
      </c>
      <c r="H82" s="2" t="s">
        <v>821</v>
      </c>
      <c r="I82">
        <v>41</v>
      </c>
    </row>
    <row r="83" spans="1:9">
      <c r="A83" s="23">
        <f>Events!H83</f>
        <v>0.6875</v>
      </c>
      <c r="B83" s="23">
        <f>Events!I83</f>
        <v>0.70138888888888884</v>
      </c>
      <c r="C83" s="23">
        <f t="shared" si="2"/>
        <v>1.388888888888884E-2</v>
      </c>
      <c r="H83" s="2" t="s">
        <v>821</v>
      </c>
      <c r="I83">
        <v>42</v>
      </c>
    </row>
    <row r="84" spans="1:9">
      <c r="A84" s="23">
        <f>Events!H84</f>
        <v>0.58333333333333337</v>
      </c>
      <c r="B84" s="23">
        <f>Events!I84</f>
        <v>0.60069444444444442</v>
      </c>
      <c r="C84" s="23">
        <f t="shared" si="2"/>
        <v>1.7361111111111049E-2</v>
      </c>
      <c r="H84" s="2" t="s">
        <v>821</v>
      </c>
      <c r="I84">
        <v>43</v>
      </c>
    </row>
    <row r="85" spans="1:9">
      <c r="A85" s="23">
        <f>Events!H85</f>
        <v>0.60416666666666663</v>
      </c>
      <c r="B85" s="23">
        <f>Events!I85</f>
        <v>0.61805555555555558</v>
      </c>
      <c r="C85" s="23">
        <f t="shared" si="2"/>
        <v>1.3888888888888951E-2</v>
      </c>
      <c r="H85" s="2" t="s">
        <v>821</v>
      </c>
      <c r="I85">
        <v>44</v>
      </c>
    </row>
    <row r="86" spans="1:9">
      <c r="A86" s="23">
        <f>Events!H86</f>
        <v>0</v>
      </c>
      <c r="B86" s="23">
        <f>Events!I86</f>
        <v>0</v>
      </c>
      <c r="C86" s="23">
        <f t="shared" si="2"/>
        <v>0</v>
      </c>
      <c r="H86" s="2" t="s">
        <v>822</v>
      </c>
      <c r="I86">
        <v>1</v>
      </c>
    </row>
    <row r="87" spans="1:9">
      <c r="A87" s="23">
        <f>Events!H87</f>
        <v>0.75138888888888899</v>
      </c>
      <c r="B87" s="23">
        <f>Events!I87</f>
        <v>0.77430555555555547</v>
      </c>
      <c r="C87" s="23">
        <f t="shared" si="2"/>
        <v>2.2916666666666474E-2</v>
      </c>
      <c r="H87" s="2" t="s">
        <v>822</v>
      </c>
      <c r="I87">
        <v>2</v>
      </c>
    </row>
    <row r="88" spans="1:9">
      <c r="A88" s="23">
        <f>Events!H88</f>
        <v>0.41666666666666669</v>
      </c>
      <c r="B88" s="23">
        <f>Events!I88</f>
        <v>0.4375</v>
      </c>
      <c r="C88" s="23">
        <f t="shared" si="2"/>
        <v>2.0833333333333315E-2</v>
      </c>
      <c r="H88" s="2" t="s">
        <v>822</v>
      </c>
      <c r="I88">
        <v>3</v>
      </c>
    </row>
    <row r="89" spans="1:9">
      <c r="A89" s="23">
        <f>Events!H89</f>
        <v>0.67708333333333337</v>
      </c>
      <c r="B89" s="23">
        <f>Events!I89</f>
        <v>0.71875</v>
      </c>
      <c r="C89" s="23">
        <f t="shared" si="2"/>
        <v>4.166666666666663E-2</v>
      </c>
      <c r="H89" s="2" t="s">
        <v>822</v>
      </c>
      <c r="I89">
        <v>4</v>
      </c>
    </row>
    <row r="90" spans="1:9">
      <c r="A90" s="23">
        <f>Events!H90</f>
        <v>0.58333333333333337</v>
      </c>
      <c r="B90" s="23">
        <f>Events!I90</f>
        <v>0.59722222222222221</v>
      </c>
      <c r="C90" s="23">
        <f t="shared" si="2"/>
        <v>1.388888888888884E-2</v>
      </c>
      <c r="H90" s="2" t="s">
        <v>822</v>
      </c>
      <c r="I90">
        <v>5</v>
      </c>
    </row>
    <row r="91" spans="1:9">
      <c r="A91" s="23">
        <f>Events!H91</f>
        <v>0.47916666666666669</v>
      </c>
      <c r="B91" s="23">
        <f>Events!I91</f>
        <v>0</v>
      </c>
      <c r="C91" s="23">
        <f t="shared" si="2"/>
        <v>-0.47916666666666669</v>
      </c>
      <c r="H91" s="2" t="s">
        <v>822</v>
      </c>
      <c r="I91">
        <v>6</v>
      </c>
    </row>
    <row r="92" spans="1:9">
      <c r="A92" s="23">
        <f>Events!H92</f>
        <v>0.39861111111111108</v>
      </c>
      <c r="B92" s="23">
        <f>Events!I92</f>
        <v>0.4236111111111111</v>
      </c>
      <c r="C92" s="23">
        <f t="shared" si="2"/>
        <v>2.5000000000000022E-2</v>
      </c>
      <c r="H92" s="2" t="s">
        <v>822</v>
      </c>
      <c r="I92">
        <v>7</v>
      </c>
    </row>
    <row r="93" spans="1:9">
      <c r="A93" s="23">
        <f>Events!H93</f>
        <v>0.45833333333333331</v>
      </c>
      <c r="B93" s="23">
        <f>Events!I93</f>
        <v>0.5</v>
      </c>
      <c r="C93" s="23">
        <f t="shared" si="2"/>
        <v>4.1666666666666685E-2</v>
      </c>
      <c r="H93" s="2" t="s">
        <v>822</v>
      </c>
      <c r="I93">
        <v>8</v>
      </c>
    </row>
    <row r="94" spans="1:9">
      <c r="A94" s="23">
        <f>Events!H94</f>
        <v>0.58333333333333337</v>
      </c>
      <c r="B94" s="23">
        <f>Events!I94</f>
        <v>0.60416666666666663</v>
      </c>
      <c r="C94" s="23">
        <f t="shared" si="2"/>
        <v>2.0833333333333259E-2</v>
      </c>
      <c r="H94" s="2" t="s">
        <v>822</v>
      </c>
      <c r="I94">
        <v>9</v>
      </c>
    </row>
    <row r="95" spans="1:9">
      <c r="A95" s="23">
        <f>Events!H95</f>
        <v>0.64097222222222217</v>
      </c>
      <c r="B95" s="23">
        <f>Events!I95</f>
        <v>0.68055555555555547</v>
      </c>
      <c r="C95" s="23">
        <f t="shared" si="2"/>
        <v>3.9583333333333304E-2</v>
      </c>
      <c r="H95" s="2" t="s">
        <v>822</v>
      </c>
      <c r="I95">
        <v>10</v>
      </c>
    </row>
    <row r="96" spans="1:9">
      <c r="A96" s="23">
        <f>Events!H96</f>
        <v>0</v>
      </c>
      <c r="B96" s="23">
        <f>Events!I96</f>
        <v>0.70833333333333337</v>
      </c>
      <c r="C96" s="23">
        <f t="shared" si="2"/>
        <v>0.70833333333333337</v>
      </c>
      <c r="H96" s="2" t="s">
        <v>822</v>
      </c>
      <c r="I96">
        <v>11</v>
      </c>
    </row>
    <row r="97" spans="1:9">
      <c r="A97" s="23">
        <f>Events!H97</f>
        <v>0.60416666666666663</v>
      </c>
      <c r="B97" s="23">
        <f>Events!I97</f>
        <v>0.61805555555555558</v>
      </c>
      <c r="C97" s="23">
        <f t="shared" si="2"/>
        <v>1.3888888888888951E-2</v>
      </c>
      <c r="H97" s="2" t="s">
        <v>822</v>
      </c>
      <c r="I97">
        <v>12</v>
      </c>
    </row>
    <row r="98" spans="1:9">
      <c r="A98" s="23">
        <f>Events!H98</f>
        <v>0</v>
      </c>
      <c r="B98" s="23">
        <f>Events!I98</f>
        <v>0</v>
      </c>
      <c r="C98" s="23">
        <f t="shared" si="2"/>
        <v>0</v>
      </c>
      <c r="H98" s="2" t="s">
        <v>822</v>
      </c>
      <c r="I98">
        <v>13</v>
      </c>
    </row>
    <row r="99" spans="1:9">
      <c r="A99" s="23">
        <f>Events!H99</f>
        <v>0.47638888888888892</v>
      </c>
      <c r="B99" s="23">
        <f>Events!I99</f>
        <v>0.49027777777777781</v>
      </c>
      <c r="C99" s="23">
        <f t="shared" si="2"/>
        <v>1.3888888888888895E-2</v>
      </c>
      <c r="H99" s="2" t="s">
        <v>822</v>
      </c>
      <c r="I99">
        <v>14</v>
      </c>
    </row>
    <row r="100" spans="1:9">
      <c r="A100" s="23">
        <f>Events!H100</f>
        <v>0.70833333333333337</v>
      </c>
      <c r="B100" s="23">
        <f>Events!I100</f>
        <v>0.73611111111111116</v>
      </c>
      <c r="C100" s="23">
        <f t="shared" si="2"/>
        <v>2.777777777777779E-2</v>
      </c>
      <c r="H100" s="2" t="s">
        <v>822</v>
      </c>
      <c r="I100">
        <v>15</v>
      </c>
    </row>
    <row r="101" spans="1:9">
      <c r="A101" s="23">
        <f>Events!H101</f>
        <v>0.37847222222222227</v>
      </c>
      <c r="B101" s="23">
        <f>Events!I101</f>
        <v>0.64583333333333337</v>
      </c>
      <c r="C101" s="23">
        <f t="shared" si="2"/>
        <v>0.2673611111111111</v>
      </c>
      <c r="H101" s="2" t="s">
        <v>822</v>
      </c>
      <c r="I101">
        <v>16</v>
      </c>
    </row>
    <row r="102" spans="1:9">
      <c r="A102" s="23">
        <f>Events!H102</f>
        <v>0.66249999999999998</v>
      </c>
      <c r="B102" s="23">
        <f>Events!I102</f>
        <v>0.69444444444444453</v>
      </c>
      <c r="C102" s="23">
        <f t="shared" si="2"/>
        <v>3.1944444444444553E-2</v>
      </c>
      <c r="H102" s="2" t="s">
        <v>822</v>
      </c>
      <c r="I102">
        <v>17</v>
      </c>
    </row>
    <row r="103" spans="1:9">
      <c r="A103" s="23">
        <f>Events!H103</f>
        <v>0.70138888888888884</v>
      </c>
      <c r="B103" s="23">
        <f>Events!I103</f>
        <v>0.72916666666666663</v>
      </c>
      <c r="C103" s="23">
        <f t="shared" si="2"/>
        <v>2.777777777777779E-2</v>
      </c>
      <c r="H103" s="2" t="s">
        <v>822</v>
      </c>
      <c r="I103">
        <v>18</v>
      </c>
    </row>
    <row r="104" spans="1:9">
      <c r="A104" s="23">
        <f>Events!H104</f>
        <v>0.41666666666666669</v>
      </c>
      <c r="B104" s="23">
        <f>Events!I104</f>
        <v>0.4375</v>
      </c>
      <c r="C104" s="23">
        <f t="shared" si="2"/>
        <v>2.0833333333333315E-2</v>
      </c>
      <c r="H104" s="2" t="s">
        <v>822</v>
      </c>
      <c r="I104">
        <v>18</v>
      </c>
    </row>
    <row r="105" spans="1:9">
      <c r="A105" s="23">
        <f>Events!H105</f>
        <v>0</v>
      </c>
      <c r="B105" s="23">
        <f>Events!I105</f>
        <v>0</v>
      </c>
      <c r="C105" s="23">
        <f t="shared" si="2"/>
        <v>0</v>
      </c>
      <c r="H105" s="2" t="s">
        <v>822</v>
      </c>
      <c r="I105">
        <v>19</v>
      </c>
    </row>
    <row r="106" spans="1:9">
      <c r="A106" s="23">
        <f>Events!H106</f>
        <v>0</v>
      </c>
      <c r="B106" s="23">
        <f>Events!I106</f>
        <v>0</v>
      </c>
      <c r="C106" s="23">
        <f t="shared" si="2"/>
        <v>0</v>
      </c>
      <c r="H106" s="2" t="s">
        <v>822</v>
      </c>
      <c r="I106">
        <v>20</v>
      </c>
    </row>
    <row r="107" spans="1:9">
      <c r="A107" s="23">
        <f>Events!H107</f>
        <v>0.3888888888888889</v>
      </c>
      <c r="B107" s="23">
        <f>Events!I107</f>
        <v>0</v>
      </c>
      <c r="C107" s="23">
        <f t="shared" si="2"/>
        <v>-0.3888888888888889</v>
      </c>
      <c r="H107" s="2" t="s">
        <v>822</v>
      </c>
      <c r="I107">
        <v>21</v>
      </c>
    </row>
    <row r="108" spans="1:9">
      <c r="A108" s="23">
        <f>Events!H108</f>
        <v>0.39583333333333331</v>
      </c>
      <c r="B108" s="23">
        <f>Events!I108</f>
        <v>0</v>
      </c>
      <c r="C108" s="23">
        <f t="shared" si="2"/>
        <v>-0.39583333333333331</v>
      </c>
      <c r="H108" s="2" t="s">
        <v>645</v>
      </c>
      <c r="I108">
        <v>1</v>
      </c>
    </row>
    <row r="109" spans="1:9">
      <c r="A109" s="23">
        <f>Events!H109</f>
        <v>0.63541666666666663</v>
      </c>
      <c r="B109" s="23">
        <f>Events!I109</f>
        <v>0.67708333333333337</v>
      </c>
      <c r="C109" s="23">
        <f t="shared" si="2"/>
        <v>4.1666666666666741E-2</v>
      </c>
      <c r="H109" s="2" t="s">
        <v>645</v>
      </c>
      <c r="I109">
        <v>2</v>
      </c>
    </row>
    <row r="110" spans="1:9">
      <c r="A110" s="23">
        <f>Events!H110</f>
        <v>0.54166666666666663</v>
      </c>
      <c r="B110" s="23">
        <f>Events!I110</f>
        <v>0</v>
      </c>
      <c r="C110" s="23">
        <f t="shared" si="2"/>
        <v>-0.54166666666666663</v>
      </c>
      <c r="H110" s="2" t="s">
        <v>645</v>
      </c>
      <c r="I110">
        <v>3</v>
      </c>
    </row>
    <row r="111" spans="1:9">
      <c r="A111" s="23">
        <f>Events!H111</f>
        <v>0.46249999999999997</v>
      </c>
      <c r="B111" s="23">
        <f>Events!I111</f>
        <v>0.49305555555555558</v>
      </c>
      <c r="C111" s="23">
        <f t="shared" si="2"/>
        <v>3.0555555555555614E-2</v>
      </c>
      <c r="H111" s="2" t="s">
        <v>645</v>
      </c>
      <c r="I111">
        <v>4</v>
      </c>
    </row>
    <row r="112" spans="1:9">
      <c r="A112" s="23">
        <f>Events!H112</f>
        <v>0.46249999999999997</v>
      </c>
      <c r="B112" s="23">
        <f>Events!I112</f>
        <v>0.49305555555555558</v>
      </c>
      <c r="C112" s="23">
        <f t="shared" si="2"/>
        <v>3.0555555555555614E-2</v>
      </c>
      <c r="H112" s="2" t="s">
        <v>645</v>
      </c>
      <c r="I112">
        <v>5</v>
      </c>
    </row>
    <row r="113" spans="1:9">
      <c r="A113" s="23">
        <f>Events!H113</f>
        <v>0.35416666666666669</v>
      </c>
      <c r="B113" s="23">
        <f>Events!I113</f>
        <v>0.3611111111111111</v>
      </c>
      <c r="C113" s="23">
        <f t="shared" si="2"/>
        <v>6.9444444444444198E-3</v>
      </c>
      <c r="H113" s="2" t="s">
        <v>645</v>
      </c>
      <c r="I113">
        <v>6</v>
      </c>
    </row>
    <row r="114" spans="1:9">
      <c r="A114" s="23">
        <f>Events!H114</f>
        <v>0.5625</v>
      </c>
      <c r="B114" s="23">
        <f>Events!I114</f>
        <v>0.57638888888888895</v>
      </c>
      <c r="C114" s="23">
        <f t="shared" si="2"/>
        <v>1.3888888888888951E-2</v>
      </c>
      <c r="H114" s="2" t="s">
        <v>645</v>
      </c>
      <c r="I114">
        <v>7</v>
      </c>
    </row>
    <row r="115" spans="1:9">
      <c r="A115" s="23">
        <f>Events!H115</f>
        <v>0.57638888888888895</v>
      </c>
      <c r="B115" s="23">
        <f>Events!I115</f>
        <v>0.59027777777777779</v>
      </c>
      <c r="C115" s="23">
        <f t="shared" si="2"/>
        <v>1.388888888888884E-2</v>
      </c>
      <c r="H115" s="2" t="s">
        <v>645</v>
      </c>
      <c r="I115">
        <v>8</v>
      </c>
    </row>
    <row r="116" spans="1:9">
      <c r="A116" s="23">
        <f>Events!H116</f>
        <v>0.68055555555555547</v>
      </c>
      <c r="B116" s="23">
        <f>Events!I116</f>
        <v>0.72916666666666663</v>
      </c>
      <c r="C116" s="23">
        <f t="shared" si="2"/>
        <v>4.861111111111116E-2</v>
      </c>
      <c r="H116" s="2" t="s">
        <v>645</v>
      </c>
      <c r="I116">
        <v>9</v>
      </c>
    </row>
    <row r="117" spans="1:9">
      <c r="A117" s="23">
        <f>Events!H117</f>
        <v>0.625</v>
      </c>
      <c r="B117" s="23">
        <f>Events!I117</f>
        <v>0.65</v>
      </c>
      <c r="C117" s="23">
        <f t="shared" si="2"/>
        <v>2.5000000000000022E-2</v>
      </c>
      <c r="H117" s="2" t="s">
        <v>645</v>
      </c>
      <c r="I117">
        <v>10</v>
      </c>
    </row>
    <row r="118" spans="1:9">
      <c r="A118" s="23">
        <f>Events!H118</f>
        <v>0.5</v>
      </c>
      <c r="B118" s="23">
        <f>Events!I118</f>
        <v>0.60416666666666663</v>
      </c>
      <c r="C118" s="23">
        <f t="shared" si="2"/>
        <v>0.10416666666666663</v>
      </c>
      <c r="H118" s="2" t="s">
        <v>645</v>
      </c>
      <c r="I118">
        <v>11</v>
      </c>
    </row>
    <row r="119" spans="1:9">
      <c r="A119" s="23">
        <f>Events!H119</f>
        <v>0.45833333333333331</v>
      </c>
      <c r="B119" s="23">
        <f>Events!I119</f>
        <v>0.47222222222222227</v>
      </c>
      <c r="C119" s="23">
        <f t="shared" si="2"/>
        <v>1.3888888888888951E-2</v>
      </c>
      <c r="H119" s="2" t="s">
        <v>645</v>
      </c>
      <c r="I119">
        <v>12</v>
      </c>
    </row>
    <row r="120" spans="1:9">
      <c r="A120" s="23">
        <f>Events!H120</f>
        <v>0.70833333333333337</v>
      </c>
      <c r="B120" s="23">
        <f>Events!I120</f>
        <v>0.72222222222222221</v>
      </c>
      <c r="C120" s="23">
        <f t="shared" si="2"/>
        <v>1.388888888888884E-2</v>
      </c>
      <c r="H120" s="2" t="s">
        <v>645</v>
      </c>
      <c r="I120">
        <v>13</v>
      </c>
    </row>
    <row r="121" spans="1:9">
      <c r="A121" s="23">
        <f>Events!H121</f>
        <v>0.36736111111111108</v>
      </c>
      <c r="B121" s="23">
        <f>Events!I121</f>
        <v>0.39583333333333331</v>
      </c>
      <c r="C121" s="23">
        <f t="shared" si="2"/>
        <v>2.8472222222222232E-2</v>
      </c>
      <c r="H121" s="2" t="s">
        <v>645</v>
      </c>
      <c r="I121">
        <v>14</v>
      </c>
    </row>
    <row r="122" spans="1:9">
      <c r="A122" s="23">
        <f>Events!H122</f>
        <v>0.4694444444444445</v>
      </c>
      <c r="B122" s="23">
        <f>Events!I122</f>
        <v>0.50138888888888888</v>
      </c>
      <c r="C122" s="23">
        <f t="shared" si="2"/>
        <v>3.1944444444444386E-2</v>
      </c>
      <c r="H122" s="2" t="s">
        <v>645</v>
      </c>
      <c r="I122">
        <v>15</v>
      </c>
    </row>
    <row r="123" spans="1:9">
      <c r="A123" s="23">
        <f>Events!H123</f>
        <v>0</v>
      </c>
      <c r="B123" s="23">
        <f>Events!I123</f>
        <v>0</v>
      </c>
      <c r="C123" s="23">
        <f t="shared" si="2"/>
        <v>0</v>
      </c>
      <c r="H123" s="2" t="s">
        <v>645</v>
      </c>
      <c r="I123">
        <v>17</v>
      </c>
    </row>
    <row r="124" spans="1:9">
      <c r="A124" s="23">
        <f>Events!H124</f>
        <v>0.34722222222222227</v>
      </c>
      <c r="B124" s="23">
        <f>Events!I124</f>
        <v>0.39583333333333331</v>
      </c>
      <c r="C124" s="23">
        <f t="shared" si="2"/>
        <v>4.8611111111111049E-2</v>
      </c>
      <c r="H124" s="2" t="s">
        <v>645</v>
      </c>
      <c r="I124">
        <v>18</v>
      </c>
    </row>
    <row r="125" spans="1:9">
      <c r="A125" s="23">
        <f>Events!H125</f>
        <v>0.67361111111111116</v>
      </c>
      <c r="B125" s="23">
        <f>Events!I125</f>
        <v>0.71527777777777779</v>
      </c>
      <c r="C125" s="23">
        <f t="shared" si="2"/>
        <v>4.166666666666663E-2</v>
      </c>
      <c r="H125" s="2" t="s">
        <v>645</v>
      </c>
      <c r="I125">
        <v>19</v>
      </c>
    </row>
    <row r="126" spans="1:9">
      <c r="A126" s="23">
        <f>Events!H126</f>
        <v>0.39444444444444443</v>
      </c>
      <c r="B126" s="23">
        <f>Events!I126</f>
        <v>0.44791666666666669</v>
      </c>
      <c r="C126" s="23">
        <f t="shared" si="2"/>
        <v>5.3472222222222254E-2</v>
      </c>
      <c r="H126" s="2" t="s">
        <v>645</v>
      </c>
      <c r="I126">
        <v>20</v>
      </c>
    </row>
    <row r="127" spans="1:9">
      <c r="A127" s="23">
        <f>Events!H127</f>
        <v>0.6645833333333333</v>
      </c>
      <c r="B127" s="23">
        <f>Events!I127</f>
        <v>0.68263888888888891</v>
      </c>
      <c r="C127" s="23">
        <f t="shared" si="2"/>
        <v>1.8055555555555602E-2</v>
      </c>
      <c r="H127" s="2" t="s">
        <v>645</v>
      </c>
      <c r="I127">
        <v>21</v>
      </c>
    </row>
    <row r="128" spans="1:9">
      <c r="A128" s="23">
        <f>Events!H128</f>
        <v>0.57638888888888895</v>
      </c>
      <c r="B128" s="23">
        <f>Events!I128</f>
        <v>0.58680555555555558</v>
      </c>
      <c r="C128" s="23">
        <f t="shared" si="2"/>
        <v>1.041666666666663E-2</v>
      </c>
      <c r="H128" s="2" t="s">
        <v>645</v>
      </c>
      <c r="I128">
        <v>22</v>
      </c>
    </row>
    <row r="129" spans="1:9">
      <c r="A129" s="23">
        <f>Events!H129</f>
        <v>0.41666666666666669</v>
      </c>
      <c r="B129" s="23">
        <f>Events!I129</f>
        <v>0.46875</v>
      </c>
      <c r="C129" s="23">
        <f t="shared" si="2"/>
        <v>5.2083333333333315E-2</v>
      </c>
      <c r="H129" s="2" t="s">
        <v>645</v>
      </c>
      <c r="I129">
        <v>23</v>
      </c>
    </row>
    <row r="130" spans="1:9">
      <c r="A130" s="23">
        <f>Events!H130</f>
        <v>0</v>
      </c>
      <c r="B130" s="23">
        <f>Events!I130</f>
        <v>0</v>
      </c>
      <c r="C130" s="23">
        <f t="shared" si="2"/>
        <v>0</v>
      </c>
      <c r="H130" s="2" t="s">
        <v>59</v>
      </c>
      <c r="I130">
        <v>1</v>
      </c>
    </row>
    <row r="131" spans="1:9">
      <c r="A131" s="23">
        <f>Events!H131</f>
        <v>0.47916666666666669</v>
      </c>
      <c r="B131" s="23">
        <f>Events!I131</f>
        <v>0.5</v>
      </c>
      <c r="C131" s="23">
        <f t="shared" ref="C131:C175" si="3">B131-A131</f>
        <v>2.0833333333333315E-2</v>
      </c>
      <c r="H131" s="2" t="s">
        <v>59</v>
      </c>
      <c r="I131">
        <v>2</v>
      </c>
    </row>
    <row r="132" spans="1:9">
      <c r="A132" s="23">
        <f>Events!H132</f>
        <v>0.60416666666666663</v>
      </c>
      <c r="B132" s="23">
        <f>Events!I132</f>
        <v>0.625</v>
      </c>
      <c r="C132" s="23">
        <f t="shared" si="3"/>
        <v>2.083333333333337E-2</v>
      </c>
      <c r="H132" s="2" t="s">
        <v>59</v>
      </c>
      <c r="I132">
        <v>3</v>
      </c>
    </row>
    <row r="133" spans="1:9">
      <c r="A133" s="23">
        <f>Events!H133</f>
        <v>0</v>
      </c>
      <c r="B133" s="23">
        <f>Events!I133</f>
        <v>0</v>
      </c>
      <c r="C133" s="23">
        <f t="shared" si="3"/>
        <v>0</v>
      </c>
      <c r="H133" s="2" t="s">
        <v>59</v>
      </c>
      <c r="I133">
        <v>4</v>
      </c>
    </row>
    <row r="134" spans="1:9">
      <c r="A134" s="23">
        <f>Events!H134</f>
        <v>0</v>
      </c>
      <c r="B134" s="23">
        <f>Events!I134</f>
        <v>0.35416666666666669</v>
      </c>
      <c r="C134" s="23">
        <f t="shared" si="3"/>
        <v>0.35416666666666669</v>
      </c>
      <c r="H134" s="2" t="s">
        <v>59</v>
      </c>
      <c r="I134">
        <v>5</v>
      </c>
    </row>
    <row r="135" spans="1:9">
      <c r="A135" s="23">
        <f>Events!H135</f>
        <v>0.35416666666666669</v>
      </c>
      <c r="B135" s="23">
        <f>Events!I135</f>
        <v>0.3888888888888889</v>
      </c>
      <c r="C135" s="23">
        <f t="shared" si="3"/>
        <v>3.472222222222221E-2</v>
      </c>
      <c r="H135" s="2" t="s">
        <v>59</v>
      </c>
      <c r="I135">
        <v>6</v>
      </c>
    </row>
    <row r="136" spans="1:9">
      <c r="A136" s="23">
        <f>Events!H136</f>
        <v>0.72222222222222221</v>
      </c>
      <c r="B136" s="23">
        <f>Events!I136</f>
        <v>0.76041666666666663</v>
      </c>
      <c r="C136" s="23">
        <f t="shared" si="3"/>
        <v>3.819444444444442E-2</v>
      </c>
      <c r="H136" s="2" t="s">
        <v>59</v>
      </c>
      <c r="I136">
        <v>7</v>
      </c>
    </row>
    <row r="137" spans="1:9">
      <c r="A137" s="23">
        <f>Events!H137</f>
        <v>0.45833333333333331</v>
      </c>
      <c r="B137" s="23">
        <f>Events!I137</f>
        <v>0.47222222222222227</v>
      </c>
      <c r="C137" s="23">
        <f t="shared" si="3"/>
        <v>1.3888888888888951E-2</v>
      </c>
      <c r="H137" s="2" t="s">
        <v>59</v>
      </c>
      <c r="I137">
        <v>8</v>
      </c>
    </row>
    <row r="138" spans="1:9">
      <c r="A138" s="23">
        <f>Events!H138</f>
        <v>0.46527777777777773</v>
      </c>
      <c r="B138" s="23">
        <f>Events!I138</f>
        <v>0.47222222222222227</v>
      </c>
      <c r="C138" s="23">
        <f t="shared" si="3"/>
        <v>6.9444444444445308E-3</v>
      </c>
      <c r="H138" s="2" t="s">
        <v>59</v>
      </c>
      <c r="I138">
        <v>9</v>
      </c>
    </row>
    <row r="139" spans="1:9">
      <c r="A139" s="23">
        <f>Events!H139</f>
        <v>0.58333333333333337</v>
      </c>
      <c r="B139" s="23">
        <f>Events!I139</f>
        <v>0.60416666666666663</v>
      </c>
      <c r="C139" s="23">
        <f t="shared" si="3"/>
        <v>2.0833333333333259E-2</v>
      </c>
      <c r="H139" s="2" t="s">
        <v>59</v>
      </c>
      <c r="I139">
        <v>10</v>
      </c>
    </row>
    <row r="140" spans="1:9">
      <c r="A140" s="23">
        <f>Events!H140</f>
        <v>0.46527777777777773</v>
      </c>
      <c r="B140" s="23">
        <f>Events!I140</f>
        <v>0.47222222222222227</v>
      </c>
      <c r="C140" s="23">
        <f t="shared" si="3"/>
        <v>6.9444444444445308E-3</v>
      </c>
      <c r="H140" s="2" t="s">
        <v>59</v>
      </c>
      <c r="I140">
        <v>11</v>
      </c>
    </row>
    <row r="141" spans="1:9">
      <c r="A141" s="23">
        <f>Events!H141</f>
        <v>0</v>
      </c>
      <c r="B141" s="23">
        <f>Events!I141</f>
        <v>0</v>
      </c>
      <c r="C141" s="23">
        <f t="shared" si="3"/>
        <v>0</v>
      </c>
      <c r="H141" s="2" t="s">
        <v>59</v>
      </c>
      <c r="I141">
        <v>12</v>
      </c>
    </row>
    <row r="142" spans="1:9">
      <c r="A142" s="23">
        <f>Events!H142</f>
        <v>0.45833333333333331</v>
      </c>
      <c r="B142" s="23">
        <f>Events!I142</f>
        <v>0.46875</v>
      </c>
      <c r="C142" s="23">
        <f t="shared" si="3"/>
        <v>1.0416666666666685E-2</v>
      </c>
      <c r="H142" s="2" t="s">
        <v>59</v>
      </c>
      <c r="I142">
        <v>13</v>
      </c>
    </row>
    <row r="143" spans="1:9">
      <c r="A143" s="23">
        <f>Events!H143</f>
        <v>0.47152777777777777</v>
      </c>
      <c r="B143" s="23">
        <f>Events!I143</f>
        <v>0.48472222222222222</v>
      </c>
      <c r="C143" s="23">
        <f t="shared" si="3"/>
        <v>1.3194444444444453E-2</v>
      </c>
      <c r="H143" s="2" t="s">
        <v>59</v>
      </c>
      <c r="I143">
        <v>14</v>
      </c>
    </row>
    <row r="144" spans="1:9">
      <c r="A144" s="23">
        <f>Events!H144</f>
        <v>0.60416666666666663</v>
      </c>
      <c r="B144" s="23">
        <f>Events!I144</f>
        <v>0.61805555555555558</v>
      </c>
      <c r="C144" s="23">
        <f t="shared" si="3"/>
        <v>1.3888888888888951E-2</v>
      </c>
      <c r="H144" s="2" t="s">
        <v>59</v>
      </c>
      <c r="I144">
        <v>15</v>
      </c>
    </row>
    <row r="145" spans="1:9">
      <c r="A145" s="23">
        <f>Events!H145</f>
        <v>0.4201388888888889</v>
      </c>
      <c r="B145" s="23">
        <f>Events!I145</f>
        <v>0.52083333333333337</v>
      </c>
      <c r="C145" s="23">
        <f t="shared" si="3"/>
        <v>0.10069444444444448</v>
      </c>
      <c r="H145" s="2" t="s">
        <v>59</v>
      </c>
      <c r="I145">
        <v>16</v>
      </c>
    </row>
    <row r="146" spans="1:9">
      <c r="A146" s="23">
        <f>Events!H146</f>
        <v>0.60625000000000007</v>
      </c>
      <c r="B146" s="23">
        <f>Events!I146</f>
        <v>0.625</v>
      </c>
      <c r="C146" s="23">
        <f t="shared" si="3"/>
        <v>1.8749999999999933E-2</v>
      </c>
      <c r="H146" s="2" t="s">
        <v>59</v>
      </c>
      <c r="I146">
        <v>17</v>
      </c>
    </row>
    <row r="147" spans="1:9">
      <c r="A147" s="23">
        <f>Events!H147</f>
        <v>0.60625000000000007</v>
      </c>
      <c r="B147" s="23">
        <f>Events!I147</f>
        <v>0.625</v>
      </c>
      <c r="C147" s="23">
        <f t="shared" si="3"/>
        <v>1.8749999999999933E-2</v>
      </c>
      <c r="H147" s="2" t="s">
        <v>59</v>
      </c>
      <c r="I147">
        <v>18</v>
      </c>
    </row>
    <row r="148" spans="1:9">
      <c r="A148" s="23">
        <f>Events!H148</f>
        <v>0.69097222222222221</v>
      </c>
      <c r="B148" s="23">
        <f>Events!I148</f>
        <v>0.71666666666666667</v>
      </c>
      <c r="C148" s="23">
        <f t="shared" si="3"/>
        <v>2.5694444444444464E-2</v>
      </c>
      <c r="H148" s="2" t="s">
        <v>59</v>
      </c>
      <c r="I148">
        <v>19</v>
      </c>
    </row>
    <row r="149" spans="1:9">
      <c r="A149" s="23">
        <f>Events!H149</f>
        <v>0.4375</v>
      </c>
      <c r="B149" s="23">
        <f>Events!I149</f>
        <v>0.47916666666666669</v>
      </c>
      <c r="C149" s="23">
        <f t="shared" si="3"/>
        <v>4.1666666666666685E-2</v>
      </c>
      <c r="H149" s="2" t="s">
        <v>59</v>
      </c>
      <c r="I149">
        <v>20</v>
      </c>
    </row>
    <row r="150" spans="1:9">
      <c r="A150" s="23">
        <f>Events!H150</f>
        <v>0.5625</v>
      </c>
      <c r="B150" s="23">
        <f>Events!I150</f>
        <v>0.57638888888888895</v>
      </c>
      <c r="C150" s="23">
        <f t="shared" si="3"/>
        <v>1.3888888888888951E-2</v>
      </c>
      <c r="H150" s="2" t="s">
        <v>59</v>
      </c>
      <c r="I150">
        <v>21</v>
      </c>
    </row>
    <row r="151" spans="1:9">
      <c r="A151" s="23">
        <f>Events!H151</f>
        <v>0.77083333333333337</v>
      </c>
      <c r="B151" s="23">
        <f>Events!I151</f>
        <v>0</v>
      </c>
      <c r="C151" s="23">
        <f t="shared" si="3"/>
        <v>-0.77083333333333337</v>
      </c>
      <c r="H151" s="2" t="s">
        <v>59</v>
      </c>
      <c r="I151">
        <v>22</v>
      </c>
    </row>
    <row r="152" spans="1:9">
      <c r="A152" s="23">
        <f>Events!H152</f>
        <v>0.70833333333333337</v>
      </c>
      <c r="B152" s="23">
        <f>Events!I152</f>
        <v>0.72222222222222221</v>
      </c>
      <c r="C152" s="23">
        <f t="shared" si="3"/>
        <v>1.388888888888884E-2</v>
      </c>
      <c r="H152" s="2" t="s">
        <v>59</v>
      </c>
      <c r="I152">
        <v>23</v>
      </c>
    </row>
    <row r="153" spans="1:9">
      <c r="A153" s="23">
        <f>Events!H153</f>
        <v>0.83333333333333337</v>
      </c>
      <c r="B153" s="23">
        <f>Events!I153</f>
        <v>0.875</v>
      </c>
      <c r="C153" s="23">
        <f t="shared" si="3"/>
        <v>4.166666666666663E-2</v>
      </c>
      <c r="H153" s="2" t="s">
        <v>59</v>
      </c>
      <c r="I153">
        <v>24</v>
      </c>
    </row>
    <row r="154" spans="1:9">
      <c r="A154" s="23">
        <f>Events!H154</f>
        <v>0.3611111111111111</v>
      </c>
      <c r="B154" s="23">
        <f>Events!I154</f>
        <v>0.375</v>
      </c>
      <c r="C154" s="23">
        <f t="shared" si="3"/>
        <v>1.3888888888888895E-2</v>
      </c>
      <c r="H154" s="2" t="s">
        <v>59</v>
      </c>
      <c r="I154">
        <v>25</v>
      </c>
    </row>
    <row r="155" spans="1:9">
      <c r="A155" s="23">
        <f>Events!H155</f>
        <v>0.39513888888888887</v>
      </c>
      <c r="B155" s="23">
        <f>Events!I155</f>
        <v>0.40972222222222227</v>
      </c>
      <c r="C155" s="23">
        <f t="shared" si="3"/>
        <v>1.4583333333333393E-2</v>
      </c>
      <c r="H155" s="2" t="s">
        <v>59</v>
      </c>
      <c r="I155">
        <v>26</v>
      </c>
    </row>
    <row r="156" spans="1:9">
      <c r="A156" s="23">
        <f>Events!H156</f>
        <v>0.4069444444444445</v>
      </c>
      <c r="B156" s="23">
        <f>Events!I156</f>
        <v>0.42777777777777781</v>
      </c>
      <c r="C156" s="23">
        <f t="shared" si="3"/>
        <v>2.0833333333333315E-2</v>
      </c>
      <c r="H156" s="2" t="s">
        <v>59</v>
      </c>
      <c r="I156">
        <v>27</v>
      </c>
    </row>
    <row r="157" spans="1:9">
      <c r="A157" s="23">
        <f>Events!H157</f>
        <v>0.58680555555555558</v>
      </c>
      <c r="B157" s="23">
        <f>Events!I157</f>
        <v>0.60486111111111118</v>
      </c>
      <c r="C157" s="23">
        <f t="shared" si="3"/>
        <v>1.8055555555555602E-2</v>
      </c>
      <c r="H157" s="2" t="s">
        <v>59</v>
      </c>
      <c r="I157">
        <v>28</v>
      </c>
    </row>
    <row r="158" spans="1:9">
      <c r="A158" s="23">
        <f>Events!H158</f>
        <v>0.59375</v>
      </c>
      <c r="B158" s="23">
        <f>Events!I158</f>
        <v>0.625</v>
      </c>
      <c r="C158" s="23">
        <f t="shared" si="3"/>
        <v>3.125E-2</v>
      </c>
      <c r="H158" s="2" t="s">
        <v>59</v>
      </c>
      <c r="I158">
        <v>29</v>
      </c>
    </row>
    <row r="159" spans="1:9">
      <c r="A159" s="23">
        <f>Events!H160</f>
        <v>0.625</v>
      </c>
      <c r="B159" s="23">
        <f>Events!I159</f>
        <v>0.59375</v>
      </c>
      <c r="C159" s="23">
        <f t="shared" si="3"/>
        <v>-3.125E-2</v>
      </c>
      <c r="H159" s="2" t="s">
        <v>59</v>
      </c>
      <c r="I159">
        <v>30</v>
      </c>
    </row>
    <row r="160" spans="1:9">
      <c r="A160" s="23">
        <f>Events!H161</f>
        <v>0</v>
      </c>
      <c r="B160" s="23">
        <f>Events!I160</f>
        <v>0.63888888888888895</v>
      </c>
      <c r="C160" s="23">
        <f t="shared" si="3"/>
        <v>0.63888888888888895</v>
      </c>
      <c r="H160" s="2" t="s">
        <v>1090</v>
      </c>
      <c r="I160">
        <v>1</v>
      </c>
    </row>
    <row r="161" spans="1:9">
      <c r="A161" s="23">
        <f>Events!H162</f>
        <v>0.59375</v>
      </c>
      <c r="B161" s="23">
        <f>Events!I161</f>
        <v>0.39583333333333331</v>
      </c>
      <c r="C161" s="23">
        <f t="shared" si="3"/>
        <v>-0.19791666666666669</v>
      </c>
      <c r="H161" s="2" t="s">
        <v>1090</v>
      </c>
      <c r="I161">
        <v>2</v>
      </c>
    </row>
    <row r="162" spans="1:9">
      <c r="A162" s="23">
        <f>Events!H163</f>
        <v>0.48333333333333334</v>
      </c>
      <c r="B162" s="23">
        <f>Events!I162</f>
        <v>0.61736111111111114</v>
      </c>
      <c r="C162" s="23">
        <f t="shared" si="3"/>
        <v>0.1340277777777778</v>
      </c>
      <c r="H162" s="2" t="s">
        <v>826</v>
      </c>
      <c r="I162">
        <v>1</v>
      </c>
    </row>
    <row r="163" spans="1:9">
      <c r="A163" s="23">
        <f>Events!H164</f>
        <v>0.37708333333333338</v>
      </c>
      <c r="B163" s="23">
        <f>Events!I163</f>
        <v>0.5</v>
      </c>
      <c r="C163" s="23">
        <f t="shared" si="3"/>
        <v>0.12291666666666662</v>
      </c>
      <c r="H163" s="2" t="s">
        <v>826</v>
      </c>
      <c r="I163">
        <v>2</v>
      </c>
    </row>
    <row r="164" spans="1:9">
      <c r="A164" s="23">
        <f>Events!H165</f>
        <v>0.75</v>
      </c>
      <c r="B164" s="23">
        <f>Events!I164</f>
        <v>0.40277777777777773</v>
      </c>
      <c r="C164" s="23">
        <f t="shared" si="3"/>
        <v>-0.34722222222222227</v>
      </c>
      <c r="H164" s="2" t="s">
        <v>1089</v>
      </c>
      <c r="I164">
        <v>1</v>
      </c>
    </row>
    <row r="165" spans="1:9">
      <c r="A165" s="23">
        <f>Events!H166</f>
        <v>0.59375</v>
      </c>
      <c r="B165" s="23">
        <f>Events!I165</f>
        <v>0.76388888888888884</v>
      </c>
      <c r="C165" s="23">
        <f t="shared" si="3"/>
        <v>0.17013888888888884</v>
      </c>
      <c r="H165" s="2" t="s">
        <v>1089</v>
      </c>
      <c r="I165">
        <v>2</v>
      </c>
    </row>
    <row r="166" spans="1:9">
      <c r="A166" s="23">
        <f>Events!H167</f>
        <v>0.42708333333333331</v>
      </c>
      <c r="B166" s="23">
        <f>Events!I166</f>
        <v>0.65625</v>
      </c>
      <c r="C166" s="23">
        <f t="shared" si="3"/>
        <v>0.22916666666666669</v>
      </c>
      <c r="H166" s="2" t="s">
        <v>1089</v>
      </c>
      <c r="I166">
        <v>3</v>
      </c>
    </row>
    <row r="167" spans="1:9">
      <c r="A167" s="23">
        <f>Events!H168</f>
        <v>0.39583333333333331</v>
      </c>
      <c r="B167" s="23">
        <f>Events!I167</f>
        <v>0.44791666666666669</v>
      </c>
      <c r="C167" s="23">
        <f t="shared" si="3"/>
        <v>5.208333333333337E-2</v>
      </c>
      <c r="H167" s="2" t="s">
        <v>1089</v>
      </c>
      <c r="I167">
        <v>4</v>
      </c>
    </row>
    <row r="168" spans="1:9">
      <c r="A168" s="23">
        <f>Events!H169</f>
        <v>0.72083333333333333</v>
      </c>
      <c r="B168" s="23">
        <f>Events!I168</f>
        <v>0.41666666666666669</v>
      </c>
      <c r="C168" s="23">
        <f t="shared" si="3"/>
        <v>-0.30416666666666664</v>
      </c>
      <c r="H168" s="2" t="s">
        <v>1089</v>
      </c>
      <c r="I168">
        <v>5</v>
      </c>
    </row>
    <row r="169" spans="1:9">
      <c r="A169" s="23">
        <f>Events!H170</f>
        <v>0.60138888888888886</v>
      </c>
      <c r="B169" s="23" t="e">
        <f>Events!#REF!</f>
        <v>#REF!</v>
      </c>
      <c r="C169" s="23" t="e">
        <f t="shared" si="3"/>
        <v>#REF!</v>
      </c>
      <c r="H169" s="2" t="s">
        <v>1089</v>
      </c>
      <c r="I169">
        <v>6</v>
      </c>
    </row>
    <row r="170" spans="1:9">
      <c r="A170" s="23">
        <f>Events!H171</f>
        <v>0.60138888888888886</v>
      </c>
      <c r="B170" s="23">
        <f>Events!I170</f>
        <v>0.62847222222222221</v>
      </c>
      <c r="C170" s="23">
        <f t="shared" si="3"/>
        <v>2.7083333333333348E-2</v>
      </c>
      <c r="H170" s="2" t="s">
        <v>1089</v>
      </c>
      <c r="I170">
        <v>7</v>
      </c>
    </row>
    <row r="171" spans="1:9">
      <c r="A171" s="23">
        <f>Events!H172</f>
        <v>0.38194444444444442</v>
      </c>
      <c r="B171" s="23">
        <f>Events!I171</f>
        <v>0.62847222222222221</v>
      </c>
      <c r="C171" s="23">
        <f t="shared" si="3"/>
        <v>0.24652777777777779</v>
      </c>
      <c r="H171" s="2" t="s">
        <v>828</v>
      </c>
      <c r="I171">
        <v>1</v>
      </c>
    </row>
    <row r="172" spans="1:9">
      <c r="A172" s="23">
        <f>Events!H173</f>
        <v>0.42708333333333331</v>
      </c>
      <c r="B172" s="23">
        <f>Events!I172</f>
        <v>0.38541666666666669</v>
      </c>
      <c r="C172" s="23">
        <f t="shared" si="3"/>
        <v>-4.166666666666663E-2</v>
      </c>
    </row>
    <row r="173" spans="1:9">
      <c r="A173" s="23">
        <f>Events!H174</f>
        <v>0</v>
      </c>
      <c r="B173" s="23">
        <f>Events!I173</f>
        <v>0.44791666666666669</v>
      </c>
      <c r="C173" s="23">
        <f t="shared" si="3"/>
        <v>0.44791666666666669</v>
      </c>
    </row>
    <row r="174" spans="1:9">
      <c r="A174" s="23">
        <f>Events!H175</f>
        <v>0.46527777777777773</v>
      </c>
      <c r="B174" s="23">
        <f>Events!I174</f>
        <v>0.71875</v>
      </c>
      <c r="C174" s="23">
        <f t="shared" si="3"/>
        <v>0.25347222222222227</v>
      </c>
    </row>
    <row r="175" spans="1:9">
      <c r="A175" s="23">
        <f>Events!H176</f>
        <v>0.53541666666666665</v>
      </c>
      <c r="B175" s="23">
        <f>Events!I175</f>
        <v>0.4861111111111111</v>
      </c>
      <c r="C175" s="23">
        <f t="shared" si="3"/>
        <v>-4.9305555555555547E-2</v>
      </c>
    </row>
    <row r="176" spans="1:9">
      <c r="C176" s="23"/>
    </row>
    <row r="177" spans="3:3">
      <c r="C177" s="23"/>
    </row>
    <row r="178" spans="3:3">
      <c r="C178" s="23"/>
    </row>
    <row r="179" spans="3:3">
      <c r="C179" s="23"/>
    </row>
    <row r="180" spans="3:3">
      <c r="C180" s="23"/>
    </row>
    <row r="181" spans="3:3">
      <c r="C181" s="23"/>
    </row>
    <row r="182" spans="3:3">
      <c r="C182" s="23"/>
    </row>
    <row r="183" spans="3:3">
      <c r="C183" s="23"/>
    </row>
    <row r="184" spans="3:3">
      <c r="C184" s="23"/>
    </row>
    <row r="185" spans="3:3">
      <c r="C185" s="23"/>
    </row>
    <row r="186" spans="3:3">
      <c r="C186" s="23"/>
    </row>
    <row r="187" spans="3:3">
      <c r="C187" s="23"/>
    </row>
    <row r="188" spans="3:3">
      <c r="C188" s="23"/>
    </row>
    <row r="189" spans="3:3">
      <c r="C189" s="23"/>
    </row>
    <row r="190" spans="3:3">
      <c r="C190" s="23"/>
    </row>
    <row r="191" spans="3:3">
      <c r="C191" s="23"/>
    </row>
    <row r="192" spans="3:3">
      <c r="C192" s="23"/>
    </row>
    <row r="193" spans="3:3">
      <c r="C193" s="23"/>
    </row>
    <row r="194" spans="3:3">
      <c r="C194" s="23"/>
    </row>
    <row r="195" spans="3:3">
      <c r="C195" s="23"/>
    </row>
    <row r="196" spans="3:3">
      <c r="C196" s="23"/>
    </row>
    <row r="197" spans="3:3">
      <c r="C197" s="23"/>
    </row>
    <row r="198" spans="3:3">
      <c r="C198" s="23"/>
    </row>
    <row r="199" spans="3:3">
      <c r="C199" s="23"/>
    </row>
    <row r="200" spans="3:3">
      <c r="C200" s="23"/>
    </row>
    <row r="201" spans="3:3">
      <c r="C201" s="23"/>
    </row>
    <row r="202" spans="3:3">
      <c r="C202" s="23"/>
    </row>
    <row r="203" spans="3:3">
      <c r="C203" s="23"/>
    </row>
    <row r="204" spans="3:3">
      <c r="C204" s="23"/>
    </row>
    <row r="205" spans="3:3">
      <c r="C205" s="23"/>
    </row>
    <row r="206" spans="3:3">
      <c r="C206" s="23"/>
    </row>
    <row r="207" spans="3:3">
      <c r="C207" s="23"/>
    </row>
    <row r="208" spans="3:3">
      <c r="C208" s="23"/>
    </row>
    <row r="209" spans="3:3">
      <c r="C209" s="23"/>
    </row>
    <row r="210" spans="3:3">
      <c r="C210" s="23"/>
    </row>
    <row r="211" spans="3:3">
      <c r="C211" s="23"/>
    </row>
    <row r="212" spans="3:3">
      <c r="C212" s="23"/>
    </row>
    <row r="213" spans="3:3">
      <c r="C213" s="23"/>
    </row>
    <row r="214" spans="3:3">
      <c r="C214" s="23"/>
    </row>
    <row r="215" spans="3:3">
      <c r="C215" s="23"/>
    </row>
    <row r="216" spans="3:3">
      <c r="C216" s="23"/>
    </row>
    <row r="217" spans="3:3">
      <c r="C217" s="23"/>
    </row>
    <row r="218" spans="3:3">
      <c r="C218" s="23"/>
    </row>
    <row r="219" spans="3:3">
      <c r="C219" s="23"/>
    </row>
    <row r="220" spans="3:3">
      <c r="C220" s="23"/>
    </row>
    <row r="221" spans="3:3">
      <c r="C221" s="23"/>
    </row>
    <row r="222" spans="3:3">
      <c r="C222" s="23"/>
    </row>
    <row r="223" spans="3:3">
      <c r="C223" s="23"/>
    </row>
    <row r="224" spans="3:3">
      <c r="C224" s="23"/>
    </row>
    <row r="225" spans="3:3">
      <c r="C225" s="23"/>
    </row>
    <row r="226" spans="3:3">
      <c r="C226" s="23"/>
    </row>
    <row r="227" spans="3:3">
      <c r="C227" s="23"/>
    </row>
    <row r="228" spans="3:3">
      <c r="C228" s="23"/>
    </row>
    <row r="229" spans="3:3">
      <c r="C229" s="23"/>
    </row>
    <row r="230" spans="3:3">
      <c r="C230" s="23"/>
    </row>
    <row r="231" spans="3:3">
      <c r="C231" s="23"/>
    </row>
    <row r="232" spans="3:3">
      <c r="C232" s="23"/>
    </row>
    <row r="233" spans="3:3">
      <c r="C233" s="23"/>
    </row>
    <row r="234" spans="3:3">
      <c r="C234" s="23"/>
    </row>
    <row r="235" spans="3:3">
      <c r="C235" s="23"/>
    </row>
    <row r="236" spans="3:3">
      <c r="C236" s="23"/>
    </row>
    <row r="237" spans="3:3">
      <c r="C237" s="23"/>
    </row>
    <row r="238" spans="3:3">
      <c r="C238" s="23"/>
    </row>
    <row r="239" spans="3:3">
      <c r="C239" s="23"/>
    </row>
    <row r="240" spans="3:3">
      <c r="C240" s="23"/>
    </row>
    <row r="241" spans="3:3">
      <c r="C241" s="23"/>
    </row>
    <row r="242" spans="3:3">
      <c r="C242" s="23"/>
    </row>
    <row r="243" spans="3:3">
      <c r="C243" s="23"/>
    </row>
    <row r="244" spans="3:3">
      <c r="C244" s="23"/>
    </row>
    <row r="245" spans="3:3">
      <c r="C245" s="23"/>
    </row>
    <row r="246" spans="3:3">
      <c r="C246" s="23"/>
    </row>
    <row r="247" spans="3:3">
      <c r="C247" s="23"/>
    </row>
    <row r="248" spans="3:3">
      <c r="C248" s="23"/>
    </row>
    <row r="249" spans="3:3">
      <c r="C249" s="23"/>
    </row>
    <row r="250" spans="3:3">
      <c r="C250" s="23"/>
    </row>
  </sheetData>
  <sortState xmlns:xlrd2="http://schemas.microsoft.com/office/spreadsheetml/2017/richdata2" ref="H2:I249">
    <sortCondition ref="H2:H249"/>
    <sortCondition ref="I2:I249"/>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F998"/>
  <sheetViews>
    <sheetView zoomScale="135" zoomScaleNormal="120" workbookViewId="0">
      <pane xSplit="2" topLeftCell="C1" activePane="topRight" state="frozen"/>
      <selection pane="topRight" activeCell="T132" sqref="T132"/>
    </sheetView>
  </sheetViews>
  <sheetFormatPr baseColWidth="10" defaultColWidth="14.3984375" defaultRowHeight="15" customHeight="1"/>
  <cols>
    <col min="1" max="1" width="18.796875" bestFit="1" customWidth="1"/>
    <col min="2" max="2" width="9.796875" bestFit="1" customWidth="1"/>
    <col min="3" max="3" width="14.19921875" bestFit="1" customWidth="1"/>
    <col min="4" max="4" width="16.19921875" bestFit="1" customWidth="1"/>
    <col min="5" max="5" width="17" bestFit="1" customWidth="1"/>
    <col min="6" max="7" width="17" customWidth="1"/>
    <col min="8" max="8" width="10.3984375" style="23" bestFit="1" customWidth="1"/>
    <col min="9" max="9" width="9.59765625" style="23" bestFit="1" customWidth="1"/>
    <col min="10" max="10" width="10.3984375" style="23" bestFit="1" customWidth="1"/>
    <col min="11" max="11" width="9.59765625" style="23" bestFit="1" customWidth="1"/>
    <col min="12" max="12" width="13.19921875" style="28" bestFit="1" customWidth="1"/>
    <col min="13" max="13" width="17.796875" style="31" bestFit="1" customWidth="1"/>
    <col min="14" max="14" width="19.796875" style="28" customWidth="1"/>
    <col min="15" max="15" width="17.796875" style="31" bestFit="1" customWidth="1"/>
    <col min="16" max="16" width="13.19921875" style="28" bestFit="1" customWidth="1"/>
    <col min="17" max="17" width="17.796875" style="31" bestFit="1" customWidth="1"/>
    <col min="18" max="18" width="19.796875" style="28" customWidth="1"/>
    <col min="19" max="19" width="17.796875" style="31" bestFit="1" customWidth="1"/>
    <col min="20" max="23" width="11.3984375" style="25" customWidth="1"/>
    <col min="24" max="24" width="16.796875" bestFit="1" customWidth="1"/>
    <col min="25" max="25" width="11.3984375" customWidth="1"/>
    <col min="26" max="26" width="10.59765625" bestFit="1" customWidth="1"/>
    <col min="27" max="27" width="10.59765625" customWidth="1"/>
    <col min="28" max="28" width="11" customWidth="1"/>
    <col min="29" max="29" width="13.796875" customWidth="1"/>
    <col min="30" max="30" width="17.796875" customWidth="1"/>
    <col min="31" max="31" width="18.796875" bestFit="1" customWidth="1"/>
    <col min="32" max="32" width="40.796875" customWidth="1"/>
  </cols>
  <sheetData>
    <row r="1" spans="1:32" ht="32" customHeight="1">
      <c r="A1" s="10" t="s">
        <v>1</v>
      </c>
      <c r="B1" s="10" t="s">
        <v>0</v>
      </c>
      <c r="C1" s="10" t="s">
        <v>2</v>
      </c>
      <c r="D1" s="10" t="s">
        <v>3</v>
      </c>
      <c r="E1" s="10" t="s">
        <v>3</v>
      </c>
      <c r="F1" s="10" t="s">
        <v>3</v>
      </c>
      <c r="G1" s="10" t="s">
        <v>3</v>
      </c>
      <c r="H1" s="21" t="s">
        <v>4</v>
      </c>
      <c r="I1" s="21" t="s">
        <v>5</v>
      </c>
      <c r="J1" s="21" t="s">
        <v>6</v>
      </c>
      <c r="K1" s="21" t="s">
        <v>7</v>
      </c>
      <c r="L1" s="26" t="s">
        <v>8</v>
      </c>
      <c r="M1" s="29" t="s">
        <v>9</v>
      </c>
      <c r="N1" s="26" t="s">
        <v>10</v>
      </c>
      <c r="O1" s="29" t="s">
        <v>11</v>
      </c>
      <c r="P1" s="26" t="s">
        <v>12</v>
      </c>
      <c r="Q1" s="29" t="s">
        <v>13</v>
      </c>
      <c r="R1" s="26" t="s">
        <v>14</v>
      </c>
      <c r="S1" s="29" t="s">
        <v>15</v>
      </c>
      <c r="T1" s="24" t="s">
        <v>16</v>
      </c>
      <c r="U1" s="24" t="s">
        <v>17</v>
      </c>
      <c r="V1" s="24" t="s">
        <v>18</v>
      </c>
      <c r="W1" s="24" t="s">
        <v>19</v>
      </c>
      <c r="X1" s="10" t="s">
        <v>20</v>
      </c>
      <c r="Y1" s="10" t="s">
        <v>21</v>
      </c>
      <c r="Z1" s="10" t="s">
        <v>22</v>
      </c>
      <c r="AA1" s="10" t="s">
        <v>23</v>
      </c>
      <c r="AB1" s="10" t="s">
        <v>24</v>
      </c>
      <c r="AC1" s="10" t="s">
        <v>25</v>
      </c>
      <c r="AD1" s="10" t="s">
        <v>26</v>
      </c>
      <c r="AE1" s="10" t="s">
        <v>27</v>
      </c>
      <c r="AF1" s="10" t="s">
        <v>28</v>
      </c>
    </row>
    <row r="2" spans="1:32" ht="13.5" customHeight="1">
      <c r="A2" s="2" t="s">
        <v>863</v>
      </c>
      <c r="B2" s="2" t="s">
        <v>29</v>
      </c>
      <c r="C2" s="3">
        <v>44976</v>
      </c>
      <c r="D2" s="3" t="s">
        <v>30</v>
      </c>
      <c r="E2" s="3"/>
      <c r="F2" s="3"/>
      <c r="G2" s="3"/>
      <c r="H2" s="22">
        <v>0.38680555555555557</v>
      </c>
      <c r="I2" s="22">
        <v>0.39374999999999999</v>
      </c>
      <c r="J2" s="22"/>
      <c r="K2" s="22"/>
      <c r="L2" s="27">
        <v>66</v>
      </c>
      <c r="M2" s="30">
        <v>1.6E-2</v>
      </c>
      <c r="N2" s="27">
        <v>65</v>
      </c>
      <c r="O2" s="30">
        <v>46.643000000000001</v>
      </c>
      <c r="P2" s="27"/>
      <c r="Q2" s="30"/>
      <c r="R2" s="27"/>
      <c r="S2" s="30"/>
      <c r="T2" s="25">
        <f>-(L2+M2/60)</f>
        <v>-66.000266666666661</v>
      </c>
      <c r="U2" s="25">
        <f>-(N2+O2/60)</f>
        <v>-65.777383333333333</v>
      </c>
      <c r="V2" s="25">
        <f>-(P2+Q2/60)</f>
        <v>0</v>
      </c>
      <c r="W2" s="1">
        <f>-(R2+S2/60)</f>
        <v>0</v>
      </c>
      <c r="X2" s="2" t="s">
        <v>31</v>
      </c>
      <c r="Y2" s="2"/>
      <c r="Z2" s="2"/>
      <c r="AA2" s="2">
        <v>500</v>
      </c>
      <c r="AB2" s="2"/>
      <c r="AC2" s="4"/>
      <c r="AE2" s="2" t="s">
        <v>32</v>
      </c>
      <c r="AF2" s="2" t="s">
        <v>33</v>
      </c>
    </row>
    <row r="3" spans="1:32" ht="13.5" customHeight="1">
      <c r="A3" s="2" t="s">
        <v>863</v>
      </c>
      <c r="B3" s="2" t="s">
        <v>34</v>
      </c>
      <c r="C3" s="3">
        <v>44976</v>
      </c>
      <c r="D3" s="3" t="s">
        <v>35</v>
      </c>
      <c r="E3" s="3"/>
      <c r="F3" s="3"/>
      <c r="G3" s="3"/>
      <c r="H3" s="22">
        <v>0.40972222222222227</v>
      </c>
      <c r="I3" s="22">
        <v>0.4375</v>
      </c>
      <c r="J3" s="22"/>
      <c r="K3" s="22"/>
      <c r="L3" s="27">
        <v>66</v>
      </c>
      <c r="M3" s="30">
        <v>1.6E-2</v>
      </c>
      <c r="N3" s="27">
        <v>65</v>
      </c>
      <c r="O3" s="30">
        <v>46.643000000000001</v>
      </c>
      <c r="P3" s="27"/>
      <c r="Q3" s="30"/>
      <c r="R3" s="27"/>
      <c r="S3" s="30"/>
      <c r="T3" s="25">
        <f t="shared" ref="T3:T25" si="0">-(L3+M3/60)</f>
        <v>-66.000266666666661</v>
      </c>
      <c r="U3" s="25">
        <f t="shared" ref="U3:U25" si="1">-(N3+O3/60)</f>
        <v>-65.777383333333333</v>
      </c>
      <c r="V3" s="25">
        <f t="shared" ref="V3:V25" si="2">-(P3+Q3/60)</f>
        <v>0</v>
      </c>
      <c r="W3" s="1">
        <f t="shared" ref="W3:W25" si="3">-(R3+S3/60)</f>
        <v>0</v>
      </c>
      <c r="X3" s="2" t="s">
        <v>31</v>
      </c>
      <c r="Y3" s="2">
        <v>0</v>
      </c>
      <c r="Z3" s="2">
        <v>12</v>
      </c>
      <c r="AA3" s="2"/>
      <c r="AC3" s="4"/>
      <c r="AE3" s="2" t="s">
        <v>36</v>
      </c>
      <c r="AF3" s="2" t="s">
        <v>37</v>
      </c>
    </row>
    <row r="4" spans="1:32" ht="13.5" customHeight="1">
      <c r="A4" s="2" t="s">
        <v>863</v>
      </c>
      <c r="B4" s="2" t="s">
        <v>38</v>
      </c>
      <c r="C4" s="3">
        <v>44976</v>
      </c>
      <c r="D4" s="3" t="s">
        <v>35</v>
      </c>
      <c r="E4" s="3"/>
      <c r="F4" s="3"/>
      <c r="G4" s="3"/>
      <c r="H4" s="22">
        <v>0.64583333333333337</v>
      </c>
      <c r="I4" s="22">
        <v>0.66666666666666663</v>
      </c>
      <c r="J4" s="22"/>
      <c r="K4" s="22"/>
      <c r="L4" s="27">
        <v>66</v>
      </c>
      <c r="M4" s="30">
        <v>1.6E-2</v>
      </c>
      <c r="N4" s="27">
        <v>65</v>
      </c>
      <c r="O4" s="30">
        <v>46.643000000000001</v>
      </c>
      <c r="P4" s="27"/>
      <c r="Q4" s="30"/>
      <c r="R4" s="27"/>
      <c r="S4" s="30"/>
      <c r="T4" s="25">
        <f t="shared" si="0"/>
        <v>-66.000266666666661</v>
      </c>
      <c r="U4" s="25">
        <f t="shared" si="1"/>
        <v>-65.777383333333333</v>
      </c>
      <c r="V4" s="25">
        <f t="shared" si="2"/>
        <v>0</v>
      </c>
      <c r="W4" s="1">
        <f t="shared" si="3"/>
        <v>0</v>
      </c>
      <c r="X4" s="2" t="s">
        <v>31</v>
      </c>
      <c r="Y4" s="2">
        <v>0</v>
      </c>
      <c r="Z4" s="2">
        <v>12</v>
      </c>
      <c r="AA4" s="2"/>
      <c r="AC4" s="4"/>
      <c r="AE4" s="2" t="s">
        <v>36</v>
      </c>
      <c r="AF4" s="2" t="s">
        <v>39</v>
      </c>
    </row>
    <row r="5" spans="1:32" ht="13.5" customHeight="1">
      <c r="A5" s="2" t="s">
        <v>863</v>
      </c>
      <c r="B5" s="2" t="s">
        <v>40</v>
      </c>
      <c r="C5" s="3">
        <v>44976</v>
      </c>
      <c r="D5" s="3" t="s">
        <v>35</v>
      </c>
      <c r="E5" s="3"/>
      <c r="F5" s="3"/>
      <c r="G5" s="3"/>
      <c r="H5" s="22">
        <v>0.67013888888888884</v>
      </c>
      <c r="I5" s="22">
        <v>0.67708333333333337</v>
      </c>
      <c r="J5" s="22"/>
      <c r="K5" s="22"/>
      <c r="L5" s="27">
        <v>66</v>
      </c>
      <c r="M5" s="30">
        <v>1.6E-2</v>
      </c>
      <c r="N5" s="27">
        <v>65</v>
      </c>
      <c r="O5" s="30">
        <v>46.643000000000001</v>
      </c>
      <c r="P5" s="27"/>
      <c r="Q5" s="30"/>
      <c r="R5" s="27"/>
      <c r="S5" s="30"/>
      <c r="T5" s="25">
        <f t="shared" si="0"/>
        <v>-66.000266666666661</v>
      </c>
      <c r="U5" s="25">
        <f t="shared" si="1"/>
        <v>-65.777383333333333</v>
      </c>
      <c r="V5" s="25">
        <f t="shared" si="2"/>
        <v>0</v>
      </c>
      <c r="W5" s="1">
        <f t="shared" si="3"/>
        <v>0</v>
      </c>
      <c r="X5" s="2" t="s">
        <v>31</v>
      </c>
      <c r="Y5" s="2">
        <v>0</v>
      </c>
      <c r="Z5" s="2">
        <v>12</v>
      </c>
      <c r="AA5" s="2"/>
      <c r="AC5" s="4"/>
      <c r="AE5" s="2" t="s">
        <v>36</v>
      </c>
      <c r="AF5" s="2" t="s">
        <v>41</v>
      </c>
    </row>
    <row r="6" spans="1:32" ht="13.5" customHeight="1">
      <c r="A6" s="2" t="s">
        <v>863</v>
      </c>
      <c r="B6" s="2" t="s">
        <v>42</v>
      </c>
      <c r="C6" s="3">
        <v>44976</v>
      </c>
      <c r="D6" s="3" t="s">
        <v>43</v>
      </c>
      <c r="E6" s="3"/>
      <c r="F6" s="3"/>
      <c r="G6" s="3"/>
      <c r="H6" s="22">
        <v>0.75</v>
      </c>
      <c r="I6" s="22">
        <v>0.77083333333333337</v>
      </c>
      <c r="J6" s="22"/>
      <c r="K6" s="22"/>
      <c r="L6" s="27">
        <v>66</v>
      </c>
      <c r="M6" s="30">
        <v>1.6E-2</v>
      </c>
      <c r="N6" s="27">
        <v>65</v>
      </c>
      <c r="O6" s="30">
        <v>46.643000000000001</v>
      </c>
      <c r="P6" s="27"/>
      <c r="Q6" s="30"/>
      <c r="R6" s="27"/>
      <c r="S6" s="30"/>
      <c r="T6" s="25">
        <f t="shared" si="0"/>
        <v>-66.000266666666661</v>
      </c>
      <c r="U6" s="25">
        <f t="shared" si="1"/>
        <v>-65.777383333333333</v>
      </c>
      <c r="V6" s="25">
        <f t="shared" si="2"/>
        <v>0</v>
      </c>
      <c r="W6" s="1">
        <f t="shared" si="3"/>
        <v>0</v>
      </c>
      <c r="X6" s="2" t="s">
        <v>31</v>
      </c>
      <c r="Y6" s="2">
        <v>0</v>
      </c>
      <c r="Z6" s="2">
        <v>0</v>
      </c>
      <c r="AA6" s="2"/>
      <c r="AB6" s="2"/>
      <c r="AC6" s="4"/>
      <c r="AE6" s="2" t="s">
        <v>44</v>
      </c>
    </row>
    <row r="7" spans="1:32" ht="13.5" customHeight="1">
      <c r="A7" s="2" t="s">
        <v>863</v>
      </c>
      <c r="B7" s="2" t="s">
        <v>45</v>
      </c>
      <c r="C7" s="3">
        <v>44976</v>
      </c>
      <c r="D7" s="3" t="s">
        <v>46</v>
      </c>
      <c r="E7" s="3" t="s">
        <v>47</v>
      </c>
      <c r="F7" s="3"/>
      <c r="G7" s="3"/>
      <c r="H7" s="22">
        <v>0.4375</v>
      </c>
      <c r="I7" s="22">
        <v>0.45833333333333331</v>
      </c>
      <c r="J7" s="22"/>
      <c r="K7" s="22"/>
      <c r="L7" s="27">
        <v>66</v>
      </c>
      <c r="M7" s="30">
        <v>0.159</v>
      </c>
      <c r="N7" s="27">
        <v>65</v>
      </c>
      <c r="O7" s="30">
        <v>46.436999999999998</v>
      </c>
      <c r="P7" s="27">
        <v>66</v>
      </c>
      <c r="Q7" s="30">
        <v>0.23</v>
      </c>
      <c r="R7" s="27">
        <v>65</v>
      </c>
      <c r="S7" s="30">
        <v>46.613</v>
      </c>
      <c r="T7" s="25">
        <f t="shared" si="0"/>
        <v>-66.002650000000003</v>
      </c>
      <c r="U7" s="25">
        <f t="shared" si="1"/>
        <v>-65.773949999999999</v>
      </c>
      <c r="V7" s="25">
        <f t="shared" si="2"/>
        <v>-66.003833333333333</v>
      </c>
      <c r="W7" s="1">
        <f t="shared" si="3"/>
        <v>-65.77688333333333</v>
      </c>
      <c r="X7" s="2" t="s">
        <v>31</v>
      </c>
      <c r="Y7" s="2">
        <v>18</v>
      </c>
      <c r="Z7" s="2">
        <v>22</v>
      </c>
      <c r="AA7" s="2"/>
      <c r="AB7" s="2"/>
      <c r="AC7" s="4"/>
    </row>
    <row r="8" spans="1:32" ht="13.5" customHeight="1">
      <c r="A8" s="2" t="s">
        <v>863</v>
      </c>
      <c r="B8" s="2" t="s">
        <v>48</v>
      </c>
      <c r="C8" s="3">
        <v>44976</v>
      </c>
      <c r="D8" s="3" t="s">
        <v>46</v>
      </c>
      <c r="E8" s="3" t="s">
        <v>47</v>
      </c>
      <c r="F8" s="3"/>
      <c r="G8" s="3"/>
      <c r="H8" s="22">
        <v>0.6875</v>
      </c>
      <c r="I8" s="22">
        <v>0.70833333333333337</v>
      </c>
      <c r="J8" s="22"/>
      <c r="K8" s="22"/>
      <c r="L8" s="27">
        <v>66</v>
      </c>
      <c r="M8" s="30">
        <v>0.14000000000000001</v>
      </c>
      <c r="N8" s="27">
        <v>65</v>
      </c>
      <c r="O8" s="30">
        <v>46.52</v>
      </c>
      <c r="P8" s="27">
        <v>66</v>
      </c>
      <c r="Q8" s="30">
        <v>0.18</v>
      </c>
      <c r="R8" s="27">
        <v>65</v>
      </c>
      <c r="S8" s="30">
        <v>46.65</v>
      </c>
      <c r="T8" s="25">
        <f t="shared" si="0"/>
        <v>-66.00233333333334</v>
      </c>
      <c r="U8" s="25">
        <f t="shared" si="1"/>
        <v>-65.775333333333336</v>
      </c>
      <c r="V8" s="25">
        <f t="shared" si="2"/>
        <v>-66.003</v>
      </c>
      <c r="W8" s="1">
        <f t="shared" si="3"/>
        <v>-65.777500000000003</v>
      </c>
      <c r="X8" s="2" t="s">
        <v>31</v>
      </c>
      <c r="Y8" s="2">
        <v>18</v>
      </c>
      <c r="Z8" s="2">
        <v>22</v>
      </c>
      <c r="AA8" s="2"/>
      <c r="AB8" s="2"/>
      <c r="AC8" s="4"/>
    </row>
    <row r="9" spans="1:32" ht="13.5" customHeight="1">
      <c r="A9" s="2" t="s">
        <v>863</v>
      </c>
      <c r="B9" s="2" t="s">
        <v>49</v>
      </c>
      <c r="C9" s="3">
        <v>44976</v>
      </c>
      <c r="D9" s="3" t="s">
        <v>50</v>
      </c>
      <c r="E9" s="3" t="s">
        <v>43</v>
      </c>
      <c r="F9" s="3"/>
      <c r="G9" s="3"/>
      <c r="H9" s="22">
        <v>0.48958333333333331</v>
      </c>
      <c r="I9" s="22"/>
      <c r="J9" s="22"/>
      <c r="K9" s="22"/>
      <c r="L9" s="27"/>
      <c r="M9" s="30"/>
      <c r="N9" s="27"/>
      <c r="O9" s="30"/>
      <c r="P9" s="27"/>
      <c r="Q9" s="30"/>
      <c r="R9" s="27"/>
      <c r="S9" s="30"/>
      <c r="T9" s="25">
        <v>-65.988429999999994</v>
      </c>
      <c r="U9" s="25">
        <v>-65.787609000000003</v>
      </c>
      <c r="V9" s="25">
        <f t="shared" si="2"/>
        <v>0</v>
      </c>
      <c r="W9" s="1">
        <f t="shared" si="3"/>
        <v>0</v>
      </c>
      <c r="X9" s="2" t="s">
        <v>31</v>
      </c>
      <c r="Y9" s="2">
        <v>18</v>
      </c>
      <c r="Z9" s="2"/>
      <c r="AA9" s="2"/>
      <c r="AB9" s="2"/>
      <c r="AC9" s="4"/>
      <c r="AF9" s="2" t="s">
        <v>51</v>
      </c>
    </row>
    <row r="10" spans="1:32" ht="13.5" customHeight="1">
      <c r="A10" s="2" t="s">
        <v>863</v>
      </c>
      <c r="B10" s="2" t="s">
        <v>52</v>
      </c>
      <c r="C10" s="3">
        <v>44977</v>
      </c>
      <c r="D10" s="3"/>
      <c r="E10" s="3"/>
      <c r="F10" s="3"/>
      <c r="G10" s="3"/>
      <c r="H10" s="22">
        <v>0.39583333333333331</v>
      </c>
      <c r="I10" s="22">
        <v>0.45833333333333331</v>
      </c>
      <c r="J10" s="22"/>
      <c r="K10" s="22"/>
      <c r="L10" s="27">
        <v>66</v>
      </c>
      <c r="M10" s="30">
        <v>1.6E-2</v>
      </c>
      <c r="N10" s="27">
        <v>65</v>
      </c>
      <c r="O10" s="30">
        <v>46.643000000000001</v>
      </c>
      <c r="P10" s="27"/>
      <c r="Q10" s="30"/>
      <c r="R10" s="27"/>
      <c r="S10" s="30"/>
      <c r="T10" s="25">
        <f t="shared" si="0"/>
        <v>-66.000266666666661</v>
      </c>
      <c r="U10" s="25">
        <f t="shared" si="1"/>
        <v>-65.777383333333333</v>
      </c>
      <c r="V10" s="25">
        <f t="shared" si="2"/>
        <v>0</v>
      </c>
      <c r="W10" s="1">
        <f t="shared" si="3"/>
        <v>0</v>
      </c>
      <c r="X10" s="2" t="s">
        <v>31</v>
      </c>
      <c r="Y10" s="2">
        <v>0</v>
      </c>
      <c r="Z10" s="2"/>
      <c r="AA10" s="2"/>
      <c r="AB10" s="2"/>
      <c r="AC10" s="4"/>
      <c r="AE10" s="2" t="s">
        <v>53</v>
      </c>
      <c r="AF10" s="2" t="s">
        <v>54</v>
      </c>
    </row>
    <row r="11" spans="1:32" ht="13.5" customHeight="1">
      <c r="A11" s="2" t="s">
        <v>863</v>
      </c>
      <c r="B11" s="2" t="s">
        <v>55</v>
      </c>
      <c r="C11" s="3">
        <v>44977</v>
      </c>
      <c r="D11" s="3" t="s">
        <v>46</v>
      </c>
      <c r="E11" s="3"/>
      <c r="F11" s="3"/>
      <c r="G11" s="3"/>
      <c r="H11" s="22">
        <v>0.4236111111111111</v>
      </c>
      <c r="I11" s="22"/>
      <c r="J11" s="22"/>
      <c r="K11" s="22"/>
      <c r="L11" s="27">
        <v>66</v>
      </c>
      <c r="M11" s="30">
        <v>8.3000000000000004E-2</v>
      </c>
      <c r="N11" s="27">
        <v>65</v>
      </c>
      <c r="O11" s="30">
        <v>47.249000000000002</v>
      </c>
      <c r="P11" s="27"/>
      <c r="Q11" s="30"/>
      <c r="R11" s="27"/>
      <c r="S11" s="30"/>
      <c r="T11" s="25">
        <f t="shared" si="0"/>
        <v>-66.001383333333337</v>
      </c>
      <c r="U11" s="25">
        <f t="shared" si="1"/>
        <v>-65.787483333333327</v>
      </c>
      <c r="V11" s="25">
        <f t="shared" si="2"/>
        <v>0</v>
      </c>
      <c r="W11" s="1">
        <f t="shared" si="3"/>
        <v>0</v>
      </c>
      <c r="X11" s="2" t="s">
        <v>31</v>
      </c>
      <c r="Y11" s="2">
        <v>21</v>
      </c>
      <c r="Z11" s="2"/>
      <c r="AA11" s="2"/>
      <c r="AB11" s="2"/>
      <c r="AC11" s="4"/>
      <c r="AF11" s="2" t="s">
        <v>51</v>
      </c>
    </row>
    <row r="12" spans="1:32" ht="13.5" customHeight="1">
      <c r="A12" s="2" t="s">
        <v>863</v>
      </c>
      <c r="B12" s="2" t="s">
        <v>56</v>
      </c>
      <c r="C12" s="3">
        <v>44977</v>
      </c>
      <c r="D12" s="3" t="s">
        <v>46</v>
      </c>
      <c r="E12" s="3"/>
      <c r="F12" s="3"/>
      <c r="G12" s="3"/>
      <c r="H12" s="22">
        <v>0.72916666666666663</v>
      </c>
      <c r="I12" s="22">
        <v>0.73958333333333337</v>
      </c>
      <c r="J12" s="22"/>
      <c r="K12" s="22"/>
      <c r="L12" s="27">
        <v>66</v>
      </c>
      <c r="M12" s="30">
        <v>4.5999999999999999E-2</v>
      </c>
      <c r="N12" s="27">
        <v>65</v>
      </c>
      <c r="O12" s="30">
        <v>47.22</v>
      </c>
      <c r="P12" s="27">
        <v>65</v>
      </c>
      <c r="Q12" s="30">
        <v>59.947000000000003</v>
      </c>
      <c r="R12" s="27">
        <v>65</v>
      </c>
      <c r="S12" s="30">
        <v>47.170999999999999</v>
      </c>
      <c r="T12" s="25">
        <f t="shared" si="0"/>
        <v>-66.000766666666664</v>
      </c>
      <c r="U12" s="25">
        <f t="shared" si="1"/>
        <v>-65.787000000000006</v>
      </c>
      <c r="V12" s="25">
        <f t="shared" si="2"/>
        <v>-65.999116666666666</v>
      </c>
      <c r="W12" s="1">
        <f t="shared" si="3"/>
        <v>-65.786183333333327</v>
      </c>
      <c r="X12" s="2" t="s">
        <v>31</v>
      </c>
      <c r="Y12" s="2">
        <v>18</v>
      </c>
      <c r="Z12" s="2"/>
      <c r="AA12" s="2"/>
      <c r="AB12" s="2"/>
      <c r="AC12" s="4"/>
    </row>
    <row r="13" spans="1:32" ht="13.5" customHeight="1">
      <c r="A13" s="2" t="s">
        <v>863</v>
      </c>
      <c r="B13" s="2" t="s">
        <v>57</v>
      </c>
      <c r="C13" s="3">
        <v>44977</v>
      </c>
      <c r="D13" s="3" t="s">
        <v>58</v>
      </c>
      <c r="E13" s="3" t="s">
        <v>47</v>
      </c>
      <c r="F13" s="3"/>
      <c r="G13" s="3"/>
      <c r="H13" s="22">
        <v>0.39583333333333331</v>
      </c>
      <c r="I13" s="22">
        <v>0.40277777777777773</v>
      </c>
      <c r="J13" s="22"/>
      <c r="K13" s="22"/>
      <c r="L13" s="27">
        <v>66</v>
      </c>
      <c r="M13" s="30">
        <v>59.948</v>
      </c>
      <c r="N13" s="27">
        <v>65</v>
      </c>
      <c r="O13" s="30">
        <v>47.390999999999998</v>
      </c>
      <c r="P13" s="27"/>
      <c r="Q13" s="30"/>
      <c r="R13" s="27"/>
      <c r="S13" s="30"/>
      <c r="T13" s="25">
        <f t="shared" si="0"/>
        <v>-66.999133333333333</v>
      </c>
      <c r="U13" s="25">
        <f t="shared" si="1"/>
        <v>-65.789850000000001</v>
      </c>
      <c r="V13" s="25">
        <f t="shared" si="2"/>
        <v>0</v>
      </c>
      <c r="W13" s="1">
        <f t="shared" si="3"/>
        <v>0</v>
      </c>
      <c r="X13" s="2" t="s">
        <v>31</v>
      </c>
      <c r="Y13" s="2"/>
      <c r="Z13" s="2"/>
      <c r="AA13" s="2"/>
      <c r="AB13" s="2"/>
      <c r="AC13" s="4"/>
      <c r="AE13" s="2" t="s">
        <v>59</v>
      </c>
      <c r="AF13" s="2" t="s">
        <v>60</v>
      </c>
    </row>
    <row r="14" spans="1:32" ht="13.5" customHeight="1">
      <c r="A14" s="2" t="s">
        <v>863</v>
      </c>
      <c r="B14" s="2" t="s">
        <v>61</v>
      </c>
      <c r="C14" s="3">
        <v>44977</v>
      </c>
      <c r="D14" s="3" t="s">
        <v>35</v>
      </c>
      <c r="E14" s="3" t="s">
        <v>62</v>
      </c>
      <c r="F14" s="3"/>
      <c r="G14" s="3"/>
      <c r="H14" s="22">
        <v>0.51458333333333328</v>
      </c>
      <c r="I14" s="22">
        <v>0.52708333333333335</v>
      </c>
      <c r="J14" s="22"/>
      <c r="K14" s="22"/>
      <c r="L14" s="27">
        <v>66</v>
      </c>
      <c r="M14" s="30">
        <v>1.6E-2</v>
      </c>
      <c r="N14" s="27">
        <v>65</v>
      </c>
      <c r="O14" s="30">
        <v>46.643000000000001</v>
      </c>
      <c r="P14" s="27"/>
      <c r="Q14" s="30"/>
      <c r="R14" s="27"/>
      <c r="S14" s="30"/>
      <c r="T14" s="25">
        <f t="shared" si="0"/>
        <v>-66.000266666666661</v>
      </c>
      <c r="U14" s="25">
        <f t="shared" si="1"/>
        <v>-65.777383333333333</v>
      </c>
      <c r="V14" s="25">
        <f t="shared" si="2"/>
        <v>0</v>
      </c>
      <c r="W14" s="1">
        <f t="shared" si="3"/>
        <v>0</v>
      </c>
      <c r="X14" s="2" t="s">
        <v>31</v>
      </c>
      <c r="Y14" s="2">
        <v>13</v>
      </c>
      <c r="Z14" s="2"/>
      <c r="AA14" s="2"/>
      <c r="AB14" s="2"/>
      <c r="AC14" s="4"/>
      <c r="AE14" s="2" t="s">
        <v>59</v>
      </c>
      <c r="AF14" s="2" t="s">
        <v>63</v>
      </c>
    </row>
    <row r="15" spans="1:32" ht="13.5" customHeight="1">
      <c r="A15" s="2" t="s">
        <v>863</v>
      </c>
      <c r="B15" s="2" t="s">
        <v>64</v>
      </c>
      <c r="C15" s="3">
        <v>44977</v>
      </c>
      <c r="D15" s="3" t="s">
        <v>58</v>
      </c>
      <c r="E15" s="3" t="s">
        <v>62</v>
      </c>
      <c r="F15" s="3"/>
      <c r="G15" s="3"/>
      <c r="H15" s="22">
        <v>0.6069444444444444</v>
      </c>
      <c r="I15" s="22">
        <v>0.61805555555555558</v>
      </c>
      <c r="J15" s="22"/>
      <c r="K15" s="22"/>
      <c r="L15" s="27">
        <v>66</v>
      </c>
      <c r="M15" s="30">
        <v>1.6E-2</v>
      </c>
      <c r="N15" s="27">
        <v>65</v>
      </c>
      <c r="O15" s="30">
        <v>46.643000000000001</v>
      </c>
      <c r="P15" s="27"/>
      <c r="Q15" s="30"/>
      <c r="R15" s="27"/>
      <c r="S15" s="30"/>
      <c r="T15" s="25">
        <f t="shared" si="0"/>
        <v>-66.000266666666661</v>
      </c>
      <c r="U15" s="25">
        <f t="shared" si="1"/>
        <v>-65.777383333333333</v>
      </c>
      <c r="V15" s="25">
        <f t="shared" si="2"/>
        <v>0</v>
      </c>
      <c r="W15" s="1">
        <f t="shared" si="3"/>
        <v>0</v>
      </c>
      <c r="X15" s="2" t="s">
        <v>31</v>
      </c>
      <c r="Y15" s="2">
        <v>12</v>
      </c>
      <c r="Z15" s="2"/>
      <c r="AA15" s="2"/>
      <c r="AB15" s="2"/>
      <c r="AC15" s="4"/>
      <c r="AE15" s="2" t="s">
        <v>59</v>
      </c>
      <c r="AF15" s="2" t="s">
        <v>65</v>
      </c>
    </row>
    <row r="16" spans="1:32" ht="13.5" customHeight="1">
      <c r="A16" s="2" t="s">
        <v>863</v>
      </c>
      <c r="B16" s="2" t="s">
        <v>66</v>
      </c>
      <c r="C16" s="3">
        <v>44977</v>
      </c>
      <c r="D16" s="3" t="s">
        <v>50</v>
      </c>
      <c r="E16" s="3" t="s">
        <v>43</v>
      </c>
      <c r="F16" s="3"/>
      <c r="G16" s="3"/>
      <c r="H16" s="22">
        <v>0.35069444444444442</v>
      </c>
      <c r="I16" s="22">
        <v>0.375</v>
      </c>
      <c r="J16" s="22"/>
      <c r="K16" s="22"/>
      <c r="L16" s="27">
        <v>66</v>
      </c>
      <c r="M16" s="30">
        <v>1.6E-2</v>
      </c>
      <c r="N16" s="27">
        <v>65</v>
      </c>
      <c r="O16" s="30">
        <v>46.643000000000001</v>
      </c>
      <c r="P16" s="27"/>
      <c r="Q16" s="30"/>
      <c r="R16" s="27"/>
      <c r="S16" s="30"/>
      <c r="T16" s="25">
        <f t="shared" si="0"/>
        <v>-66.000266666666661</v>
      </c>
      <c r="U16" s="25">
        <f t="shared" si="1"/>
        <v>-65.777383333333333</v>
      </c>
      <c r="V16" s="25">
        <f t="shared" si="2"/>
        <v>0</v>
      </c>
      <c r="W16" s="1">
        <f t="shared" si="3"/>
        <v>0</v>
      </c>
      <c r="X16" s="2" t="s">
        <v>31</v>
      </c>
      <c r="Y16" s="2">
        <v>0</v>
      </c>
      <c r="Z16" s="2"/>
      <c r="AA16" s="2"/>
      <c r="AB16" s="2"/>
      <c r="AC16" s="4"/>
      <c r="AE16" s="2" t="s">
        <v>44</v>
      </c>
      <c r="AF16" s="2" t="s">
        <v>67</v>
      </c>
    </row>
    <row r="17" spans="1:32" ht="13.5" customHeight="1">
      <c r="A17" s="2" t="s">
        <v>863</v>
      </c>
      <c r="B17" s="2" t="s">
        <v>68</v>
      </c>
      <c r="C17" s="3">
        <v>44977</v>
      </c>
      <c r="D17" s="3" t="s">
        <v>50</v>
      </c>
      <c r="E17" s="3" t="s">
        <v>43</v>
      </c>
      <c r="F17" s="3"/>
      <c r="G17" s="3"/>
      <c r="H17" s="22">
        <v>0.43055555555555558</v>
      </c>
      <c r="I17" s="22">
        <v>0.4375</v>
      </c>
      <c r="J17" s="22"/>
      <c r="K17" s="22"/>
      <c r="L17" s="27">
        <v>66</v>
      </c>
      <c r="M17" s="30">
        <v>1.6E-2</v>
      </c>
      <c r="N17" s="27">
        <v>65</v>
      </c>
      <c r="O17" s="30">
        <v>46.643000000000001</v>
      </c>
      <c r="P17" s="27"/>
      <c r="Q17" s="30"/>
      <c r="R17" s="27"/>
      <c r="S17" s="30"/>
      <c r="T17" s="25">
        <f t="shared" si="0"/>
        <v>-66.000266666666661</v>
      </c>
      <c r="U17" s="25">
        <f t="shared" si="1"/>
        <v>-65.777383333333333</v>
      </c>
      <c r="V17" s="25">
        <f t="shared" si="2"/>
        <v>0</v>
      </c>
      <c r="W17" s="1">
        <f t="shared" si="3"/>
        <v>0</v>
      </c>
      <c r="X17" s="2" t="s">
        <v>31</v>
      </c>
      <c r="Y17" s="2">
        <v>0</v>
      </c>
      <c r="Z17" s="2"/>
      <c r="AA17" s="2"/>
      <c r="AB17" s="2"/>
      <c r="AC17" s="4"/>
      <c r="AE17" s="2" t="s">
        <v>44</v>
      </c>
      <c r="AF17" s="2" t="s">
        <v>67</v>
      </c>
    </row>
    <row r="18" spans="1:32" ht="13.5" customHeight="1">
      <c r="A18" s="2" t="s">
        <v>863</v>
      </c>
      <c r="B18" s="2" t="s">
        <v>69</v>
      </c>
      <c r="C18" s="3">
        <v>44977</v>
      </c>
      <c r="D18" s="3" t="s">
        <v>50</v>
      </c>
      <c r="E18" s="3" t="s">
        <v>43</v>
      </c>
      <c r="F18" s="3"/>
      <c r="G18" s="3"/>
      <c r="H18" s="22">
        <v>0.47152777777777777</v>
      </c>
      <c r="I18" s="22">
        <v>0.5</v>
      </c>
      <c r="J18" s="22"/>
      <c r="K18" s="22"/>
      <c r="L18" s="27">
        <v>66</v>
      </c>
      <c r="M18" s="30">
        <v>1.6E-2</v>
      </c>
      <c r="N18" s="27">
        <v>65</v>
      </c>
      <c r="O18" s="30">
        <v>46.643000000000001</v>
      </c>
      <c r="P18" s="27"/>
      <c r="Q18" s="30"/>
      <c r="R18" s="27"/>
      <c r="S18" s="30"/>
      <c r="T18" s="25">
        <f t="shared" si="0"/>
        <v>-66.000266666666661</v>
      </c>
      <c r="U18" s="25">
        <f t="shared" si="1"/>
        <v>-65.777383333333333</v>
      </c>
      <c r="V18" s="25">
        <f t="shared" si="2"/>
        <v>0</v>
      </c>
      <c r="W18" s="1">
        <f t="shared" si="3"/>
        <v>0</v>
      </c>
      <c r="X18" s="2" t="s">
        <v>31</v>
      </c>
      <c r="Y18" s="2">
        <v>0</v>
      </c>
      <c r="Z18" s="2"/>
      <c r="AA18" s="2"/>
      <c r="AB18" s="2"/>
      <c r="AC18" s="4"/>
      <c r="AE18" s="2" t="s">
        <v>44</v>
      </c>
    </row>
    <row r="19" spans="1:32" ht="13.5" customHeight="1">
      <c r="A19" s="2" t="s">
        <v>863</v>
      </c>
      <c r="B19" s="2" t="s">
        <v>70</v>
      </c>
      <c r="C19" s="3">
        <v>44977</v>
      </c>
      <c r="D19" s="3" t="s">
        <v>35</v>
      </c>
      <c r="E19" s="3" t="s">
        <v>46</v>
      </c>
      <c r="F19" s="3"/>
      <c r="G19" s="3"/>
      <c r="H19" s="22">
        <v>0.64652777777777781</v>
      </c>
      <c r="I19" s="22">
        <v>0.70208333333333339</v>
      </c>
      <c r="J19" s="22"/>
      <c r="K19" s="22"/>
      <c r="L19" s="27">
        <v>66</v>
      </c>
      <c r="M19" s="30">
        <v>1.6E-2</v>
      </c>
      <c r="N19" s="27">
        <v>65</v>
      </c>
      <c r="O19" s="30">
        <v>46.643000000000001</v>
      </c>
      <c r="P19" s="27"/>
      <c r="Q19" s="30"/>
      <c r="R19" s="27"/>
      <c r="S19" s="30"/>
      <c r="T19" s="25">
        <f t="shared" si="0"/>
        <v>-66.000266666666661</v>
      </c>
      <c r="U19" s="25">
        <f t="shared" si="1"/>
        <v>-65.777383333333333</v>
      </c>
      <c r="V19" s="25">
        <f t="shared" si="2"/>
        <v>0</v>
      </c>
      <c r="W19" s="1">
        <f t="shared" si="3"/>
        <v>0</v>
      </c>
      <c r="X19" s="2" t="s">
        <v>31</v>
      </c>
      <c r="Y19" s="2">
        <v>0</v>
      </c>
      <c r="Z19" s="2">
        <v>12</v>
      </c>
      <c r="AA19" s="2"/>
      <c r="AB19" s="2"/>
      <c r="AC19" s="4"/>
      <c r="AE19" s="2" t="s">
        <v>36</v>
      </c>
      <c r="AF19" s="2" t="s">
        <v>71</v>
      </c>
    </row>
    <row r="20" spans="1:32" ht="13.5" customHeight="1">
      <c r="A20" s="2" t="s">
        <v>863</v>
      </c>
      <c r="B20" s="2" t="s">
        <v>72</v>
      </c>
      <c r="C20" s="3">
        <v>44977</v>
      </c>
      <c r="D20" s="3" t="s">
        <v>30</v>
      </c>
      <c r="E20" s="3"/>
      <c r="F20" s="3"/>
      <c r="G20" s="3"/>
      <c r="H20" s="22">
        <v>0.68055555555555547</v>
      </c>
      <c r="I20" s="22">
        <v>0.69444444444444453</v>
      </c>
      <c r="J20" s="22"/>
      <c r="K20" s="22"/>
      <c r="L20" s="27">
        <v>66</v>
      </c>
      <c r="M20" s="30">
        <v>1.6E-2</v>
      </c>
      <c r="N20" s="27">
        <v>65</v>
      </c>
      <c r="O20" s="30">
        <v>46.643000000000001</v>
      </c>
      <c r="P20" s="27"/>
      <c r="Q20" s="30"/>
      <c r="R20" s="27"/>
      <c r="S20" s="30"/>
      <c r="T20" s="25">
        <f t="shared" si="0"/>
        <v>-66.000266666666661</v>
      </c>
      <c r="U20" s="25">
        <f t="shared" si="1"/>
        <v>-65.777383333333333</v>
      </c>
      <c r="V20" s="25">
        <f t="shared" si="2"/>
        <v>0</v>
      </c>
      <c r="W20" s="1">
        <f t="shared" si="3"/>
        <v>0</v>
      </c>
      <c r="X20" s="2" t="s">
        <v>31</v>
      </c>
      <c r="Y20" s="2"/>
      <c r="Z20" s="2"/>
      <c r="AA20" s="2">
        <v>75</v>
      </c>
      <c r="AB20" s="2"/>
      <c r="AC20" s="4" t="s">
        <v>1113</v>
      </c>
      <c r="AE20" s="2" t="s">
        <v>32</v>
      </c>
      <c r="AF20" s="2" t="s">
        <v>73</v>
      </c>
    </row>
    <row r="21" spans="1:32" ht="13.5" customHeight="1">
      <c r="A21" s="2" t="s">
        <v>863</v>
      </c>
      <c r="B21" s="2" t="s">
        <v>74</v>
      </c>
      <c r="C21" s="3">
        <v>44977</v>
      </c>
      <c r="D21" s="3" t="s">
        <v>30</v>
      </c>
      <c r="E21" s="3"/>
      <c r="F21" s="3"/>
      <c r="G21" s="3"/>
      <c r="H21" s="22">
        <v>0.70833333333333337</v>
      </c>
      <c r="I21" s="22">
        <v>0.73263888888888884</v>
      </c>
      <c r="J21" s="22"/>
      <c r="K21" s="22"/>
      <c r="L21" s="27">
        <v>66</v>
      </c>
      <c r="M21" s="30">
        <v>1.6E-2</v>
      </c>
      <c r="N21" s="27">
        <v>65</v>
      </c>
      <c r="O21" s="30">
        <v>46.643000000000001</v>
      </c>
      <c r="P21" s="27"/>
      <c r="Q21" s="30"/>
      <c r="R21" s="27"/>
      <c r="S21" s="30"/>
      <c r="T21" s="25">
        <f t="shared" si="0"/>
        <v>-66.000266666666661</v>
      </c>
      <c r="U21" s="25">
        <f t="shared" si="1"/>
        <v>-65.777383333333333</v>
      </c>
      <c r="V21" s="25">
        <f t="shared" si="2"/>
        <v>0</v>
      </c>
      <c r="W21" s="1">
        <f t="shared" si="3"/>
        <v>0</v>
      </c>
      <c r="X21" s="2" t="s">
        <v>31</v>
      </c>
      <c r="Y21" s="2"/>
      <c r="Z21" s="2"/>
      <c r="AA21" s="2">
        <v>75</v>
      </c>
      <c r="AB21" s="2"/>
      <c r="AC21" s="4" t="s">
        <v>1113</v>
      </c>
      <c r="AE21" s="2" t="s">
        <v>32</v>
      </c>
      <c r="AF21" s="2" t="s">
        <v>73</v>
      </c>
    </row>
    <row r="22" spans="1:32" ht="13.5" customHeight="1">
      <c r="A22" s="2" t="s">
        <v>863</v>
      </c>
      <c r="B22" s="2" t="s">
        <v>75</v>
      </c>
      <c r="C22" s="3">
        <v>44977</v>
      </c>
      <c r="D22" s="3" t="s">
        <v>47</v>
      </c>
      <c r="E22" s="3"/>
      <c r="F22" s="3"/>
      <c r="G22" s="3"/>
      <c r="H22" s="33"/>
      <c r="I22" s="33"/>
      <c r="J22" s="22"/>
      <c r="K22" s="22"/>
      <c r="L22" s="34"/>
      <c r="M22" s="35"/>
      <c r="N22" s="34"/>
      <c r="O22" s="35"/>
      <c r="P22" s="27"/>
      <c r="Q22" s="30"/>
      <c r="R22" s="27"/>
      <c r="S22" s="30"/>
      <c r="T22" s="25">
        <f t="shared" si="0"/>
        <v>0</v>
      </c>
      <c r="U22" s="25">
        <f t="shared" si="1"/>
        <v>0</v>
      </c>
      <c r="V22" s="25">
        <f t="shared" si="2"/>
        <v>0</v>
      </c>
      <c r="W22" s="1">
        <f t="shared" si="3"/>
        <v>0</v>
      </c>
      <c r="X22" s="2" t="s">
        <v>31</v>
      </c>
      <c r="Y22" s="2">
        <v>0</v>
      </c>
      <c r="Z22" s="2">
        <v>0</v>
      </c>
      <c r="AA22" s="2"/>
      <c r="AB22" s="2"/>
      <c r="AC22" s="4"/>
      <c r="AF22" s="2" t="s">
        <v>76</v>
      </c>
    </row>
    <row r="23" spans="1:32" ht="13.5" customHeight="1">
      <c r="A23" s="2" t="s">
        <v>863</v>
      </c>
      <c r="B23" s="2" t="s">
        <v>77</v>
      </c>
      <c r="C23" s="3">
        <v>44977</v>
      </c>
      <c r="D23" s="3" t="s">
        <v>50</v>
      </c>
      <c r="E23" s="3" t="s">
        <v>43</v>
      </c>
      <c r="F23" s="3"/>
      <c r="G23" s="3"/>
      <c r="H23" s="22">
        <v>0.48819444444444443</v>
      </c>
      <c r="I23" s="22">
        <v>0.51041666666666663</v>
      </c>
      <c r="J23" s="22"/>
      <c r="K23" s="22"/>
      <c r="L23" s="27">
        <v>66</v>
      </c>
      <c r="M23" s="30">
        <v>1.6E-2</v>
      </c>
      <c r="N23" s="27">
        <v>65</v>
      </c>
      <c r="O23" s="30">
        <v>46.643000000000001</v>
      </c>
      <c r="P23" s="27"/>
      <c r="Q23" s="30"/>
      <c r="R23" s="27"/>
      <c r="S23" s="30"/>
      <c r="T23" s="25">
        <f t="shared" si="0"/>
        <v>-66.000266666666661</v>
      </c>
      <c r="U23" s="25">
        <f t="shared" si="1"/>
        <v>-65.777383333333333</v>
      </c>
      <c r="V23" s="25">
        <f t="shared" si="2"/>
        <v>0</v>
      </c>
      <c r="W23" s="1">
        <f t="shared" si="3"/>
        <v>0</v>
      </c>
      <c r="X23" s="2" t="s">
        <v>31</v>
      </c>
      <c r="Y23" s="2"/>
      <c r="Z23" s="2">
        <v>12</v>
      </c>
      <c r="AA23" s="2"/>
      <c r="AB23" s="2"/>
      <c r="AC23" s="4"/>
      <c r="AE23" s="2" t="s">
        <v>78</v>
      </c>
    </row>
    <row r="24" spans="1:32" ht="13.5" customHeight="1">
      <c r="A24" s="2" t="s">
        <v>863</v>
      </c>
      <c r="B24" s="2" t="s">
        <v>79</v>
      </c>
      <c r="C24" s="3">
        <v>44977</v>
      </c>
      <c r="D24" s="3" t="s">
        <v>50</v>
      </c>
      <c r="E24" s="3" t="s">
        <v>43</v>
      </c>
      <c r="F24" s="3"/>
      <c r="G24" s="3"/>
      <c r="H24" s="22">
        <v>0.52083333333333337</v>
      </c>
      <c r="I24" s="22">
        <v>0.53125</v>
      </c>
      <c r="J24" s="22"/>
      <c r="K24" s="22"/>
      <c r="L24" s="27">
        <v>66</v>
      </c>
      <c r="M24" s="30">
        <v>1.6E-2</v>
      </c>
      <c r="N24" s="27">
        <v>65</v>
      </c>
      <c r="O24" s="30">
        <v>46.643000000000001</v>
      </c>
      <c r="P24" s="27"/>
      <c r="Q24" s="30"/>
      <c r="R24" s="27"/>
      <c r="S24" s="30"/>
      <c r="T24" s="25">
        <f t="shared" si="0"/>
        <v>-66.000266666666661</v>
      </c>
      <c r="U24" s="25">
        <f t="shared" si="1"/>
        <v>-65.777383333333333</v>
      </c>
      <c r="V24" s="25">
        <f t="shared" si="2"/>
        <v>0</v>
      </c>
      <c r="W24" s="1">
        <f t="shared" si="3"/>
        <v>0</v>
      </c>
      <c r="X24" s="2" t="s">
        <v>31</v>
      </c>
      <c r="Y24" s="2"/>
      <c r="Z24" s="2">
        <v>6</v>
      </c>
      <c r="AA24" s="2"/>
      <c r="AB24" s="2"/>
      <c r="AC24" s="4"/>
      <c r="AE24" s="2" t="s">
        <v>78</v>
      </c>
    </row>
    <row r="25" spans="1:32" ht="13.5" customHeight="1">
      <c r="A25" s="2" t="s">
        <v>863</v>
      </c>
      <c r="B25" s="2" t="s">
        <v>80</v>
      </c>
      <c r="C25" s="3">
        <v>44977</v>
      </c>
      <c r="D25" s="3" t="s">
        <v>50</v>
      </c>
      <c r="E25" s="3" t="s">
        <v>43</v>
      </c>
      <c r="F25" s="3"/>
      <c r="G25" s="3"/>
      <c r="H25" s="22">
        <v>0.53125</v>
      </c>
      <c r="I25" s="22">
        <v>0.54166666666666663</v>
      </c>
      <c r="J25" s="22"/>
      <c r="K25" s="22"/>
      <c r="L25" s="27">
        <v>66</v>
      </c>
      <c r="M25" s="30">
        <v>1.6E-2</v>
      </c>
      <c r="N25" s="27">
        <v>65</v>
      </c>
      <c r="O25" s="30">
        <v>46.643000000000001</v>
      </c>
      <c r="P25" s="27"/>
      <c r="Q25" s="30"/>
      <c r="R25" s="27"/>
      <c r="S25" s="30"/>
      <c r="T25" s="25">
        <f t="shared" si="0"/>
        <v>-66.000266666666661</v>
      </c>
      <c r="U25" s="25">
        <f t="shared" si="1"/>
        <v>-65.777383333333333</v>
      </c>
      <c r="V25" s="25">
        <f t="shared" si="2"/>
        <v>0</v>
      </c>
      <c r="W25" s="1">
        <f t="shared" si="3"/>
        <v>0</v>
      </c>
      <c r="X25" s="2" t="s">
        <v>31</v>
      </c>
      <c r="Y25" s="2"/>
      <c r="Z25" s="2">
        <v>0</v>
      </c>
      <c r="AA25" s="2"/>
      <c r="AB25" s="2"/>
      <c r="AC25" s="4"/>
      <c r="AE25" s="2" t="s">
        <v>78</v>
      </c>
    </row>
    <row r="26" spans="1:32" ht="13.5" customHeight="1">
      <c r="A26" s="2" t="s">
        <v>863</v>
      </c>
      <c r="B26" s="2" t="s">
        <v>81</v>
      </c>
      <c r="C26" s="3">
        <v>44978</v>
      </c>
      <c r="D26" s="3" t="s">
        <v>50</v>
      </c>
      <c r="E26" s="3" t="s">
        <v>43</v>
      </c>
      <c r="F26" s="3"/>
      <c r="G26" s="3"/>
      <c r="H26" s="22">
        <v>0.38194444444444442</v>
      </c>
      <c r="I26" s="22">
        <v>0.3833333333333333</v>
      </c>
      <c r="J26" s="22"/>
      <c r="K26" s="22"/>
      <c r="L26" s="27">
        <v>66</v>
      </c>
      <c r="M26" s="30">
        <v>1.6E-2</v>
      </c>
      <c r="N26" s="27">
        <v>65</v>
      </c>
      <c r="O26" s="30">
        <v>46.643000000000001</v>
      </c>
      <c r="P26" s="27"/>
      <c r="Q26" s="30"/>
      <c r="R26" s="27"/>
      <c r="S26" s="30"/>
      <c r="T26" s="25">
        <f t="shared" ref="T26:T47" si="4">-(L26+M26/60)</f>
        <v>-66.000266666666661</v>
      </c>
      <c r="U26" s="25">
        <f t="shared" ref="U26:U47" si="5">-(N26+O26/60)</f>
        <v>-65.777383333333333</v>
      </c>
      <c r="V26" s="25">
        <f t="shared" ref="V26:V47" si="6">-(P26+Q26/60)</f>
        <v>0</v>
      </c>
      <c r="W26" s="1">
        <f t="shared" ref="W26:W47" si="7">-(R26+S26/60)</f>
        <v>0</v>
      </c>
      <c r="X26" s="2" t="s">
        <v>31</v>
      </c>
      <c r="Y26" s="2"/>
      <c r="Z26" s="2"/>
      <c r="AA26" s="2"/>
      <c r="AB26" s="2"/>
      <c r="AC26" s="4"/>
      <c r="AE26" s="2" t="s">
        <v>78</v>
      </c>
    </row>
    <row r="27" spans="1:32" ht="13.5" customHeight="1">
      <c r="A27" s="2" t="s">
        <v>863</v>
      </c>
      <c r="B27" s="2" t="s">
        <v>82</v>
      </c>
      <c r="C27" s="3">
        <v>44978</v>
      </c>
      <c r="D27" s="3" t="s">
        <v>46</v>
      </c>
      <c r="E27" s="3"/>
      <c r="F27" s="3"/>
      <c r="G27" s="3"/>
      <c r="H27" s="22">
        <v>0.45833333333333331</v>
      </c>
      <c r="I27" s="22">
        <v>0.47222222222222227</v>
      </c>
      <c r="J27" s="22"/>
      <c r="K27" s="22"/>
      <c r="L27" s="27">
        <v>66</v>
      </c>
      <c r="M27" s="30">
        <v>0.253</v>
      </c>
      <c r="N27" s="27">
        <v>65</v>
      </c>
      <c r="O27" s="30">
        <v>46.212000000000003</v>
      </c>
      <c r="P27" s="28">
        <v>66</v>
      </c>
      <c r="Q27" s="31">
        <v>2.0899999999999998E-2</v>
      </c>
      <c r="R27" s="27">
        <v>65</v>
      </c>
      <c r="S27" s="30">
        <v>46.149000000000001</v>
      </c>
      <c r="T27" s="25">
        <f t="shared" si="4"/>
        <v>-66.004216666666665</v>
      </c>
      <c r="U27" s="25">
        <f t="shared" si="5"/>
        <v>-65.770200000000003</v>
      </c>
      <c r="V27" s="25">
        <f>-(R27+S27/60)</f>
        <v>-65.769149999999996</v>
      </c>
      <c r="W27" s="1">
        <f t="shared" si="7"/>
        <v>-65.769149999999996</v>
      </c>
      <c r="X27" s="2" t="s">
        <v>31</v>
      </c>
      <c r="Y27" s="2">
        <v>21.6</v>
      </c>
      <c r="Z27" s="2">
        <v>15</v>
      </c>
      <c r="AA27" s="2"/>
      <c r="AB27" s="2"/>
      <c r="AC27" s="4"/>
    </row>
    <row r="28" spans="1:32" ht="13.5" customHeight="1">
      <c r="A28" s="2" t="s">
        <v>863</v>
      </c>
      <c r="B28" s="2" t="s">
        <v>83</v>
      </c>
      <c r="C28" s="3">
        <v>44978</v>
      </c>
      <c r="D28" s="3" t="s">
        <v>47</v>
      </c>
      <c r="E28" s="3" t="s">
        <v>30</v>
      </c>
      <c r="F28" s="3"/>
      <c r="G28" s="3"/>
      <c r="H28" s="22">
        <v>0.58333333333333337</v>
      </c>
      <c r="I28" s="22">
        <v>0.59027777777777779</v>
      </c>
      <c r="J28" s="22"/>
      <c r="K28" s="22"/>
      <c r="L28" s="27">
        <v>66</v>
      </c>
      <c r="M28" s="30">
        <v>2.9499999999999998E-2</v>
      </c>
      <c r="N28" s="27">
        <v>65</v>
      </c>
      <c r="O28" s="30">
        <v>46.747</v>
      </c>
      <c r="R28" s="27"/>
      <c r="S28" s="30"/>
      <c r="T28" s="25">
        <f t="shared" si="4"/>
        <v>-66.000491666666662</v>
      </c>
      <c r="U28" s="25">
        <f t="shared" si="5"/>
        <v>-65.779116666666667</v>
      </c>
      <c r="V28" s="25">
        <f>-(R28+S28/60)</f>
        <v>0</v>
      </c>
      <c r="W28" s="1">
        <f t="shared" si="7"/>
        <v>0</v>
      </c>
      <c r="X28" s="2" t="s">
        <v>31</v>
      </c>
      <c r="Y28" s="2">
        <v>15</v>
      </c>
      <c r="Z28" s="2">
        <v>15</v>
      </c>
      <c r="AA28" s="2"/>
      <c r="AB28" s="2"/>
      <c r="AC28" s="4"/>
      <c r="AE28" s="2" t="s">
        <v>78</v>
      </c>
    </row>
    <row r="29" spans="1:32" ht="13.5" customHeight="1">
      <c r="A29" s="2" t="s">
        <v>863</v>
      </c>
      <c r="B29" s="2" t="s">
        <v>84</v>
      </c>
      <c r="C29" s="3">
        <v>44978</v>
      </c>
      <c r="D29" s="3" t="s">
        <v>46</v>
      </c>
      <c r="E29" s="3"/>
      <c r="F29" s="3"/>
      <c r="G29" s="3"/>
      <c r="H29" s="22">
        <v>0.60416666666666663</v>
      </c>
      <c r="I29" s="22">
        <v>0.61805555555555558</v>
      </c>
      <c r="J29" s="22"/>
      <c r="K29" s="22"/>
      <c r="L29" s="27">
        <v>66</v>
      </c>
      <c r="M29" s="30">
        <v>0.28899999999999998</v>
      </c>
      <c r="N29" s="27">
        <v>65</v>
      </c>
      <c r="O29" s="30">
        <v>46.66</v>
      </c>
      <c r="P29" s="28">
        <v>66</v>
      </c>
      <c r="Q29" s="31">
        <v>2.2100000000000002E-2</v>
      </c>
      <c r="R29" s="27">
        <v>66</v>
      </c>
      <c r="S29" s="30">
        <v>46.686</v>
      </c>
      <c r="T29" s="25">
        <f t="shared" si="4"/>
        <v>-66.00481666666667</v>
      </c>
      <c r="U29" s="25">
        <f t="shared" si="5"/>
        <v>-65.777666666666661</v>
      </c>
      <c r="V29" s="25">
        <f>-(R29+S29/60)</f>
        <v>-66.778099999999995</v>
      </c>
      <c r="W29" s="1">
        <f t="shared" si="7"/>
        <v>-66.778099999999995</v>
      </c>
      <c r="X29" s="2" t="s">
        <v>31</v>
      </c>
      <c r="Y29" s="2">
        <v>23</v>
      </c>
      <c r="Z29" s="2">
        <v>20</v>
      </c>
      <c r="AA29" s="2"/>
      <c r="AB29" s="2"/>
      <c r="AC29" s="4"/>
    </row>
    <row r="30" spans="1:32" ht="13.5" customHeight="1">
      <c r="A30" s="2" t="s">
        <v>863</v>
      </c>
      <c r="B30" s="2" t="s">
        <v>55</v>
      </c>
      <c r="C30" s="3">
        <v>44978</v>
      </c>
      <c r="D30" s="3" t="s">
        <v>46</v>
      </c>
      <c r="E30" s="3"/>
      <c r="F30" s="3"/>
      <c r="G30" s="3"/>
      <c r="H30" s="22"/>
      <c r="I30" s="22">
        <v>0.6875</v>
      </c>
      <c r="J30" s="22"/>
      <c r="K30" s="22"/>
      <c r="L30" s="27"/>
      <c r="M30" s="30"/>
      <c r="N30" s="27"/>
      <c r="O30" s="30"/>
      <c r="P30" s="28">
        <v>66</v>
      </c>
      <c r="Q30" s="31">
        <v>8.3000000000000001E-3</v>
      </c>
      <c r="R30" s="27">
        <v>66</v>
      </c>
      <c r="S30" s="30">
        <v>47.249000000000002</v>
      </c>
      <c r="T30" s="25">
        <f t="shared" si="4"/>
        <v>0</v>
      </c>
      <c r="U30" s="25">
        <f t="shared" si="5"/>
        <v>0</v>
      </c>
      <c r="V30" s="25">
        <f>-(R30+S30/60)</f>
        <v>-66.787483333333327</v>
      </c>
      <c r="W30" s="1">
        <f t="shared" si="7"/>
        <v>-66.787483333333327</v>
      </c>
      <c r="X30" s="2" t="s">
        <v>31</v>
      </c>
      <c r="Y30" s="2"/>
      <c r="Z30" s="2">
        <v>21</v>
      </c>
      <c r="AA30" s="2"/>
      <c r="AB30" s="2"/>
      <c r="AC30" s="4"/>
      <c r="AF30" s="2" t="s">
        <v>85</v>
      </c>
    </row>
    <row r="31" spans="1:32" ht="13.5" customHeight="1">
      <c r="A31" s="2" t="s">
        <v>863</v>
      </c>
      <c r="B31" s="2" t="s">
        <v>86</v>
      </c>
      <c r="C31" s="3">
        <v>44978</v>
      </c>
      <c r="D31" s="40" t="s">
        <v>50</v>
      </c>
      <c r="E31" s="40" t="s">
        <v>43</v>
      </c>
      <c r="F31" s="40"/>
      <c r="G31" s="40"/>
      <c r="H31" s="22">
        <v>0.7270833333333333</v>
      </c>
      <c r="I31" s="22">
        <v>0.73055555555555562</v>
      </c>
      <c r="J31" s="22"/>
      <c r="K31" s="22"/>
      <c r="L31" s="27">
        <v>65</v>
      </c>
      <c r="M31" s="30">
        <v>99.94</v>
      </c>
      <c r="N31" s="27">
        <v>65</v>
      </c>
      <c r="O31" s="30">
        <v>76.89</v>
      </c>
      <c r="P31" s="27"/>
      <c r="Q31" s="30"/>
      <c r="R31" s="27"/>
      <c r="S31" s="30"/>
      <c r="T31" s="25">
        <f t="shared" si="4"/>
        <v>-66.665666666666667</v>
      </c>
      <c r="U31" s="25">
        <f t="shared" si="5"/>
        <v>-66.281499999999994</v>
      </c>
      <c r="V31" s="25">
        <f t="shared" si="6"/>
        <v>0</v>
      </c>
      <c r="W31" s="1">
        <f t="shared" si="7"/>
        <v>0</v>
      </c>
      <c r="X31" s="2" t="s">
        <v>31</v>
      </c>
      <c r="Y31" s="2">
        <v>0</v>
      </c>
      <c r="Z31" s="2">
        <v>0</v>
      </c>
      <c r="AA31" s="2"/>
      <c r="AB31" s="2"/>
      <c r="AC31" s="4"/>
      <c r="AE31" s="2" t="s">
        <v>78</v>
      </c>
    </row>
    <row r="32" spans="1:32" ht="13.5" customHeight="1">
      <c r="A32" s="2" t="s">
        <v>863</v>
      </c>
      <c r="B32" s="2" t="s">
        <v>87</v>
      </c>
      <c r="C32" s="3">
        <v>44978</v>
      </c>
      <c r="D32" s="40" t="s">
        <v>50</v>
      </c>
      <c r="E32" s="40" t="s">
        <v>43</v>
      </c>
      <c r="F32" s="40"/>
      <c r="G32" s="40"/>
      <c r="H32" s="22">
        <v>0.68333333333333324</v>
      </c>
      <c r="I32" s="22">
        <v>0.68680555555555556</v>
      </c>
      <c r="J32" s="22"/>
      <c r="K32" s="22"/>
      <c r="L32" s="38">
        <v>66</v>
      </c>
      <c r="M32" s="30">
        <v>8.6999999999999994E-2</v>
      </c>
      <c r="N32" s="27">
        <v>65</v>
      </c>
      <c r="O32" s="30">
        <v>78.95</v>
      </c>
      <c r="P32" s="27"/>
      <c r="Q32" s="30"/>
      <c r="R32" s="27"/>
      <c r="S32" s="30"/>
      <c r="T32" s="25">
        <f t="shared" si="4"/>
        <v>-66.001450000000006</v>
      </c>
      <c r="U32" s="25">
        <f t="shared" si="5"/>
        <v>-66.31583333333333</v>
      </c>
      <c r="V32" s="25">
        <f t="shared" si="6"/>
        <v>0</v>
      </c>
      <c r="W32" s="1">
        <f t="shared" si="7"/>
        <v>0</v>
      </c>
      <c r="X32" s="2" t="s">
        <v>31</v>
      </c>
      <c r="Y32" s="2">
        <v>0</v>
      </c>
      <c r="Z32" s="2">
        <v>0</v>
      </c>
      <c r="AA32" s="2"/>
      <c r="AB32" s="2"/>
      <c r="AC32" s="4"/>
      <c r="AE32" s="2" t="s">
        <v>78</v>
      </c>
    </row>
    <row r="33" spans="1:31" ht="13.5" customHeight="1">
      <c r="A33" s="2" t="s">
        <v>863</v>
      </c>
      <c r="B33" s="2" t="s">
        <v>88</v>
      </c>
      <c r="C33" s="3">
        <v>44978</v>
      </c>
      <c r="D33" s="40" t="s">
        <v>50</v>
      </c>
      <c r="E33" s="40" t="s">
        <v>43</v>
      </c>
      <c r="F33" s="40"/>
      <c r="G33" s="40"/>
      <c r="H33" s="22">
        <v>0.69166666666666676</v>
      </c>
      <c r="I33" s="22">
        <v>0.69513888888888886</v>
      </c>
      <c r="J33" s="22"/>
      <c r="K33" s="22"/>
      <c r="L33" s="38">
        <v>66</v>
      </c>
      <c r="M33" s="30">
        <v>3.9E-2</v>
      </c>
      <c r="N33" s="27">
        <v>65</v>
      </c>
      <c r="O33" s="30">
        <v>78.95</v>
      </c>
      <c r="P33" s="27"/>
      <c r="Q33" s="30"/>
      <c r="R33" s="27"/>
      <c r="S33" s="30"/>
      <c r="T33" s="25">
        <f t="shared" si="4"/>
        <v>-66.000649999999993</v>
      </c>
      <c r="U33" s="25">
        <f t="shared" si="5"/>
        <v>-66.31583333333333</v>
      </c>
      <c r="V33" s="25">
        <f t="shared" si="6"/>
        <v>0</v>
      </c>
      <c r="W33" s="1">
        <f t="shared" si="7"/>
        <v>0</v>
      </c>
      <c r="X33" s="2" t="s">
        <v>31</v>
      </c>
      <c r="Y33" s="2">
        <v>0</v>
      </c>
      <c r="Z33" s="2">
        <v>0</v>
      </c>
      <c r="AA33" s="2"/>
      <c r="AB33" s="2"/>
      <c r="AC33" s="4"/>
      <c r="AE33" s="2" t="s">
        <v>78</v>
      </c>
    </row>
    <row r="34" spans="1:31" ht="13.5" customHeight="1">
      <c r="A34" s="2" t="s">
        <v>863</v>
      </c>
      <c r="B34" s="2" t="s">
        <v>89</v>
      </c>
      <c r="C34" s="3">
        <v>44978</v>
      </c>
      <c r="D34" s="40" t="s">
        <v>50</v>
      </c>
      <c r="E34" s="40" t="s">
        <v>43</v>
      </c>
      <c r="F34" s="40"/>
      <c r="G34" s="40"/>
      <c r="H34" s="22">
        <v>0.7006944444444444</v>
      </c>
      <c r="I34" s="22">
        <v>0.70416666666666661</v>
      </c>
      <c r="J34" s="22"/>
      <c r="K34" s="22"/>
      <c r="L34" s="27">
        <v>65</v>
      </c>
      <c r="M34" s="30">
        <v>99.97</v>
      </c>
      <c r="N34" s="27">
        <v>65</v>
      </c>
      <c r="O34" s="30">
        <v>78.95</v>
      </c>
      <c r="P34" s="27"/>
      <c r="Q34" s="30"/>
      <c r="R34" s="27"/>
      <c r="S34" s="30"/>
      <c r="T34" s="25">
        <f t="shared" si="4"/>
        <v>-66.666166666666669</v>
      </c>
      <c r="U34" s="25">
        <f t="shared" si="5"/>
        <v>-66.31583333333333</v>
      </c>
      <c r="V34" s="25">
        <f t="shared" si="6"/>
        <v>0</v>
      </c>
      <c r="W34" s="1">
        <f t="shared" si="7"/>
        <v>0</v>
      </c>
      <c r="X34" s="2" t="s">
        <v>31</v>
      </c>
      <c r="Y34" s="2">
        <v>0</v>
      </c>
      <c r="Z34" s="2">
        <v>0</v>
      </c>
      <c r="AA34" s="2"/>
      <c r="AB34" s="2"/>
      <c r="AC34" s="4"/>
      <c r="AE34" s="2" t="s">
        <v>78</v>
      </c>
    </row>
    <row r="35" spans="1:31" ht="13.5" customHeight="1">
      <c r="A35" s="2" t="s">
        <v>863</v>
      </c>
      <c r="B35" s="2" t="s">
        <v>90</v>
      </c>
      <c r="C35" s="3">
        <v>44978</v>
      </c>
      <c r="D35" s="40" t="s">
        <v>50</v>
      </c>
      <c r="E35" s="40" t="s">
        <v>43</v>
      </c>
      <c r="F35" s="40"/>
      <c r="G35" s="40"/>
      <c r="H35" s="22">
        <v>0.70486111111111116</v>
      </c>
      <c r="I35" s="22">
        <v>0.70833333333333337</v>
      </c>
      <c r="J35" s="22"/>
      <c r="K35" s="22"/>
      <c r="L35" s="27">
        <v>65</v>
      </c>
      <c r="M35" s="30">
        <v>99.75</v>
      </c>
      <c r="N35" s="27">
        <v>65</v>
      </c>
      <c r="O35" s="30">
        <v>78.95</v>
      </c>
      <c r="P35" s="27"/>
      <c r="Q35" s="30"/>
      <c r="R35" s="27"/>
      <c r="S35" s="30"/>
      <c r="T35" s="25">
        <f t="shared" si="4"/>
        <v>-66.662499999999994</v>
      </c>
      <c r="U35" s="25">
        <f t="shared" si="5"/>
        <v>-66.31583333333333</v>
      </c>
      <c r="V35" s="25">
        <f t="shared" si="6"/>
        <v>0</v>
      </c>
      <c r="W35" s="1">
        <f t="shared" si="7"/>
        <v>0</v>
      </c>
      <c r="X35" s="2" t="s">
        <v>31</v>
      </c>
      <c r="Y35" s="2">
        <v>0</v>
      </c>
      <c r="Z35" s="2">
        <v>0</v>
      </c>
      <c r="AA35" s="2"/>
      <c r="AB35" s="2"/>
      <c r="AC35" s="4"/>
      <c r="AE35" s="2" t="s">
        <v>78</v>
      </c>
    </row>
    <row r="36" spans="1:31" ht="13.5" customHeight="1">
      <c r="A36" s="2" t="s">
        <v>863</v>
      </c>
      <c r="B36" s="2" t="s">
        <v>91</v>
      </c>
      <c r="C36" s="3">
        <v>44978</v>
      </c>
      <c r="D36" s="40" t="s">
        <v>50</v>
      </c>
      <c r="E36" s="40" t="s">
        <v>43</v>
      </c>
      <c r="F36" s="40"/>
      <c r="G36" s="40"/>
      <c r="H36" s="22">
        <v>0.7104166666666667</v>
      </c>
      <c r="I36" s="22">
        <v>0.71388888888888891</v>
      </c>
      <c r="J36" s="22"/>
      <c r="K36" s="22"/>
      <c r="L36" s="27">
        <v>65</v>
      </c>
      <c r="M36" s="30">
        <v>99.65</v>
      </c>
      <c r="N36" s="27">
        <v>65</v>
      </c>
      <c r="O36" s="30">
        <v>78.95</v>
      </c>
      <c r="P36" s="27"/>
      <c r="Q36" s="30"/>
      <c r="R36" s="27"/>
      <c r="S36" s="30"/>
      <c r="T36" s="25">
        <f t="shared" si="4"/>
        <v>-66.660833333333329</v>
      </c>
      <c r="U36" s="25">
        <f t="shared" si="5"/>
        <v>-66.31583333333333</v>
      </c>
      <c r="V36" s="25">
        <f t="shared" si="6"/>
        <v>0</v>
      </c>
      <c r="W36" s="1">
        <f t="shared" si="7"/>
        <v>0</v>
      </c>
      <c r="X36" s="2" t="s">
        <v>31</v>
      </c>
      <c r="Y36" s="2">
        <v>0</v>
      </c>
      <c r="Z36" s="2">
        <v>0</v>
      </c>
      <c r="AA36" s="2"/>
      <c r="AB36" s="2"/>
      <c r="AC36" s="4"/>
      <c r="AE36" s="2" t="s">
        <v>78</v>
      </c>
    </row>
    <row r="37" spans="1:31" ht="13.5" customHeight="1">
      <c r="A37" s="2" t="s">
        <v>863</v>
      </c>
      <c r="B37" s="2" t="s">
        <v>92</v>
      </c>
      <c r="C37" s="3">
        <v>44978</v>
      </c>
      <c r="D37" s="40" t="s">
        <v>50</v>
      </c>
      <c r="E37" s="40" t="s">
        <v>43</v>
      </c>
      <c r="F37" s="40"/>
      <c r="G37" s="40"/>
      <c r="H37" s="22">
        <v>0.71666666666666667</v>
      </c>
      <c r="I37" s="22">
        <v>0.72013888888888899</v>
      </c>
      <c r="J37" s="22"/>
      <c r="K37" s="22"/>
      <c r="L37" s="27">
        <v>65</v>
      </c>
      <c r="M37" s="30">
        <v>99.68</v>
      </c>
      <c r="N37" s="27">
        <v>65</v>
      </c>
      <c r="O37" s="30">
        <v>78.53</v>
      </c>
      <c r="P37" s="27"/>
      <c r="Q37" s="30"/>
      <c r="R37" s="27"/>
      <c r="S37" s="30"/>
      <c r="T37" s="25">
        <f t="shared" si="4"/>
        <v>-66.661333333333332</v>
      </c>
      <c r="U37" s="25">
        <f t="shared" si="5"/>
        <v>-66.30883333333334</v>
      </c>
      <c r="V37" s="25">
        <f t="shared" si="6"/>
        <v>0</v>
      </c>
      <c r="W37" s="1">
        <f t="shared" si="7"/>
        <v>0</v>
      </c>
      <c r="X37" s="2" t="s">
        <v>31</v>
      </c>
      <c r="Y37" s="2">
        <v>0</v>
      </c>
      <c r="Z37" s="2">
        <v>0</v>
      </c>
      <c r="AA37" s="2"/>
      <c r="AB37" s="2"/>
      <c r="AC37" s="4"/>
      <c r="AE37" s="2" t="s">
        <v>78</v>
      </c>
    </row>
    <row r="38" spans="1:31" ht="13.5" customHeight="1">
      <c r="A38" s="2" t="s">
        <v>863</v>
      </c>
      <c r="B38" s="2" t="s">
        <v>93</v>
      </c>
      <c r="C38" s="3">
        <v>44978</v>
      </c>
      <c r="D38" s="40" t="s">
        <v>50</v>
      </c>
      <c r="E38" s="40" t="s">
        <v>43</v>
      </c>
      <c r="F38" s="40"/>
      <c r="G38" s="40"/>
      <c r="H38" s="22">
        <v>0.60486111111111118</v>
      </c>
      <c r="I38" s="22">
        <v>0.60833333333333328</v>
      </c>
      <c r="J38" s="22"/>
      <c r="K38" s="22"/>
      <c r="L38" s="27">
        <v>66</v>
      </c>
      <c r="M38" s="30">
        <v>1.31</v>
      </c>
      <c r="N38" s="27">
        <v>65</v>
      </c>
      <c r="O38" s="39">
        <v>78.95</v>
      </c>
      <c r="P38" s="27"/>
      <c r="Q38" s="30"/>
      <c r="R38" s="27"/>
      <c r="S38" s="30"/>
      <c r="T38" s="25">
        <f t="shared" si="4"/>
        <v>-66.021833333333333</v>
      </c>
      <c r="U38" s="25">
        <f t="shared" si="5"/>
        <v>-66.31583333333333</v>
      </c>
      <c r="V38" s="25">
        <f t="shared" si="6"/>
        <v>0</v>
      </c>
      <c r="W38" s="1">
        <f t="shared" si="7"/>
        <v>0</v>
      </c>
      <c r="X38" s="2" t="s">
        <v>31</v>
      </c>
      <c r="Y38" s="2">
        <v>0</v>
      </c>
      <c r="Z38" s="2">
        <v>0</v>
      </c>
      <c r="AA38" s="2"/>
      <c r="AB38" s="2"/>
      <c r="AC38" s="4"/>
      <c r="AE38" s="2" t="s">
        <v>78</v>
      </c>
    </row>
    <row r="39" spans="1:31" ht="13.5" customHeight="1">
      <c r="A39" s="2" t="s">
        <v>863</v>
      </c>
      <c r="B39" s="2" t="s">
        <v>94</v>
      </c>
      <c r="C39" s="3">
        <v>44978</v>
      </c>
      <c r="D39" s="40" t="s">
        <v>50</v>
      </c>
      <c r="E39" s="40" t="s">
        <v>43</v>
      </c>
      <c r="F39" s="40"/>
      <c r="G39" s="40"/>
      <c r="H39" s="22">
        <v>0.61458333333333337</v>
      </c>
      <c r="I39" s="22">
        <v>0.61805555555555558</v>
      </c>
      <c r="J39" s="22"/>
      <c r="K39" s="22"/>
      <c r="L39" s="27">
        <v>66</v>
      </c>
      <c r="M39" s="30">
        <v>1.17</v>
      </c>
      <c r="N39" s="27">
        <v>65</v>
      </c>
      <c r="O39" s="30">
        <v>77.81</v>
      </c>
      <c r="P39" s="27"/>
      <c r="Q39" s="30"/>
      <c r="R39" s="27"/>
      <c r="S39" s="30"/>
      <c r="T39" s="25">
        <f t="shared" si="4"/>
        <v>-66.019499999999994</v>
      </c>
      <c r="U39" s="25">
        <f t="shared" si="5"/>
        <v>-66.296833333333339</v>
      </c>
      <c r="V39" s="25">
        <f t="shared" si="6"/>
        <v>0</v>
      </c>
      <c r="W39" s="1">
        <f t="shared" si="7"/>
        <v>0</v>
      </c>
      <c r="X39" s="2" t="s">
        <v>31</v>
      </c>
      <c r="Y39" s="2">
        <v>0</v>
      </c>
      <c r="Z39" s="2">
        <v>0</v>
      </c>
      <c r="AA39" s="2"/>
      <c r="AB39" s="2"/>
      <c r="AC39" s="4"/>
      <c r="AE39" s="2" t="s">
        <v>78</v>
      </c>
    </row>
    <row r="40" spans="1:31" ht="13.5" customHeight="1">
      <c r="A40" s="2" t="s">
        <v>863</v>
      </c>
      <c r="B40" s="2" t="s">
        <v>95</v>
      </c>
      <c r="C40" s="3">
        <v>44978</v>
      </c>
      <c r="D40" s="40" t="s">
        <v>50</v>
      </c>
      <c r="E40" s="40" t="s">
        <v>43</v>
      </c>
      <c r="F40" s="40"/>
      <c r="G40" s="40"/>
      <c r="H40" s="22">
        <v>0.62013888888888891</v>
      </c>
      <c r="I40" s="22">
        <v>0.62361111111111112</v>
      </c>
      <c r="J40" s="22"/>
      <c r="K40" s="22"/>
      <c r="L40" s="27">
        <v>66</v>
      </c>
      <c r="M40" s="30">
        <v>1.04</v>
      </c>
      <c r="N40" s="27">
        <v>65</v>
      </c>
      <c r="O40" s="30">
        <v>76.72</v>
      </c>
      <c r="P40" s="27"/>
      <c r="Q40" s="30"/>
      <c r="R40" s="27"/>
      <c r="S40" s="30"/>
      <c r="T40" s="25">
        <f t="shared" si="4"/>
        <v>-66.01733333333334</v>
      </c>
      <c r="U40" s="25">
        <f t="shared" si="5"/>
        <v>-66.278666666666666</v>
      </c>
      <c r="V40" s="25">
        <f t="shared" si="6"/>
        <v>0</v>
      </c>
      <c r="W40" s="1">
        <f t="shared" si="7"/>
        <v>0</v>
      </c>
      <c r="X40" s="2" t="s">
        <v>31</v>
      </c>
      <c r="Y40" s="2">
        <v>0</v>
      </c>
      <c r="Z40" s="2">
        <v>0</v>
      </c>
      <c r="AA40" s="2"/>
      <c r="AB40" s="2"/>
      <c r="AC40" s="4"/>
      <c r="AE40" s="2" t="s">
        <v>78</v>
      </c>
    </row>
    <row r="41" spans="1:31" ht="13.5" customHeight="1">
      <c r="A41" s="2" t="s">
        <v>863</v>
      </c>
      <c r="B41" s="2" t="s">
        <v>96</v>
      </c>
      <c r="C41" s="3">
        <v>44978</v>
      </c>
      <c r="D41" s="40" t="s">
        <v>50</v>
      </c>
      <c r="E41" s="40" t="s">
        <v>43</v>
      </c>
      <c r="F41" s="40"/>
      <c r="G41" s="40"/>
      <c r="H41" s="22">
        <v>0.62638888888888888</v>
      </c>
      <c r="I41" s="22">
        <v>0.62986111111111109</v>
      </c>
      <c r="J41" s="22"/>
      <c r="K41" s="22"/>
      <c r="L41" s="27">
        <v>66</v>
      </c>
      <c r="M41" s="30">
        <v>9.9000000000000005E-2</v>
      </c>
      <c r="N41" s="27">
        <v>65</v>
      </c>
      <c r="O41" s="30">
        <v>76.040000000000006</v>
      </c>
      <c r="P41" s="27"/>
      <c r="Q41" s="30"/>
      <c r="R41" s="27"/>
      <c r="S41" s="30"/>
      <c r="T41" s="25">
        <f t="shared" si="4"/>
        <v>-66.001649999999998</v>
      </c>
      <c r="U41" s="25">
        <f t="shared" si="5"/>
        <v>-66.26733333333334</v>
      </c>
      <c r="V41" s="25">
        <f t="shared" si="6"/>
        <v>0</v>
      </c>
      <c r="W41" s="1">
        <f t="shared" si="7"/>
        <v>0</v>
      </c>
      <c r="X41" s="2" t="s">
        <v>31</v>
      </c>
      <c r="Y41" s="2">
        <v>0</v>
      </c>
      <c r="Z41" s="2">
        <v>0</v>
      </c>
      <c r="AA41" s="2"/>
      <c r="AB41" s="2"/>
      <c r="AC41" s="4"/>
      <c r="AE41" s="2" t="s">
        <v>78</v>
      </c>
    </row>
    <row r="42" spans="1:31" ht="13.5" customHeight="1">
      <c r="A42" s="2" t="s">
        <v>863</v>
      </c>
      <c r="B42" s="2" t="s">
        <v>97</v>
      </c>
      <c r="C42" s="3">
        <v>44978</v>
      </c>
      <c r="D42" s="40" t="s">
        <v>50</v>
      </c>
      <c r="E42" s="40" t="s">
        <v>43</v>
      </c>
      <c r="F42" s="40"/>
      <c r="G42" s="40"/>
      <c r="H42" s="22">
        <v>0.63124999999999998</v>
      </c>
      <c r="I42" s="22">
        <v>0.63472222222222219</v>
      </c>
      <c r="J42" s="22"/>
      <c r="K42" s="22"/>
      <c r="L42" s="27">
        <v>66</v>
      </c>
      <c r="M42" s="30">
        <v>8.8999999999999996E-2</v>
      </c>
      <c r="N42" s="27">
        <v>65</v>
      </c>
      <c r="O42" s="30">
        <v>75.489999999999995</v>
      </c>
      <c r="P42" s="27"/>
      <c r="Q42" s="30"/>
      <c r="R42" s="27"/>
      <c r="S42" s="30"/>
      <c r="T42" s="25">
        <f t="shared" si="4"/>
        <v>-66.00148333333334</v>
      </c>
      <c r="U42" s="25">
        <f t="shared" si="5"/>
        <v>-66.258166666666668</v>
      </c>
      <c r="V42" s="25">
        <f t="shared" si="6"/>
        <v>0</v>
      </c>
      <c r="W42" s="1">
        <f t="shared" si="7"/>
        <v>0</v>
      </c>
      <c r="X42" s="2" t="s">
        <v>31</v>
      </c>
      <c r="Y42" s="2">
        <v>0</v>
      </c>
      <c r="Z42" s="2">
        <v>0</v>
      </c>
      <c r="AA42" s="2"/>
      <c r="AB42" s="2"/>
      <c r="AC42" s="4"/>
      <c r="AE42" s="2" t="s">
        <v>78</v>
      </c>
    </row>
    <row r="43" spans="1:31" ht="13.5" customHeight="1">
      <c r="A43" s="2" t="s">
        <v>863</v>
      </c>
      <c r="B43" s="2" t="s">
        <v>98</v>
      </c>
      <c r="C43" s="3">
        <v>44978</v>
      </c>
      <c r="D43" s="40" t="s">
        <v>50</v>
      </c>
      <c r="E43" s="40" t="s">
        <v>43</v>
      </c>
      <c r="F43" s="40"/>
      <c r="G43" s="40"/>
      <c r="H43" s="22">
        <v>0.63611111111111118</v>
      </c>
      <c r="I43" s="22">
        <v>0.63958333333333328</v>
      </c>
      <c r="J43" s="22"/>
      <c r="K43" s="22"/>
      <c r="L43" s="27">
        <v>66</v>
      </c>
      <c r="M43" s="30">
        <v>0.85</v>
      </c>
      <c r="N43" s="27">
        <v>65</v>
      </c>
      <c r="O43" s="30">
        <v>75.16</v>
      </c>
      <c r="P43" s="27"/>
      <c r="Q43" s="30"/>
      <c r="R43" s="27"/>
      <c r="S43" s="30"/>
      <c r="T43" s="25">
        <f t="shared" si="4"/>
        <v>-66.014166666666668</v>
      </c>
      <c r="U43" s="25">
        <f t="shared" si="5"/>
        <v>-66.25266666666667</v>
      </c>
      <c r="V43" s="25">
        <f t="shared" si="6"/>
        <v>0</v>
      </c>
      <c r="W43" s="1">
        <f t="shared" si="7"/>
        <v>0</v>
      </c>
      <c r="X43" s="2" t="s">
        <v>31</v>
      </c>
      <c r="Y43" s="2">
        <v>0</v>
      </c>
      <c r="Z43" s="2">
        <v>0</v>
      </c>
      <c r="AA43" s="2"/>
      <c r="AB43" s="2"/>
      <c r="AC43" s="4"/>
      <c r="AE43" s="2" t="s">
        <v>78</v>
      </c>
    </row>
    <row r="44" spans="1:31" ht="13.5" customHeight="1">
      <c r="A44" s="2" t="s">
        <v>863</v>
      </c>
      <c r="B44" s="2" t="s">
        <v>99</v>
      </c>
      <c r="C44" s="3">
        <v>44978</v>
      </c>
      <c r="D44" s="40" t="s">
        <v>50</v>
      </c>
      <c r="E44" s="40" t="s">
        <v>43</v>
      </c>
      <c r="F44" s="40"/>
      <c r="G44" s="40"/>
      <c r="H44" s="22">
        <v>0.65416666666666667</v>
      </c>
      <c r="I44" s="22">
        <v>0.65763888888888888</v>
      </c>
      <c r="J44" s="22"/>
      <c r="K44" s="22"/>
      <c r="L44" s="27">
        <v>66</v>
      </c>
      <c r="M44" s="30">
        <v>0.06</v>
      </c>
      <c r="N44" s="27">
        <v>65</v>
      </c>
      <c r="O44" s="30">
        <v>74.819999999999993</v>
      </c>
      <c r="P44" s="27"/>
      <c r="Q44" s="30"/>
      <c r="R44" s="27"/>
      <c r="S44" s="30"/>
      <c r="T44" s="25">
        <f t="shared" si="4"/>
        <v>-66.001000000000005</v>
      </c>
      <c r="U44" s="25">
        <f t="shared" si="5"/>
        <v>-66.247</v>
      </c>
      <c r="V44" s="25">
        <f t="shared" si="6"/>
        <v>0</v>
      </c>
      <c r="W44" s="1">
        <f t="shared" si="7"/>
        <v>0</v>
      </c>
      <c r="X44" s="2" t="s">
        <v>31</v>
      </c>
      <c r="Y44" s="2">
        <v>0</v>
      </c>
      <c r="Z44" s="2">
        <v>0</v>
      </c>
      <c r="AA44" s="2"/>
      <c r="AB44" s="2"/>
      <c r="AC44" s="4"/>
      <c r="AE44" s="2" t="s">
        <v>78</v>
      </c>
    </row>
    <row r="45" spans="1:31" ht="13.5" customHeight="1">
      <c r="A45" s="2" t="s">
        <v>863</v>
      </c>
      <c r="B45" s="2" t="s">
        <v>100</v>
      </c>
      <c r="C45" s="3">
        <v>44978</v>
      </c>
      <c r="D45" s="40" t="s">
        <v>50</v>
      </c>
      <c r="E45" s="40" t="s">
        <v>43</v>
      </c>
      <c r="F45" s="40"/>
      <c r="G45" s="40"/>
      <c r="H45" s="22">
        <v>0.36944444444444446</v>
      </c>
      <c r="I45" s="22">
        <v>0.37083333333333335</v>
      </c>
      <c r="J45" s="22"/>
      <c r="K45" s="22"/>
      <c r="L45" s="27">
        <v>66</v>
      </c>
      <c r="M45" s="30">
        <v>1.6E-2</v>
      </c>
      <c r="N45" s="27">
        <v>65</v>
      </c>
      <c r="O45" s="30">
        <v>46.643000000000001</v>
      </c>
      <c r="P45" s="27"/>
      <c r="Q45" s="30"/>
      <c r="R45" s="27"/>
      <c r="S45" s="30"/>
      <c r="T45" s="25">
        <f t="shared" si="4"/>
        <v>-66.000266666666661</v>
      </c>
      <c r="U45" s="25">
        <f t="shared" si="5"/>
        <v>-65.777383333333333</v>
      </c>
      <c r="V45" s="25">
        <f t="shared" si="6"/>
        <v>0</v>
      </c>
      <c r="W45" s="1">
        <f t="shared" si="7"/>
        <v>0</v>
      </c>
      <c r="X45" s="2" t="s">
        <v>31</v>
      </c>
      <c r="Y45" s="2">
        <v>0</v>
      </c>
      <c r="Z45" s="2">
        <v>16.3</v>
      </c>
      <c r="AA45" s="2"/>
      <c r="AB45" s="2"/>
      <c r="AC45" s="4"/>
    </row>
    <row r="46" spans="1:31" ht="13.5" customHeight="1">
      <c r="A46" s="2" t="s">
        <v>863</v>
      </c>
      <c r="B46" s="2" t="s">
        <v>101</v>
      </c>
      <c r="C46" s="3">
        <v>44978</v>
      </c>
      <c r="D46" s="3" t="s">
        <v>58</v>
      </c>
      <c r="E46" s="3" t="s">
        <v>47</v>
      </c>
      <c r="F46" s="3"/>
      <c r="G46" s="3"/>
      <c r="H46" s="22">
        <v>0.3972222222222222</v>
      </c>
      <c r="I46" s="22">
        <v>0.4236111111111111</v>
      </c>
      <c r="J46" s="22"/>
      <c r="K46" s="22"/>
      <c r="L46" s="27">
        <v>66</v>
      </c>
      <c r="M46" s="30">
        <v>1.6E-2</v>
      </c>
      <c r="N46" s="27">
        <v>65</v>
      </c>
      <c r="O46" s="30">
        <v>46.643000000000001</v>
      </c>
      <c r="P46" s="27"/>
      <c r="Q46" s="30"/>
      <c r="R46" s="27"/>
      <c r="S46" s="30"/>
      <c r="T46" s="25">
        <f t="shared" si="4"/>
        <v>-66.000266666666661</v>
      </c>
      <c r="U46" s="25">
        <f t="shared" si="5"/>
        <v>-65.777383333333333</v>
      </c>
      <c r="V46" s="25">
        <f t="shared" si="6"/>
        <v>0</v>
      </c>
      <c r="W46" s="1">
        <f t="shared" si="7"/>
        <v>0</v>
      </c>
      <c r="X46" s="2" t="s">
        <v>31</v>
      </c>
      <c r="Y46" s="2"/>
      <c r="Z46" s="2">
        <v>21</v>
      </c>
      <c r="AA46" s="2"/>
      <c r="AB46" s="2"/>
      <c r="AC46" s="4"/>
    </row>
    <row r="47" spans="1:31" ht="13.5" customHeight="1">
      <c r="A47" s="2" t="s">
        <v>863</v>
      </c>
      <c r="B47" s="2" t="s">
        <v>102</v>
      </c>
      <c r="C47" s="3">
        <v>44978</v>
      </c>
      <c r="D47" s="3" t="s">
        <v>62</v>
      </c>
      <c r="E47" s="3" t="s">
        <v>35</v>
      </c>
      <c r="F47" s="3"/>
      <c r="G47" s="3"/>
      <c r="H47" s="22">
        <v>0.47847222222222219</v>
      </c>
      <c r="I47" s="22">
        <v>0.50486111111111109</v>
      </c>
      <c r="J47" s="22"/>
      <c r="K47" s="22"/>
      <c r="L47" s="27">
        <v>65</v>
      </c>
      <c r="M47" s="30">
        <v>59.984000000000002</v>
      </c>
      <c r="N47" s="27">
        <v>65</v>
      </c>
      <c r="O47" s="30">
        <v>46.783999999999999</v>
      </c>
      <c r="P47" s="27"/>
      <c r="Q47" s="30"/>
      <c r="R47" s="27"/>
      <c r="S47" s="30"/>
      <c r="T47" s="25">
        <f t="shared" si="4"/>
        <v>-65.999733333333339</v>
      </c>
      <c r="U47" s="25">
        <f t="shared" si="5"/>
        <v>-65.77973333333334</v>
      </c>
      <c r="V47" s="25">
        <f t="shared" si="6"/>
        <v>0</v>
      </c>
      <c r="W47" s="1">
        <f t="shared" si="7"/>
        <v>0</v>
      </c>
      <c r="X47" s="2" t="s">
        <v>31</v>
      </c>
      <c r="Y47" s="2"/>
      <c r="Z47" s="2">
        <v>19</v>
      </c>
      <c r="AA47" s="2"/>
      <c r="AB47" s="2"/>
      <c r="AC47" s="4"/>
    </row>
    <row r="48" spans="1:31" ht="13.5" customHeight="1">
      <c r="A48" s="2" t="s">
        <v>863</v>
      </c>
      <c r="B48" s="2" t="s">
        <v>103</v>
      </c>
      <c r="C48" s="3">
        <v>44979</v>
      </c>
      <c r="D48" s="3" t="s">
        <v>46</v>
      </c>
      <c r="E48" s="3"/>
      <c r="F48" s="3"/>
      <c r="G48" s="3"/>
      <c r="H48" s="22">
        <v>0.4375</v>
      </c>
      <c r="I48" s="22">
        <v>0.4513888888888889</v>
      </c>
      <c r="J48" s="22"/>
      <c r="K48" s="22"/>
      <c r="L48" s="27">
        <v>66</v>
      </c>
      <c r="M48" s="30">
        <v>59.814999999999998</v>
      </c>
      <c r="N48" s="27">
        <v>65</v>
      </c>
      <c r="O48" s="31">
        <v>46.868000000000002</v>
      </c>
      <c r="P48" s="27">
        <v>65</v>
      </c>
      <c r="Q48" s="30">
        <v>59.774000000000001</v>
      </c>
      <c r="R48" s="27">
        <v>65</v>
      </c>
      <c r="S48" s="30">
        <v>46.64</v>
      </c>
      <c r="T48" s="25">
        <f t="shared" ref="T48:T51" si="8">-(L48+M48/60)</f>
        <v>-66.996916666666664</v>
      </c>
      <c r="U48" s="25">
        <f t="shared" ref="U48:U51" si="9">-(N48+O48/60)</f>
        <v>-65.781133333333329</v>
      </c>
      <c r="V48" s="25">
        <f t="shared" ref="V48:V51" si="10">-(P48+Q48/60)</f>
        <v>-65.996233333333336</v>
      </c>
      <c r="W48" s="1">
        <f t="shared" ref="W48:W51" si="11">-(R48+S48/60)</f>
        <v>-65.777333333333331</v>
      </c>
      <c r="X48" s="2" t="s">
        <v>31</v>
      </c>
      <c r="Y48" s="2">
        <v>10.5</v>
      </c>
      <c r="Z48" s="2">
        <v>12</v>
      </c>
      <c r="AA48" s="2"/>
      <c r="AB48" s="2"/>
      <c r="AC48" s="4"/>
    </row>
    <row r="49" spans="1:32" ht="13.5" customHeight="1">
      <c r="A49" s="2" t="s">
        <v>863</v>
      </c>
      <c r="B49" s="2" t="s">
        <v>104</v>
      </c>
      <c r="C49" s="3">
        <v>44979</v>
      </c>
      <c r="D49" s="3" t="s">
        <v>46</v>
      </c>
      <c r="E49" s="3"/>
      <c r="F49" s="3"/>
      <c r="G49" s="3"/>
      <c r="H49" s="22">
        <v>0.75</v>
      </c>
      <c r="I49" s="22">
        <v>0.77083333333333337</v>
      </c>
      <c r="J49" s="22"/>
      <c r="K49" s="22"/>
      <c r="L49" s="27">
        <v>66</v>
      </c>
      <c r="M49" s="30">
        <v>59.932000000000002</v>
      </c>
      <c r="N49" s="27">
        <v>65</v>
      </c>
      <c r="O49" s="30">
        <v>46.484999999999999</v>
      </c>
      <c r="P49" s="27">
        <v>66</v>
      </c>
      <c r="Q49" s="30">
        <v>0.01</v>
      </c>
      <c r="R49" s="27">
        <v>65</v>
      </c>
      <c r="S49" s="30">
        <v>46.600999999999999</v>
      </c>
      <c r="T49" s="25">
        <f t="shared" si="8"/>
        <v>-66.998866666666672</v>
      </c>
      <c r="U49" s="25">
        <f t="shared" si="9"/>
        <v>-65.774749999999997</v>
      </c>
      <c r="V49" s="25">
        <f t="shared" si="10"/>
        <v>-66.000166666666672</v>
      </c>
      <c r="W49" s="1">
        <f t="shared" si="11"/>
        <v>-65.776683333333338</v>
      </c>
      <c r="X49" s="2" t="s">
        <v>31</v>
      </c>
      <c r="Y49" s="2">
        <v>10</v>
      </c>
      <c r="Z49" s="2">
        <v>11</v>
      </c>
      <c r="AA49" s="2"/>
      <c r="AB49" s="2"/>
      <c r="AC49" s="4"/>
    </row>
    <row r="50" spans="1:32" ht="13.5" customHeight="1">
      <c r="A50" s="2" t="s">
        <v>863</v>
      </c>
      <c r="B50" s="2" t="s">
        <v>105</v>
      </c>
      <c r="C50" s="3">
        <v>44979</v>
      </c>
      <c r="D50" s="3" t="s">
        <v>47</v>
      </c>
      <c r="E50" s="3"/>
      <c r="F50" s="3"/>
      <c r="G50" s="3"/>
      <c r="H50" s="22">
        <v>0.66666666666666663</v>
      </c>
      <c r="I50" s="22">
        <v>0.70833333333333337</v>
      </c>
      <c r="J50" s="22"/>
      <c r="K50" s="22"/>
      <c r="L50" s="27">
        <v>65</v>
      </c>
      <c r="M50" s="30">
        <v>59.948</v>
      </c>
      <c r="N50" s="27">
        <v>65</v>
      </c>
      <c r="O50" s="30">
        <v>47.110999999999997</v>
      </c>
      <c r="P50" s="27"/>
      <c r="Q50" s="30"/>
      <c r="R50" s="27"/>
      <c r="S50" s="30"/>
      <c r="T50" s="25">
        <f t="shared" si="8"/>
        <v>-65.999133333333333</v>
      </c>
      <c r="U50" s="25">
        <f t="shared" si="9"/>
        <v>-65.785183333333336</v>
      </c>
      <c r="V50" s="25">
        <f t="shared" si="10"/>
        <v>0</v>
      </c>
      <c r="W50" s="1">
        <f t="shared" si="11"/>
        <v>0</v>
      </c>
      <c r="X50" s="2" t="s">
        <v>31</v>
      </c>
      <c r="Y50" s="2">
        <v>0</v>
      </c>
      <c r="Z50" s="2"/>
      <c r="AA50" s="2"/>
      <c r="AB50" s="2"/>
      <c r="AC50" s="4"/>
    </row>
    <row r="51" spans="1:32" ht="13.5" customHeight="1">
      <c r="A51" s="2" t="s">
        <v>863</v>
      </c>
      <c r="B51" s="2" t="s">
        <v>106</v>
      </c>
      <c r="C51" s="3">
        <v>44979</v>
      </c>
      <c r="D51" s="3" t="s">
        <v>47</v>
      </c>
      <c r="E51" s="3" t="s">
        <v>62</v>
      </c>
      <c r="F51" s="3"/>
      <c r="G51" s="3"/>
      <c r="H51" s="22">
        <v>0.62083333333333335</v>
      </c>
      <c r="I51" s="22">
        <v>0.64861111111111114</v>
      </c>
      <c r="J51" s="22"/>
      <c r="K51" s="22"/>
      <c r="L51" s="27">
        <v>65</v>
      </c>
      <c r="M51" s="30">
        <v>59.984000000000002</v>
      </c>
      <c r="N51" s="27">
        <v>65</v>
      </c>
      <c r="O51" s="30">
        <v>46.783999999999999</v>
      </c>
      <c r="P51" s="27"/>
      <c r="Q51" s="30"/>
      <c r="R51" s="27"/>
      <c r="S51" s="30"/>
      <c r="T51" s="25">
        <f t="shared" si="8"/>
        <v>-65.999733333333339</v>
      </c>
      <c r="U51" s="25">
        <f t="shared" si="9"/>
        <v>-65.77973333333334</v>
      </c>
      <c r="V51" s="25">
        <f t="shared" si="10"/>
        <v>0</v>
      </c>
      <c r="W51" s="1">
        <f t="shared" si="11"/>
        <v>0</v>
      </c>
      <c r="X51" s="2" t="s">
        <v>31</v>
      </c>
      <c r="Y51" s="2">
        <v>0</v>
      </c>
      <c r="Z51" s="2">
        <v>19</v>
      </c>
      <c r="AA51" s="2"/>
      <c r="AB51" s="2"/>
      <c r="AC51" s="4"/>
    </row>
    <row r="52" spans="1:32" ht="13.5" customHeight="1">
      <c r="A52" s="2" t="s">
        <v>863</v>
      </c>
      <c r="B52" s="2" t="s">
        <v>107</v>
      </c>
      <c r="C52" s="3">
        <v>44979</v>
      </c>
      <c r="D52" s="40" t="s">
        <v>50</v>
      </c>
      <c r="E52" s="40" t="s">
        <v>43</v>
      </c>
      <c r="F52" s="40"/>
      <c r="G52" s="40"/>
      <c r="H52" s="22">
        <v>0.47916666666666669</v>
      </c>
      <c r="I52" s="22">
        <v>0.50138888888888888</v>
      </c>
      <c r="J52" s="22"/>
      <c r="K52" s="22"/>
      <c r="L52" s="27"/>
      <c r="M52" s="30"/>
      <c r="N52" s="27"/>
      <c r="O52" s="30"/>
      <c r="P52" s="27"/>
      <c r="Q52" s="30"/>
      <c r="R52" s="27"/>
      <c r="S52" s="30"/>
      <c r="T52" s="25">
        <v>-65.779600000000002</v>
      </c>
      <c r="U52" s="25">
        <v>-65.995999999999995</v>
      </c>
      <c r="W52" s="1"/>
      <c r="X52" s="2" t="s">
        <v>31</v>
      </c>
      <c r="Y52" s="2"/>
      <c r="Z52" s="2">
        <v>16</v>
      </c>
      <c r="AA52" s="2"/>
      <c r="AB52" s="2"/>
      <c r="AC52" s="4"/>
      <c r="AE52" s="2" t="s">
        <v>78</v>
      </c>
    </row>
    <row r="53" spans="1:32" ht="13.5" customHeight="1">
      <c r="A53" s="2" t="s">
        <v>863</v>
      </c>
      <c r="B53" s="2" t="s">
        <v>108</v>
      </c>
      <c r="C53" s="3">
        <v>44979</v>
      </c>
      <c r="D53" s="40" t="s">
        <v>50</v>
      </c>
      <c r="E53" s="40" t="s">
        <v>43</v>
      </c>
      <c r="F53" s="40"/>
      <c r="G53" s="40"/>
      <c r="H53" s="22">
        <v>0.78125</v>
      </c>
      <c r="I53" s="22">
        <v>0.79166666666666663</v>
      </c>
      <c r="J53" s="22"/>
      <c r="K53" s="22"/>
      <c r="L53" s="27"/>
      <c r="M53" s="30"/>
      <c r="N53" s="27"/>
      <c r="O53" s="30"/>
      <c r="P53" s="27"/>
      <c r="Q53" s="30"/>
      <c r="R53" s="27"/>
      <c r="S53" s="30"/>
      <c r="T53" s="25">
        <v>-65.468599999999995</v>
      </c>
      <c r="U53" s="25">
        <v>-65.995999999999995</v>
      </c>
      <c r="W53" s="1"/>
      <c r="X53" s="2" t="s">
        <v>31</v>
      </c>
      <c r="Y53" s="2"/>
      <c r="Z53" s="2">
        <v>0</v>
      </c>
      <c r="AA53" s="2"/>
      <c r="AB53" s="2"/>
      <c r="AC53" s="4"/>
    </row>
    <row r="54" spans="1:32" ht="13.5" customHeight="1">
      <c r="A54" s="2" t="s">
        <v>863</v>
      </c>
      <c r="B54" s="2" t="s">
        <v>109</v>
      </c>
      <c r="C54" s="3">
        <v>44979</v>
      </c>
      <c r="D54" s="3" t="s">
        <v>35</v>
      </c>
      <c r="E54" s="3" t="s">
        <v>46</v>
      </c>
      <c r="F54" s="3"/>
      <c r="G54" s="3"/>
      <c r="H54" s="22">
        <v>0.375</v>
      </c>
      <c r="I54" s="22">
        <v>0.40972222222222227</v>
      </c>
      <c r="J54" s="22"/>
      <c r="K54" s="22"/>
      <c r="L54" s="27">
        <v>66</v>
      </c>
      <c r="M54" s="30">
        <v>2.7E-2</v>
      </c>
      <c r="N54" s="27">
        <v>65</v>
      </c>
      <c r="O54" s="30">
        <v>46.75</v>
      </c>
      <c r="P54" s="27"/>
      <c r="Q54" s="30"/>
      <c r="R54" s="27"/>
      <c r="S54" s="30"/>
      <c r="T54" s="25">
        <f t="shared" ref="T54:T57" si="12">-(L54+M54/60)</f>
        <v>-66.000450000000001</v>
      </c>
      <c r="U54" s="25">
        <f t="shared" ref="U54:U57" si="13">-(N54+O54/60)</f>
        <v>-65.779166666666669</v>
      </c>
      <c r="V54" s="25">
        <f t="shared" ref="V54:V57" si="14">-(P54+Q54/60)</f>
        <v>0</v>
      </c>
      <c r="W54" s="1">
        <f t="shared" ref="W54:W57" si="15">-(R54+S54/60)</f>
        <v>0</v>
      </c>
      <c r="X54" s="2" t="s">
        <v>31</v>
      </c>
      <c r="Y54" s="2"/>
      <c r="Z54" s="2"/>
      <c r="AA54" s="2"/>
      <c r="AB54" s="2"/>
      <c r="AC54" s="4"/>
    </row>
    <row r="55" spans="1:32" ht="13.5" customHeight="1">
      <c r="A55" s="2" t="s">
        <v>863</v>
      </c>
      <c r="B55" s="2" t="s">
        <v>110</v>
      </c>
      <c r="C55" s="3">
        <v>44979</v>
      </c>
      <c r="D55" s="3" t="s">
        <v>58</v>
      </c>
      <c r="E55" s="3" t="s">
        <v>47</v>
      </c>
      <c r="F55" s="3"/>
      <c r="G55" s="3"/>
      <c r="H55" s="22">
        <v>0.39861111111111108</v>
      </c>
      <c r="I55" s="22">
        <v>0.41875000000000001</v>
      </c>
      <c r="J55" s="22"/>
      <c r="K55" s="22"/>
      <c r="L55" s="27">
        <v>66</v>
      </c>
      <c r="M55" s="30">
        <v>2.7E-2</v>
      </c>
      <c r="N55" s="27">
        <v>65</v>
      </c>
      <c r="O55" s="30">
        <v>46.75</v>
      </c>
      <c r="P55" s="27"/>
      <c r="Q55" s="30"/>
      <c r="R55" s="27"/>
      <c r="S55" s="30"/>
      <c r="T55" s="25">
        <f t="shared" si="12"/>
        <v>-66.000450000000001</v>
      </c>
      <c r="U55" s="25">
        <f t="shared" si="13"/>
        <v>-65.779166666666669</v>
      </c>
      <c r="V55" s="25">
        <f t="shared" si="14"/>
        <v>0</v>
      </c>
      <c r="W55" s="1">
        <f t="shared" si="15"/>
        <v>0</v>
      </c>
      <c r="X55" s="2" t="s">
        <v>31</v>
      </c>
      <c r="Y55" s="2"/>
      <c r="Z55" s="2"/>
      <c r="AA55" s="2"/>
      <c r="AB55" s="2"/>
      <c r="AC55" s="4"/>
    </row>
    <row r="56" spans="1:32" ht="13.5" customHeight="1">
      <c r="A56" s="2" t="s">
        <v>863</v>
      </c>
      <c r="B56" s="2" t="s">
        <v>111</v>
      </c>
      <c r="C56" s="3">
        <v>44979</v>
      </c>
      <c r="D56" s="3" t="s">
        <v>35</v>
      </c>
      <c r="E56" s="3" t="s">
        <v>46</v>
      </c>
      <c r="F56" s="3"/>
      <c r="G56" s="3"/>
      <c r="H56" s="22">
        <v>0.62152777777777779</v>
      </c>
      <c r="I56" s="22">
        <v>0.67222222222222217</v>
      </c>
      <c r="J56" s="22"/>
      <c r="K56" s="22"/>
      <c r="L56" s="27">
        <v>66</v>
      </c>
      <c r="M56" s="30">
        <v>2.7E-2</v>
      </c>
      <c r="N56" s="27">
        <v>65</v>
      </c>
      <c r="O56" s="30">
        <v>46.75</v>
      </c>
      <c r="P56" s="27"/>
      <c r="Q56" s="30"/>
      <c r="R56" s="27"/>
      <c r="S56" s="30"/>
      <c r="T56" s="25">
        <f t="shared" si="12"/>
        <v>-66.000450000000001</v>
      </c>
      <c r="U56" s="25">
        <f t="shared" si="13"/>
        <v>-65.779166666666669</v>
      </c>
      <c r="V56" s="25">
        <f t="shared" si="14"/>
        <v>0</v>
      </c>
      <c r="W56" s="1">
        <f t="shared" si="15"/>
        <v>0</v>
      </c>
      <c r="X56" s="2" t="s">
        <v>31</v>
      </c>
      <c r="Y56" s="2"/>
      <c r="Z56" s="2"/>
      <c r="AA56" s="2"/>
      <c r="AB56" s="2"/>
      <c r="AC56" s="4"/>
    </row>
    <row r="57" spans="1:32" ht="13.5" customHeight="1">
      <c r="A57" s="2" t="s">
        <v>863</v>
      </c>
      <c r="B57" s="2" t="s">
        <v>112</v>
      </c>
      <c r="C57" s="3">
        <v>44979</v>
      </c>
      <c r="D57" s="3" t="s">
        <v>58</v>
      </c>
      <c r="E57" s="3" t="s">
        <v>113</v>
      </c>
      <c r="F57" s="3"/>
      <c r="G57" s="3"/>
      <c r="H57" s="22">
        <v>0.41666666666666669</v>
      </c>
      <c r="I57" s="22">
        <v>0.4375</v>
      </c>
      <c r="J57" s="22"/>
      <c r="K57" s="22"/>
      <c r="L57" s="27">
        <v>66</v>
      </c>
      <c r="M57" s="30">
        <v>2.7E-2</v>
      </c>
      <c r="N57" s="27">
        <v>65</v>
      </c>
      <c r="O57" s="30">
        <v>46.75</v>
      </c>
      <c r="P57" s="27"/>
      <c r="Q57" s="30"/>
      <c r="R57" s="27"/>
      <c r="S57" s="30"/>
      <c r="T57" s="25">
        <f t="shared" si="12"/>
        <v>-66.000450000000001</v>
      </c>
      <c r="U57" s="25">
        <f t="shared" si="13"/>
        <v>-65.779166666666669</v>
      </c>
      <c r="V57" s="25">
        <f t="shared" si="14"/>
        <v>0</v>
      </c>
      <c r="W57" s="1">
        <f t="shared" si="15"/>
        <v>0</v>
      </c>
      <c r="X57" s="2" t="s">
        <v>31</v>
      </c>
      <c r="Y57" s="2"/>
      <c r="Z57" s="2"/>
      <c r="AA57" s="2"/>
      <c r="AB57" s="2"/>
      <c r="AC57" s="4"/>
    </row>
    <row r="58" spans="1:32" ht="13.5" customHeight="1">
      <c r="A58" s="2" t="s">
        <v>863</v>
      </c>
      <c r="B58" s="2" t="s">
        <v>114</v>
      </c>
      <c r="C58" s="3">
        <v>44980</v>
      </c>
      <c r="D58" s="40" t="s">
        <v>50</v>
      </c>
      <c r="E58" s="40" t="s">
        <v>43</v>
      </c>
      <c r="F58" s="40"/>
      <c r="G58" s="40"/>
      <c r="H58" s="22">
        <v>0.71944444444444444</v>
      </c>
      <c r="I58" s="22">
        <v>0.72291666666666676</v>
      </c>
      <c r="J58" s="22"/>
      <c r="K58" s="22"/>
      <c r="L58" s="27">
        <v>66</v>
      </c>
      <c r="M58" s="30">
        <v>0.02</v>
      </c>
      <c r="N58" s="27">
        <v>65</v>
      </c>
      <c r="O58" s="30">
        <v>47.68</v>
      </c>
      <c r="P58" s="27"/>
      <c r="Q58" s="30"/>
      <c r="R58" s="27"/>
      <c r="S58" s="30"/>
      <c r="T58" s="36">
        <f t="shared" ref="T58:T72" si="16">-(L58+M58/60)</f>
        <v>-66.00033333333333</v>
      </c>
      <c r="U58" s="36">
        <f t="shared" ref="U58:U72" si="17">-(N58+O58/60)</f>
        <v>-65.794666666666672</v>
      </c>
      <c r="V58" s="36">
        <f t="shared" ref="V58:V72" si="18">-(P58+Q58/60)</f>
        <v>0</v>
      </c>
      <c r="W58" s="37">
        <f t="shared" ref="W58:W72" si="19">-(R58+S58/60)</f>
        <v>0</v>
      </c>
      <c r="X58" s="32" t="s">
        <v>31</v>
      </c>
      <c r="Y58" s="2"/>
      <c r="Z58" s="2"/>
      <c r="AA58" s="2"/>
      <c r="AB58" s="2"/>
      <c r="AC58" s="4"/>
      <c r="AE58" s="2" t="s">
        <v>78</v>
      </c>
    </row>
    <row r="59" spans="1:32" ht="13.5" customHeight="1">
      <c r="A59" s="2" t="s">
        <v>863</v>
      </c>
      <c r="B59" s="2" t="s">
        <v>115</v>
      </c>
      <c r="C59" s="3">
        <v>44980</v>
      </c>
      <c r="D59" s="40" t="s">
        <v>50</v>
      </c>
      <c r="E59" s="40" t="s">
        <v>43</v>
      </c>
      <c r="F59" s="40"/>
      <c r="G59" s="40"/>
      <c r="H59" s="22">
        <v>0.72569444444444453</v>
      </c>
      <c r="I59" s="22">
        <v>0.72916666666666663</v>
      </c>
      <c r="J59" s="22"/>
      <c r="K59" s="22"/>
      <c r="L59" s="27">
        <v>65</v>
      </c>
      <c r="M59" s="30">
        <v>59.99</v>
      </c>
      <c r="N59" s="27">
        <v>65</v>
      </c>
      <c r="O59" s="30">
        <v>47.92</v>
      </c>
      <c r="P59" s="27"/>
      <c r="Q59" s="30"/>
      <c r="R59" s="27"/>
      <c r="S59" s="30"/>
      <c r="T59" s="36">
        <f t="shared" si="16"/>
        <v>-65.999833333333328</v>
      </c>
      <c r="U59" s="36">
        <f t="shared" si="17"/>
        <v>-65.798666666666662</v>
      </c>
      <c r="V59" s="36">
        <f t="shared" si="18"/>
        <v>0</v>
      </c>
      <c r="W59" s="37">
        <f t="shared" si="19"/>
        <v>0</v>
      </c>
      <c r="X59" s="32" t="s">
        <v>31</v>
      </c>
      <c r="Y59" s="2"/>
      <c r="Z59" s="2"/>
      <c r="AA59" s="2"/>
      <c r="AB59" s="2"/>
      <c r="AC59" s="4"/>
      <c r="AE59" s="2" t="s">
        <v>78</v>
      </c>
    </row>
    <row r="60" spans="1:32" ht="13.5" customHeight="1">
      <c r="A60" s="2" t="s">
        <v>863</v>
      </c>
      <c r="B60" s="2" t="s">
        <v>116</v>
      </c>
      <c r="C60" s="3">
        <v>44980</v>
      </c>
      <c r="D60" s="40" t="s">
        <v>50</v>
      </c>
      <c r="E60" s="40" t="s">
        <v>43</v>
      </c>
      <c r="F60" s="40"/>
      <c r="G60" s="40"/>
      <c r="H60" s="22">
        <v>0.73263888888888884</v>
      </c>
      <c r="I60" s="22">
        <v>0.73611111111111116</v>
      </c>
      <c r="J60" s="22"/>
      <c r="K60" s="22"/>
      <c r="L60" s="27">
        <v>65</v>
      </c>
      <c r="M60" s="30">
        <v>59.72</v>
      </c>
      <c r="N60" s="27">
        <v>65</v>
      </c>
      <c r="O60" s="30">
        <v>46.74</v>
      </c>
      <c r="P60" s="27"/>
      <c r="Q60" s="30"/>
      <c r="R60" s="27"/>
      <c r="S60" s="30"/>
      <c r="T60" s="36">
        <f t="shared" si="16"/>
        <v>-65.995333333333335</v>
      </c>
      <c r="U60" s="36">
        <f t="shared" si="17"/>
        <v>-65.778999999999996</v>
      </c>
      <c r="V60" s="36">
        <f t="shared" si="18"/>
        <v>0</v>
      </c>
      <c r="W60" s="37">
        <f t="shared" si="19"/>
        <v>0</v>
      </c>
      <c r="X60" s="32" t="s">
        <v>31</v>
      </c>
      <c r="Y60" s="2"/>
      <c r="Z60" s="2"/>
      <c r="AA60" s="2"/>
      <c r="AB60" s="2"/>
      <c r="AC60" s="4"/>
      <c r="AE60" s="2" t="s">
        <v>78</v>
      </c>
    </row>
    <row r="61" spans="1:32" ht="13.5" customHeight="1">
      <c r="A61" s="2" t="s">
        <v>863</v>
      </c>
      <c r="B61" s="2" t="s">
        <v>117</v>
      </c>
      <c r="C61" s="3">
        <v>44980</v>
      </c>
      <c r="D61" s="40" t="s">
        <v>50</v>
      </c>
      <c r="E61" s="40" t="s">
        <v>43</v>
      </c>
      <c r="F61" s="40"/>
      <c r="G61" s="40"/>
      <c r="H61" s="22">
        <v>0.73819444444444438</v>
      </c>
      <c r="I61" s="22">
        <v>0.7416666666666667</v>
      </c>
      <c r="J61" s="22"/>
      <c r="K61" s="22"/>
      <c r="L61" s="27">
        <v>65</v>
      </c>
      <c r="M61" s="30">
        <v>59.85</v>
      </c>
      <c r="N61" s="27">
        <v>65</v>
      </c>
      <c r="O61" s="30">
        <v>46.43</v>
      </c>
      <c r="P61" s="27"/>
      <c r="Q61" s="30"/>
      <c r="R61" s="27"/>
      <c r="S61" s="30"/>
      <c r="T61" s="36">
        <f t="shared" si="16"/>
        <v>-65.997500000000002</v>
      </c>
      <c r="U61" s="36">
        <f t="shared" si="17"/>
        <v>-65.773833333333329</v>
      </c>
      <c r="V61" s="36">
        <f t="shared" si="18"/>
        <v>0</v>
      </c>
      <c r="W61" s="37">
        <f t="shared" si="19"/>
        <v>0</v>
      </c>
      <c r="X61" s="32" t="s">
        <v>31</v>
      </c>
      <c r="Y61" s="2"/>
      <c r="Z61" s="2"/>
      <c r="AA61" s="2"/>
      <c r="AB61" s="2"/>
      <c r="AC61" s="4"/>
      <c r="AE61" s="2" t="s">
        <v>78</v>
      </c>
    </row>
    <row r="62" spans="1:32" ht="13.5" customHeight="1">
      <c r="A62" s="2" t="s">
        <v>863</v>
      </c>
      <c r="B62" s="2" t="s">
        <v>118</v>
      </c>
      <c r="C62" s="3">
        <v>44980</v>
      </c>
      <c r="D62" s="40" t="s">
        <v>50</v>
      </c>
      <c r="E62" s="40" t="s">
        <v>43</v>
      </c>
      <c r="F62" s="40"/>
      <c r="G62" s="40"/>
      <c r="H62" s="22">
        <v>0.74305555555555547</v>
      </c>
      <c r="I62" s="22">
        <v>0.74652777777777779</v>
      </c>
      <c r="J62" s="22"/>
      <c r="K62" s="22"/>
      <c r="L62" s="27">
        <v>65</v>
      </c>
      <c r="M62" s="30">
        <v>59.93</v>
      </c>
      <c r="N62" s="27">
        <v>65</v>
      </c>
      <c r="O62" s="30">
        <v>46.28</v>
      </c>
      <c r="P62" s="27"/>
      <c r="Q62" s="30"/>
      <c r="R62" s="27"/>
      <c r="S62" s="30"/>
      <c r="T62" s="36">
        <f t="shared" si="16"/>
        <v>-65.998833333333337</v>
      </c>
      <c r="U62" s="36">
        <f t="shared" si="17"/>
        <v>-65.771333333333331</v>
      </c>
      <c r="V62" s="36">
        <f t="shared" si="18"/>
        <v>0</v>
      </c>
      <c r="W62" s="37">
        <f t="shared" si="19"/>
        <v>0</v>
      </c>
      <c r="X62" s="32" t="s">
        <v>31</v>
      </c>
      <c r="Y62" s="2"/>
      <c r="Z62" s="2"/>
      <c r="AA62" s="2"/>
      <c r="AB62" s="2"/>
      <c r="AC62" s="4"/>
      <c r="AE62" s="2" t="s">
        <v>78</v>
      </c>
    </row>
    <row r="63" spans="1:32" ht="13.5" customHeight="1">
      <c r="A63" s="2" t="s">
        <v>863</v>
      </c>
      <c r="B63" s="2" t="s">
        <v>119</v>
      </c>
      <c r="C63" s="3">
        <v>44980</v>
      </c>
      <c r="D63" s="3" t="s">
        <v>30</v>
      </c>
      <c r="E63" s="3"/>
      <c r="F63" s="3"/>
      <c r="G63" s="3"/>
      <c r="H63" s="22">
        <v>0.69166666666666676</v>
      </c>
      <c r="I63" s="22">
        <v>0.7284722222222223</v>
      </c>
      <c r="J63" s="22"/>
      <c r="K63" s="22"/>
      <c r="L63" s="27">
        <v>66</v>
      </c>
      <c r="M63" s="30">
        <v>2.7E-2</v>
      </c>
      <c r="N63" s="27">
        <v>65</v>
      </c>
      <c r="O63" s="30">
        <v>46.75</v>
      </c>
      <c r="P63" s="27"/>
      <c r="Q63" s="30"/>
      <c r="R63" s="27"/>
      <c r="S63" s="30"/>
      <c r="T63" s="25">
        <f t="shared" si="16"/>
        <v>-66.000450000000001</v>
      </c>
      <c r="U63" s="25">
        <f t="shared" si="17"/>
        <v>-65.779166666666669</v>
      </c>
      <c r="V63" s="25">
        <f t="shared" si="18"/>
        <v>0</v>
      </c>
      <c r="W63" s="1">
        <f t="shared" si="19"/>
        <v>0</v>
      </c>
      <c r="X63" s="2" t="s">
        <v>31</v>
      </c>
      <c r="Y63" s="2"/>
      <c r="Z63" s="2"/>
      <c r="AA63" s="2">
        <v>75</v>
      </c>
      <c r="AB63" s="2"/>
      <c r="AC63" s="4" t="s">
        <v>1113</v>
      </c>
      <c r="AE63" s="2" t="s">
        <v>32</v>
      </c>
      <c r="AF63" s="2" t="s">
        <v>73</v>
      </c>
    </row>
    <row r="64" spans="1:32" ht="13.5" customHeight="1">
      <c r="A64" s="2" t="s">
        <v>863</v>
      </c>
      <c r="B64" s="2" t="s">
        <v>120</v>
      </c>
      <c r="C64" s="3">
        <v>44980</v>
      </c>
      <c r="D64" s="3" t="s">
        <v>30</v>
      </c>
      <c r="E64" s="3"/>
      <c r="F64" s="3"/>
      <c r="G64" s="3"/>
      <c r="H64" s="22">
        <v>0.73888888888888893</v>
      </c>
      <c r="I64" s="22">
        <v>0.75277777777777777</v>
      </c>
      <c r="J64" s="22"/>
      <c r="K64" s="22"/>
      <c r="L64" s="27">
        <v>66</v>
      </c>
      <c r="M64" s="30">
        <v>2.7E-2</v>
      </c>
      <c r="N64" s="27">
        <v>65</v>
      </c>
      <c r="O64" s="30">
        <v>46.75</v>
      </c>
      <c r="P64" s="27"/>
      <c r="Q64" s="30"/>
      <c r="R64" s="27"/>
      <c r="S64" s="30"/>
      <c r="T64" s="25">
        <f t="shared" si="16"/>
        <v>-66.000450000000001</v>
      </c>
      <c r="U64" s="25">
        <f t="shared" si="17"/>
        <v>-65.779166666666669</v>
      </c>
      <c r="V64" s="25">
        <f t="shared" si="18"/>
        <v>0</v>
      </c>
      <c r="W64" s="1">
        <f t="shared" si="19"/>
        <v>0</v>
      </c>
      <c r="X64" s="2" t="s">
        <v>31</v>
      </c>
      <c r="Y64" s="2"/>
      <c r="Z64" s="2"/>
      <c r="AA64" s="2">
        <v>75</v>
      </c>
      <c r="AB64" s="2"/>
      <c r="AC64" s="4" t="s">
        <v>1113</v>
      </c>
      <c r="AE64" s="2" t="s">
        <v>32</v>
      </c>
      <c r="AF64" s="2" t="s">
        <v>73</v>
      </c>
    </row>
    <row r="65" spans="1:32" ht="13.5" customHeight="1">
      <c r="A65" s="2" t="s">
        <v>863</v>
      </c>
      <c r="B65" s="2" t="s">
        <v>121</v>
      </c>
      <c r="C65" s="3">
        <v>44980</v>
      </c>
      <c r="D65" s="3" t="s">
        <v>62</v>
      </c>
      <c r="E65" s="3" t="s">
        <v>35</v>
      </c>
      <c r="F65" s="3"/>
      <c r="G65" s="3"/>
      <c r="H65" s="22">
        <v>0.40625</v>
      </c>
      <c r="I65" s="22">
        <v>0.43402777777777773</v>
      </c>
      <c r="J65" s="22"/>
      <c r="K65" s="22"/>
      <c r="L65" s="27">
        <v>65</v>
      </c>
      <c r="M65" s="30">
        <v>59.85</v>
      </c>
      <c r="N65" s="27">
        <v>65</v>
      </c>
      <c r="O65" s="30">
        <v>47.405999999999999</v>
      </c>
      <c r="P65" s="27"/>
      <c r="Q65" s="30"/>
      <c r="R65" s="27"/>
      <c r="S65" s="30"/>
      <c r="T65" s="36">
        <f t="shared" si="16"/>
        <v>-65.997500000000002</v>
      </c>
      <c r="U65" s="36">
        <f t="shared" si="17"/>
        <v>-65.790099999999995</v>
      </c>
      <c r="V65" s="36">
        <f t="shared" si="18"/>
        <v>0</v>
      </c>
      <c r="W65" s="37">
        <f t="shared" si="19"/>
        <v>0</v>
      </c>
      <c r="X65" s="32" t="s">
        <v>31</v>
      </c>
      <c r="Y65" s="2">
        <v>0</v>
      </c>
      <c r="Z65" s="2">
        <v>13</v>
      </c>
      <c r="AA65" s="2"/>
      <c r="AB65" s="2"/>
      <c r="AC65" s="4"/>
    </row>
    <row r="66" spans="1:32" ht="13.5" customHeight="1">
      <c r="A66" s="2" t="s">
        <v>863</v>
      </c>
      <c r="B66" s="2" t="s">
        <v>122</v>
      </c>
      <c r="C66" s="3">
        <v>44980</v>
      </c>
      <c r="D66" s="3" t="s">
        <v>47</v>
      </c>
      <c r="E66" s="3" t="s">
        <v>58</v>
      </c>
      <c r="F66" s="3"/>
      <c r="G66" s="3"/>
      <c r="H66" s="22">
        <v>0.66666666666666663</v>
      </c>
      <c r="I66" s="22">
        <v>0.69097222222222221</v>
      </c>
      <c r="J66" s="22"/>
      <c r="K66" s="22"/>
      <c r="L66" s="27">
        <v>65</v>
      </c>
      <c r="M66" s="30">
        <v>59.9</v>
      </c>
      <c r="N66" s="27">
        <v>65</v>
      </c>
      <c r="O66" s="30">
        <v>47.386000000000003</v>
      </c>
      <c r="P66" s="27"/>
      <c r="Q66" s="30"/>
      <c r="R66" s="27"/>
      <c r="S66" s="30"/>
      <c r="T66" s="36">
        <f t="shared" si="16"/>
        <v>-65.998333333333335</v>
      </c>
      <c r="U66" s="36">
        <f t="shared" si="17"/>
        <v>-65.789766666666665</v>
      </c>
      <c r="V66" s="36">
        <f t="shared" si="18"/>
        <v>0</v>
      </c>
      <c r="W66" s="37">
        <f t="shared" si="19"/>
        <v>0</v>
      </c>
      <c r="X66" s="32" t="s">
        <v>31</v>
      </c>
      <c r="Y66" s="2">
        <v>0</v>
      </c>
      <c r="Z66" s="2">
        <v>17.899999999999999</v>
      </c>
      <c r="AA66" s="2"/>
      <c r="AB66" s="2"/>
      <c r="AC66" s="4"/>
    </row>
    <row r="67" spans="1:32" ht="13.5" customHeight="1">
      <c r="A67" s="2" t="s">
        <v>863</v>
      </c>
      <c r="B67" s="2" t="s">
        <v>123</v>
      </c>
      <c r="C67" s="3">
        <v>44980</v>
      </c>
      <c r="D67" s="40" t="s">
        <v>50</v>
      </c>
      <c r="E67" s="40" t="s">
        <v>43</v>
      </c>
      <c r="F67" s="40"/>
      <c r="G67" s="40"/>
      <c r="H67" s="22">
        <v>0.49444444444444446</v>
      </c>
      <c r="I67" s="22">
        <v>0.49652777777777773</v>
      </c>
      <c r="J67" s="22"/>
      <c r="K67" s="22"/>
      <c r="L67" s="27">
        <v>66</v>
      </c>
      <c r="M67" s="30">
        <v>2.7E-2</v>
      </c>
      <c r="N67" s="27">
        <v>65</v>
      </c>
      <c r="O67" s="30">
        <v>46.75</v>
      </c>
      <c r="P67" s="27"/>
      <c r="Q67" s="30"/>
      <c r="R67" s="27"/>
      <c r="S67" s="30"/>
      <c r="T67" s="36">
        <f t="shared" si="16"/>
        <v>-66.000450000000001</v>
      </c>
      <c r="U67" s="36">
        <f t="shared" si="17"/>
        <v>-65.779166666666669</v>
      </c>
      <c r="V67" s="36">
        <f t="shared" si="18"/>
        <v>0</v>
      </c>
      <c r="W67" s="37">
        <f t="shared" si="19"/>
        <v>0</v>
      </c>
      <c r="X67" s="32" t="s">
        <v>31</v>
      </c>
      <c r="Y67" s="2"/>
      <c r="Z67" s="2"/>
      <c r="AA67" s="2"/>
      <c r="AB67" s="2"/>
      <c r="AC67" s="4"/>
    </row>
    <row r="68" spans="1:32" ht="13.5" customHeight="1">
      <c r="A68" s="2" t="s">
        <v>863</v>
      </c>
      <c r="B68" s="2" t="s">
        <v>124</v>
      </c>
      <c r="C68" s="3">
        <v>44980</v>
      </c>
      <c r="D68" s="40" t="s">
        <v>50</v>
      </c>
      <c r="E68" s="40" t="s">
        <v>43</v>
      </c>
      <c r="F68" s="40"/>
      <c r="G68" s="40"/>
      <c r="H68" s="22">
        <v>0.51944444444444449</v>
      </c>
      <c r="I68" s="22">
        <v>0.52986111111111112</v>
      </c>
      <c r="J68" s="22"/>
      <c r="K68" s="22"/>
      <c r="L68" s="27">
        <v>66</v>
      </c>
      <c r="M68" s="30">
        <v>2.7E-2</v>
      </c>
      <c r="N68" s="27">
        <v>65</v>
      </c>
      <c r="O68" s="30">
        <v>46.75</v>
      </c>
      <c r="P68" s="27"/>
      <c r="Q68" s="30"/>
      <c r="R68" s="27"/>
      <c r="S68" s="30"/>
      <c r="T68" s="36">
        <f t="shared" si="16"/>
        <v>-66.000450000000001</v>
      </c>
      <c r="U68" s="36">
        <f t="shared" si="17"/>
        <v>-65.779166666666669</v>
      </c>
      <c r="V68" s="36">
        <f t="shared" si="18"/>
        <v>0</v>
      </c>
      <c r="W68" s="37">
        <f t="shared" si="19"/>
        <v>0</v>
      </c>
      <c r="X68" s="32" t="s">
        <v>31</v>
      </c>
      <c r="Y68" s="2"/>
      <c r="Z68" s="2"/>
      <c r="AA68" s="2"/>
      <c r="AB68" s="2"/>
      <c r="AC68" s="4"/>
      <c r="AE68" s="2" t="s">
        <v>78</v>
      </c>
    </row>
    <row r="69" spans="1:32" ht="13.5" customHeight="1">
      <c r="A69" s="2" t="s">
        <v>863</v>
      </c>
      <c r="B69" s="2" t="s">
        <v>125</v>
      </c>
      <c r="C69" s="3">
        <v>44980</v>
      </c>
      <c r="D69" s="3" t="s">
        <v>35</v>
      </c>
      <c r="E69" s="3" t="s">
        <v>30</v>
      </c>
      <c r="F69" s="3"/>
      <c r="G69" s="3"/>
      <c r="H69" s="22">
        <v>0.63888888888888895</v>
      </c>
      <c r="I69" s="22">
        <v>0.68055555555555547</v>
      </c>
      <c r="J69" s="22"/>
      <c r="K69" s="22"/>
      <c r="L69" s="27">
        <v>65</v>
      </c>
      <c r="M69" s="30">
        <v>59.99</v>
      </c>
      <c r="N69" s="27">
        <v>65</v>
      </c>
      <c r="O69" s="30">
        <v>47.085999999999999</v>
      </c>
      <c r="P69" s="27"/>
      <c r="Q69" s="30"/>
      <c r="R69" s="27"/>
      <c r="S69" s="30"/>
      <c r="T69" s="36">
        <f t="shared" si="16"/>
        <v>-65.999833333333328</v>
      </c>
      <c r="U69" s="36">
        <f t="shared" si="17"/>
        <v>-65.78476666666667</v>
      </c>
      <c r="V69" s="36">
        <f t="shared" si="18"/>
        <v>0</v>
      </c>
      <c r="W69" s="37">
        <f t="shared" si="19"/>
        <v>0</v>
      </c>
      <c r="X69" s="32" t="s">
        <v>31</v>
      </c>
      <c r="Y69" s="2"/>
      <c r="Z69" s="2"/>
      <c r="AA69" s="2"/>
      <c r="AB69" s="2"/>
      <c r="AC69" s="4"/>
    </row>
    <row r="70" spans="1:32" ht="13.5" customHeight="1">
      <c r="A70" s="2" t="s">
        <v>863</v>
      </c>
      <c r="B70" s="2" t="s">
        <v>126</v>
      </c>
      <c r="C70" s="3">
        <v>44980</v>
      </c>
      <c r="D70" s="40" t="s">
        <v>50</v>
      </c>
      <c r="E70" s="40" t="s">
        <v>43</v>
      </c>
      <c r="F70" s="40"/>
      <c r="G70" s="40"/>
      <c r="H70" s="22">
        <v>0.75486111111111109</v>
      </c>
      <c r="I70" s="22">
        <v>0.76874999999999993</v>
      </c>
      <c r="J70" s="22"/>
      <c r="K70" s="22"/>
      <c r="L70" s="27">
        <v>65</v>
      </c>
      <c r="M70" s="30">
        <v>59.94</v>
      </c>
      <c r="N70" s="27">
        <v>65</v>
      </c>
      <c r="O70" s="30">
        <v>46.87</v>
      </c>
      <c r="P70" s="27"/>
      <c r="Q70" s="30"/>
      <c r="R70" s="27"/>
      <c r="S70" s="30"/>
      <c r="T70" s="36">
        <f t="shared" si="16"/>
        <v>-65.998999999999995</v>
      </c>
      <c r="U70" s="36">
        <f t="shared" si="17"/>
        <v>-65.781166666666664</v>
      </c>
      <c r="V70" s="36">
        <f t="shared" si="18"/>
        <v>0</v>
      </c>
      <c r="W70" s="37">
        <f t="shared" si="19"/>
        <v>0</v>
      </c>
      <c r="X70" s="32" t="s">
        <v>31</v>
      </c>
      <c r="Y70" s="2"/>
      <c r="Z70" s="2"/>
      <c r="AA70" s="2"/>
      <c r="AB70" s="2"/>
      <c r="AC70" s="4"/>
    </row>
    <row r="71" spans="1:32" ht="13.5" customHeight="1">
      <c r="A71" s="2" t="s">
        <v>863</v>
      </c>
      <c r="B71" s="2" t="s">
        <v>127</v>
      </c>
      <c r="C71" s="3">
        <v>44980</v>
      </c>
      <c r="D71" s="3" t="s">
        <v>46</v>
      </c>
      <c r="E71" s="3"/>
      <c r="F71" s="3"/>
      <c r="G71" s="3"/>
      <c r="H71" s="22">
        <v>0.64583333333333337</v>
      </c>
      <c r="I71" s="22">
        <v>0.65972222222222221</v>
      </c>
      <c r="J71" s="22"/>
      <c r="K71" s="22"/>
      <c r="L71" s="27">
        <v>66</v>
      </c>
      <c r="M71" s="30">
        <v>0.47799999999999998</v>
      </c>
      <c r="N71" s="27">
        <v>65</v>
      </c>
      <c r="O71" s="30">
        <v>46.527000000000001</v>
      </c>
      <c r="P71" s="27">
        <v>66</v>
      </c>
      <c r="Q71" s="30">
        <v>0.41799999999999998</v>
      </c>
      <c r="R71" s="27">
        <v>65</v>
      </c>
      <c r="S71" s="30">
        <v>46.572000000000003</v>
      </c>
      <c r="T71" s="36">
        <f t="shared" si="16"/>
        <v>-66.007966666666661</v>
      </c>
      <c r="U71" s="36">
        <f t="shared" si="17"/>
        <v>-65.775450000000006</v>
      </c>
      <c r="V71" s="36">
        <f t="shared" si="18"/>
        <v>-66.006966666666671</v>
      </c>
      <c r="W71" s="37">
        <f t="shared" si="19"/>
        <v>-65.776200000000003</v>
      </c>
      <c r="X71" s="32" t="s">
        <v>31</v>
      </c>
      <c r="Y71" s="2">
        <v>38</v>
      </c>
      <c r="Z71" s="2">
        <v>58</v>
      </c>
      <c r="AB71" s="2"/>
      <c r="AC71" s="4"/>
    </row>
    <row r="72" spans="1:32" ht="13.5" customHeight="1">
      <c r="A72" s="2" t="s">
        <v>863</v>
      </c>
      <c r="B72" s="2" t="s">
        <v>128</v>
      </c>
      <c r="C72" s="3">
        <v>44980</v>
      </c>
      <c r="D72" s="3"/>
      <c r="E72" s="3" t="s">
        <v>58</v>
      </c>
      <c r="F72" s="3"/>
      <c r="G72" s="3"/>
      <c r="H72" s="22">
        <v>0.4916666666666667</v>
      </c>
      <c r="I72" s="22">
        <v>0.50416666666666665</v>
      </c>
      <c r="J72" s="22"/>
      <c r="K72" s="22"/>
      <c r="L72" s="27">
        <v>65</v>
      </c>
      <c r="M72" s="30">
        <v>59.9</v>
      </c>
      <c r="N72" s="27">
        <v>65</v>
      </c>
      <c r="O72" s="30">
        <v>47.386000000000003</v>
      </c>
      <c r="P72" s="27"/>
      <c r="Q72" s="30"/>
      <c r="R72" s="27"/>
      <c r="S72" s="30"/>
      <c r="T72" s="36">
        <f t="shared" si="16"/>
        <v>-65.998333333333335</v>
      </c>
      <c r="U72" s="36">
        <f t="shared" si="17"/>
        <v>-65.789766666666665</v>
      </c>
      <c r="V72" s="36">
        <f t="shared" si="18"/>
        <v>0</v>
      </c>
      <c r="W72" s="37">
        <f t="shared" si="19"/>
        <v>0</v>
      </c>
      <c r="X72" s="32" t="s">
        <v>31</v>
      </c>
      <c r="Y72" s="2">
        <v>0</v>
      </c>
      <c r="Z72" s="2">
        <v>17.100000000000001</v>
      </c>
      <c r="AA72" s="2"/>
      <c r="AB72" s="2"/>
      <c r="AC72" s="4"/>
    </row>
    <row r="73" spans="1:32" ht="13.5" customHeight="1">
      <c r="A73" s="2" t="s">
        <v>863</v>
      </c>
      <c r="B73" s="2" t="s">
        <v>129</v>
      </c>
      <c r="C73" s="3">
        <v>44981</v>
      </c>
      <c r="D73" s="3" t="s">
        <v>47</v>
      </c>
      <c r="E73" s="3" t="s">
        <v>62</v>
      </c>
      <c r="F73" s="3"/>
      <c r="G73" s="3"/>
      <c r="H73" s="22">
        <v>0.39583333333333331</v>
      </c>
      <c r="I73" s="22">
        <v>0.4284722222222222</v>
      </c>
      <c r="J73" s="22"/>
      <c r="K73" s="22"/>
      <c r="L73" s="27">
        <v>65</v>
      </c>
      <c r="M73" s="30">
        <v>59.9</v>
      </c>
      <c r="N73" s="27">
        <v>65</v>
      </c>
      <c r="O73" s="30">
        <v>47.386000000000003</v>
      </c>
      <c r="P73" s="27"/>
      <c r="Q73" s="30"/>
      <c r="R73" s="27"/>
      <c r="S73" s="30"/>
      <c r="T73" s="25">
        <f t="shared" ref="T73" si="20">-(L73+M73/60)</f>
        <v>-65.998333333333335</v>
      </c>
      <c r="U73" s="25">
        <f t="shared" ref="U73" si="21">-(N73+O73/60)</f>
        <v>-65.789766666666665</v>
      </c>
      <c r="V73" s="25">
        <f t="shared" ref="V73" si="22">-(P73+Q73/60)</f>
        <v>0</v>
      </c>
      <c r="W73" s="1">
        <f t="shared" ref="W73" si="23">-(R73+S73/60)</f>
        <v>0</v>
      </c>
      <c r="X73" s="2" t="s">
        <v>31</v>
      </c>
      <c r="Y73" s="2"/>
      <c r="Z73" s="2"/>
      <c r="AA73" s="2"/>
      <c r="AB73" s="2"/>
      <c r="AC73" s="4"/>
    </row>
    <row r="74" spans="1:32" ht="13.5" customHeight="1">
      <c r="A74" s="2" t="s">
        <v>863</v>
      </c>
      <c r="B74" s="2" t="s">
        <v>130</v>
      </c>
      <c r="C74" s="3">
        <v>44981</v>
      </c>
      <c r="D74" s="3" t="s">
        <v>46</v>
      </c>
      <c r="E74" s="3"/>
      <c r="F74" s="3"/>
      <c r="G74" s="3"/>
      <c r="H74" s="22">
        <v>0.5</v>
      </c>
      <c r="I74" s="22"/>
      <c r="J74" s="22"/>
      <c r="K74" s="22"/>
      <c r="L74" s="27">
        <v>65</v>
      </c>
      <c r="M74" s="30">
        <v>59.9</v>
      </c>
      <c r="N74" s="27">
        <v>65</v>
      </c>
      <c r="O74" s="30">
        <v>47.386000000000003</v>
      </c>
      <c r="P74" s="27"/>
      <c r="Q74" s="30"/>
      <c r="R74" s="27"/>
      <c r="S74" s="30"/>
      <c r="T74" s="25">
        <f t="shared" ref="T74:T85" si="24">-(L74+M74/60)</f>
        <v>-65.998333333333335</v>
      </c>
      <c r="U74" s="25">
        <f t="shared" ref="U74:U85" si="25">-(N74+O74/60)</f>
        <v>-65.789766666666665</v>
      </c>
      <c r="V74" s="25">
        <f t="shared" ref="V74:V85" si="26">-(P74+Q74/60)</f>
        <v>0</v>
      </c>
      <c r="W74" s="1">
        <f t="shared" ref="W74:W85" si="27">-(R74+S74/60)</f>
        <v>0</v>
      </c>
      <c r="X74" s="2" t="s">
        <v>31</v>
      </c>
      <c r="Y74" s="2"/>
      <c r="Z74" s="2"/>
      <c r="AA74" s="2"/>
      <c r="AB74" s="2"/>
      <c r="AC74" s="4"/>
    </row>
    <row r="75" spans="1:32" ht="13.5" customHeight="1">
      <c r="A75" s="2" t="s">
        <v>863</v>
      </c>
      <c r="B75" s="2" t="s">
        <v>131</v>
      </c>
      <c r="C75" s="3">
        <v>44981</v>
      </c>
      <c r="D75" s="3" t="s">
        <v>35</v>
      </c>
      <c r="E75" s="3"/>
      <c r="F75" s="3"/>
      <c r="G75" s="3"/>
      <c r="H75" s="22">
        <v>0.61805555555555558</v>
      </c>
      <c r="I75" s="22">
        <v>0.63194444444444442</v>
      </c>
      <c r="J75" s="22"/>
      <c r="K75" s="22"/>
      <c r="L75" s="44"/>
      <c r="M75" s="45"/>
      <c r="N75" s="44"/>
      <c r="O75" s="45"/>
      <c r="P75" s="27"/>
      <c r="Q75" s="30"/>
      <c r="R75" s="27"/>
      <c r="S75" s="30"/>
      <c r="T75" s="25">
        <f t="shared" si="24"/>
        <v>0</v>
      </c>
      <c r="U75" s="25">
        <f t="shared" si="25"/>
        <v>0</v>
      </c>
      <c r="V75" s="25">
        <f t="shared" si="26"/>
        <v>0</v>
      </c>
      <c r="W75" s="1">
        <f t="shared" si="27"/>
        <v>0</v>
      </c>
      <c r="X75" s="2" t="s">
        <v>31</v>
      </c>
      <c r="Y75" s="2"/>
      <c r="Z75" s="2"/>
      <c r="AA75" s="2"/>
      <c r="AB75" s="2"/>
      <c r="AC75" s="4"/>
    </row>
    <row r="76" spans="1:32" ht="13.5" customHeight="1">
      <c r="A76" s="2" t="s">
        <v>863</v>
      </c>
      <c r="B76" s="2" t="s">
        <v>132</v>
      </c>
      <c r="C76" s="3">
        <v>44981</v>
      </c>
      <c r="D76" s="3" t="s">
        <v>30</v>
      </c>
      <c r="E76" s="3" t="s">
        <v>47</v>
      </c>
      <c r="F76" s="3"/>
      <c r="G76" s="3"/>
      <c r="H76" s="22">
        <v>0.58333333333333337</v>
      </c>
      <c r="I76" s="22">
        <v>0.60416666666666663</v>
      </c>
      <c r="J76" s="22"/>
      <c r="K76" s="22"/>
      <c r="L76" s="27">
        <v>65</v>
      </c>
      <c r="M76" s="30">
        <v>59.85</v>
      </c>
      <c r="N76" s="27">
        <v>65</v>
      </c>
      <c r="O76" s="30">
        <v>47.405999999999999</v>
      </c>
      <c r="P76" s="27"/>
      <c r="Q76" s="30"/>
      <c r="R76" s="27"/>
      <c r="S76" s="30"/>
      <c r="T76" s="25">
        <f t="shared" si="24"/>
        <v>-65.997500000000002</v>
      </c>
      <c r="U76" s="25">
        <f t="shared" si="25"/>
        <v>-65.790099999999995</v>
      </c>
      <c r="V76" s="25">
        <f t="shared" si="26"/>
        <v>0</v>
      </c>
      <c r="W76" s="1">
        <f t="shared" si="27"/>
        <v>0</v>
      </c>
      <c r="X76" s="2" t="s">
        <v>31</v>
      </c>
      <c r="Y76" s="2"/>
      <c r="Z76" s="2"/>
      <c r="AA76" s="2"/>
      <c r="AB76" s="2"/>
      <c r="AC76" s="4"/>
      <c r="AF76" s="2" t="s">
        <v>133</v>
      </c>
    </row>
    <row r="77" spans="1:32" ht="13.5" customHeight="1">
      <c r="A77" s="2" t="s">
        <v>863</v>
      </c>
      <c r="B77" s="2" t="s">
        <v>134</v>
      </c>
      <c r="C77" s="3">
        <v>44981</v>
      </c>
      <c r="D77" s="3" t="s">
        <v>58</v>
      </c>
      <c r="E77" s="3"/>
      <c r="F77" s="3"/>
      <c r="G77" s="3"/>
      <c r="H77" s="22">
        <v>0.58333333333333337</v>
      </c>
      <c r="I77" s="22">
        <v>0.60416666666666663</v>
      </c>
      <c r="J77" s="22"/>
      <c r="K77" s="22"/>
      <c r="L77" s="27">
        <v>65</v>
      </c>
      <c r="M77" s="30">
        <v>59.85</v>
      </c>
      <c r="N77" s="27">
        <v>65</v>
      </c>
      <c r="O77" s="30">
        <v>47.405999999999999</v>
      </c>
      <c r="P77" s="27"/>
      <c r="Q77" s="30"/>
      <c r="R77" s="27"/>
      <c r="S77" s="30"/>
      <c r="T77" s="25">
        <f t="shared" si="24"/>
        <v>-65.997500000000002</v>
      </c>
      <c r="U77" s="25">
        <f t="shared" si="25"/>
        <v>-65.790099999999995</v>
      </c>
      <c r="V77" s="25">
        <f t="shared" si="26"/>
        <v>0</v>
      </c>
      <c r="W77" s="1">
        <f t="shared" si="27"/>
        <v>0</v>
      </c>
      <c r="X77" s="2" t="s">
        <v>31</v>
      </c>
      <c r="Y77" s="2"/>
      <c r="Z77" s="2"/>
      <c r="AA77" s="2"/>
      <c r="AB77" s="2"/>
      <c r="AC77" s="4"/>
    </row>
    <row r="78" spans="1:32" ht="13.5" customHeight="1">
      <c r="A78" s="2" t="s">
        <v>863</v>
      </c>
      <c r="B78" s="2" t="s">
        <v>135</v>
      </c>
      <c r="C78" s="3">
        <v>44981</v>
      </c>
      <c r="D78" s="3" t="s">
        <v>35</v>
      </c>
      <c r="E78" s="3" t="s">
        <v>46</v>
      </c>
      <c r="F78" s="3"/>
      <c r="G78" s="3"/>
      <c r="H78" s="22">
        <v>0.66319444444444442</v>
      </c>
      <c r="I78" s="22">
        <v>0.69791666666666663</v>
      </c>
      <c r="J78" s="22"/>
      <c r="K78" s="22"/>
      <c r="L78" s="34"/>
      <c r="M78" s="35"/>
      <c r="N78" s="34"/>
      <c r="O78" s="35"/>
      <c r="P78" s="27"/>
      <c r="Q78" s="30"/>
      <c r="R78" s="27"/>
      <c r="S78" s="30"/>
      <c r="T78" s="25">
        <f t="shared" si="24"/>
        <v>0</v>
      </c>
      <c r="U78" s="25">
        <f t="shared" si="25"/>
        <v>0</v>
      </c>
      <c r="V78" s="25">
        <f t="shared" si="26"/>
        <v>0</v>
      </c>
      <c r="W78" s="1">
        <f t="shared" si="27"/>
        <v>0</v>
      </c>
      <c r="X78" s="2" t="s">
        <v>31</v>
      </c>
      <c r="Y78" s="2"/>
      <c r="Z78" s="2"/>
      <c r="AA78" s="2"/>
      <c r="AB78" s="2"/>
      <c r="AC78" s="4"/>
    </row>
    <row r="79" spans="1:32" ht="13.5" customHeight="1">
      <c r="A79" s="2" t="s">
        <v>863</v>
      </c>
      <c r="B79" s="2" t="s">
        <v>136</v>
      </c>
      <c r="C79" s="3">
        <v>44981</v>
      </c>
      <c r="D79" s="3" t="s">
        <v>46</v>
      </c>
      <c r="E79" s="3"/>
      <c r="F79" s="3"/>
      <c r="G79" s="3"/>
      <c r="H79" s="22">
        <v>0.6875</v>
      </c>
      <c r="I79" s="22">
        <v>0.70138888888888884</v>
      </c>
      <c r="J79" s="22"/>
      <c r="K79" s="22"/>
      <c r="L79" s="27">
        <v>65</v>
      </c>
      <c r="M79" s="30">
        <v>59.856000000000002</v>
      </c>
      <c r="N79" s="27">
        <v>65</v>
      </c>
      <c r="O79" s="30">
        <v>47.311999999999998</v>
      </c>
      <c r="P79" s="27">
        <v>65</v>
      </c>
      <c r="Q79" s="30">
        <v>59.948999999999998</v>
      </c>
      <c r="R79" s="27">
        <v>65</v>
      </c>
      <c r="S79" s="31">
        <v>47.363999999999997</v>
      </c>
      <c r="T79" s="25">
        <f t="shared" si="24"/>
        <v>-65.997600000000006</v>
      </c>
      <c r="U79" s="25">
        <f t="shared" si="25"/>
        <v>-65.788533333333334</v>
      </c>
      <c r="V79" s="25">
        <f t="shared" si="26"/>
        <v>-65.99915</v>
      </c>
      <c r="W79" s="1">
        <f>-(R79+Q79/60)</f>
        <v>-65.99915</v>
      </c>
      <c r="X79" s="2" t="s">
        <v>31</v>
      </c>
      <c r="Y79" s="2"/>
      <c r="Z79" s="2"/>
      <c r="AA79" s="2"/>
      <c r="AB79" s="2"/>
      <c r="AC79" s="4"/>
    </row>
    <row r="80" spans="1:32" ht="13.5" customHeight="1">
      <c r="A80" s="2" t="s">
        <v>863</v>
      </c>
      <c r="B80" s="2" t="s">
        <v>130</v>
      </c>
      <c r="C80" s="3">
        <v>44982</v>
      </c>
      <c r="D80" s="3" t="s">
        <v>46</v>
      </c>
      <c r="E80" s="3"/>
      <c r="F80" s="3"/>
      <c r="G80" s="3"/>
      <c r="H80" s="22"/>
      <c r="I80" s="22">
        <v>0.3125</v>
      </c>
      <c r="J80" s="22"/>
      <c r="K80" s="22"/>
      <c r="L80" s="27">
        <v>66</v>
      </c>
      <c r="M80" s="30">
        <v>0.52100000000000002</v>
      </c>
      <c r="N80" s="27">
        <v>65</v>
      </c>
      <c r="O80" s="30">
        <v>46.759</v>
      </c>
      <c r="P80" s="27"/>
      <c r="Q80" s="30"/>
      <c r="R80" s="27"/>
      <c r="S80" s="30"/>
      <c r="T80" s="25">
        <f t="shared" si="24"/>
        <v>-66.008683333333337</v>
      </c>
      <c r="U80" s="25">
        <f t="shared" si="25"/>
        <v>-65.779316666666674</v>
      </c>
      <c r="V80" s="25">
        <f t="shared" si="26"/>
        <v>0</v>
      </c>
      <c r="W80" s="1">
        <f t="shared" si="27"/>
        <v>0</v>
      </c>
      <c r="X80" s="2" t="s">
        <v>31</v>
      </c>
      <c r="Y80" s="2"/>
      <c r="Z80" s="2">
        <v>50</v>
      </c>
      <c r="AA80" s="2"/>
      <c r="AB80" s="2"/>
      <c r="AC80" s="4"/>
      <c r="AF80" s="2" t="s">
        <v>137</v>
      </c>
    </row>
    <row r="81" spans="1:32" ht="13.5" customHeight="1">
      <c r="A81" s="2" t="s">
        <v>863</v>
      </c>
      <c r="B81" s="2" t="s">
        <v>138</v>
      </c>
      <c r="C81" s="3">
        <v>44982</v>
      </c>
      <c r="D81" s="3" t="s">
        <v>50</v>
      </c>
      <c r="E81" s="3" t="s">
        <v>43</v>
      </c>
      <c r="F81" s="3"/>
      <c r="G81" s="3"/>
      <c r="H81" s="22">
        <v>0.375</v>
      </c>
      <c r="I81" s="22">
        <v>0.64583333333333337</v>
      </c>
      <c r="J81" s="22"/>
      <c r="K81" s="22"/>
      <c r="L81" s="27">
        <v>66</v>
      </c>
      <c r="M81" s="30">
        <v>1.5172000000000001</v>
      </c>
      <c r="N81" s="27">
        <v>65</v>
      </c>
      <c r="O81" s="30">
        <v>6.4593999999999996</v>
      </c>
      <c r="P81" s="27">
        <v>66</v>
      </c>
      <c r="Q81" s="30">
        <v>1.224</v>
      </c>
      <c r="R81" s="27">
        <v>65</v>
      </c>
      <c r="S81" s="30">
        <v>50.51</v>
      </c>
      <c r="T81" s="25">
        <f t="shared" si="24"/>
        <v>-66.025286666666673</v>
      </c>
      <c r="U81" s="25">
        <f t="shared" si="25"/>
        <v>-65.107656666666671</v>
      </c>
      <c r="V81" s="25">
        <f t="shared" si="26"/>
        <v>-66.020399999999995</v>
      </c>
      <c r="W81" s="1">
        <f t="shared" si="27"/>
        <v>-65.841833333333327</v>
      </c>
      <c r="X81" s="2" t="s">
        <v>139</v>
      </c>
      <c r="Y81" s="2">
        <v>0</v>
      </c>
      <c r="Z81" s="2">
        <v>2</v>
      </c>
      <c r="AA81" s="2"/>
      <c r="AB81" s="2"/>
      <c r="AC81" s="4"/>
    </row>
    <row r="82" spans="1:32" ht="13.5" customHeight="1">
      <c r="A82" s="2" t="s">
        <v>863</v>
      </c>
      <c r="B82" s="2" t="s">
        <v>140</v>
      </c>
      <c r="C82" s="3">
        <v>44982</v>
      </c>
      <c r="D82" s="3" t="s">
        <v>50</v>
      </c>
      <c r="E82" s="3" t="s">
        <v>43</v>
      </c>
      <c r="F82" s="3"/>
      <c r="G82" s="3"/>
      <c r="H82" s="22">
        <v>0.6875</v>
      </c>
      <c r="I82" s="22">
        <v>0.70138888888888884</v>
      </c>
      <c r="J82" s="22"/>
      <c r="K82" s="22"/>
      <c r="L82" s="27">
        <v>66</v>
      </c>
      <c r="M82" s="30">
        <v>1.2250000000000001</v>
      </c>
      <c r="N82" s="27">
        <v>65</v>
      </c>
      <c r="O82" s="30">
        <v>50.694000000000003</v>
      </c>
      <c r="P82" s="27"/>
      <c r="Q82" s="30"/>
      <c r="R82" s="27"/>
      <c r="S82" s="30"/>
      <c r="T82" s="25">
        <f t="shared" si="24"/>
        <v>-66.020416666666662</v>
      </c>
      <c r="U82" s="25">
        <f t="shared" si="25"/>
        <v>-65.844899999999996</v>
      </c>
      <c r="V82" s="25">
        <f t="shared" si="26"/>
        <v>0</v>
      </c>
      <c r="W82" s="1">
        <f t="shared" si="27"/>
        <v>0</v>
      </c>
      <c r="X82" s="2" t="s">
        <v>139</v>
      </c>
      <c r="Y82" s="2">
        <v>0</v>
      </c>
      <c r="Z82" s="2">
        <v>100</v>
      </c>
      <c r="AA82" s="2"/>
      <c r="AB82" s="2"/>
      <c r="AC82" s="4"/>
    </row>
    <row r="83" spans="1:32" ht="13.5" customHeight="1">
      <c r="A83" s="2" t="s">
        <v>863</v>
      </c>
      <c r="B83" s="2" t="s">
        <v>141</v>
      </c>
      <c r="C83" s="3">
        <v>44982</v>
      </c>
      <c r="D83" s="3" t="s">
        <v>50</v>
      </c>
      <c r="E83" s="3" t="s">
        <v>43</v>
      </c>
      <c r="F83" s="3"/>
      <c r="G83" s="3"/>
      <c r="H83" s="22">
        <v>0.6875</v>
      </c>
      <c r="I83" s="22">
        <v>0.70138888888888884</v>
      </c>
      <c r="J83" s="22"/>
      <c r="K83" s="22"/>
      <c r="L83" s="27">
        <v>66</v>
      </c>
      <c r="M83" s="30">
        <v>1.2250000000000001</v>
      </c>
      <c r="N83" s="27">
        <v>65</v>
      </c>
      <c r="O83" s="30">
        <v>50.694000000000003</v>
      </c>
      <c r="P83" s="27"/>
      <c r="Q83" s="30"/>
      <c r="R83" s="27"/>
      <c r="S83" s="30"/>
      <c r="T83" s="25">
        <f t="shared" si="24"/>
        <v>-66.020416666666662</v>
      </c>
      <c r="U83" s="25">
        <f t="shared" si="25"/>
        <v>-65.844899999999996</v>
      </c>
      <c r="V83" s="25">
        <f t="shared" si="26"/>
        <v>0</v>
      </c>
      <c r="W83" s="1">
        <f t="shared" si="27"/>
        <v>0</v>
      </c>
      <c r="X83" s="2" t="s">
        <v>139</v>
      </c>
      <c r="Y83" s="2">
        <v>0</v>
      </c>
      <c r="Z83" s="2">
        <v>100</v>
      </c>
      <c r="AA83" s="2"/>
      <c r="AB83" s="2"/>
      <c r="AC83" s="4"/>
    </row>
    <row r="84" spans="1:32" ht="13.5" customHeight="1">
      <c r="A84" s="2" t="s">
        <v>863</v>
      </c>
      <c r="B84" s="2" t="s">
        <v>142</v>
      </c>
      <c r="C84" s="3">
        <v>44982</v>
      </c>
      <c r="D84" s="3" t="s">
        <v>35</v>
      </c>
      <c r="E84" s="3" t="s">
        <v>143</v>
      </c>
      <c r="F84" s="3"/>
      <c r="G84" s="3"/>
      <c r="H84" s="22">
        <v>0.58333333333333337</v>
      </c>
      <c r="I84" s="22">
        <v>0.60069444444444442</v>
      </c>
      <c r="J84" s="22"/>
      <c r="K84" s="22"/>
      <c r="L84" s="27">
        <v>66</v>
      </c>
      <c r="M84" s="30">
        <v>1.5172000000000001</v>
      </c>
      <c r="N84" s="27">
        <v>65</v>
      </c>
      <c r="O84" s="30">
        <v>46.759</v>
      </c>
      <c r="P84" s="27"/>
      <c r="Q84" s="30"/>
      <c r="R84" s="27"/>
      <c r="S84" s="30"/>
      <c r="T84" s="25">
        <f t="shared" si="24"/>
        <v>-66.025286666666673</v>
      </c>
      <c r="U84" s="25">
        <f t="shared" si="25"/>
        <v>-65.779316666666674</v>
      </c>
      <c r="V84" s="25">
        <f t="shared" si="26"/>
        <v>0</v>
      </c>
      <c r="W84" s="1">
        <f t="shared" si="27"/>
        <v>0</v>
      </c>
      <c r="X84" s="2" t="s">
        <v>139</v>
      </c>
      <c r="Y84" s="2"/>
      <c r="Z84" s="2"/>
      <c r="AA84" s="2"/>
      <c r="AB84" s="2"/>
      <c r="AC84" s="4"/>
    </row>
    <row r="85" spans="1:32" ht="13.5" customHeight="1">
      <c r="A85" s="2" t="s">
        <v>863</v>
      </c>
      <c r="B85" s="2" t="s">
        <v>144</v>
      </c>
      <c r="C85" s="3">
        <v>44982</v>
      </c>
      <c r="D85" s="3" t="s">
        <v>35</v>
      </c>
      <c r="E85" s="3" t="s">
        <v>143</v>
      </c>
      <c r="F85" s="3"/>
      <c r="G85" s="3"/>
      <c r="H85" s="22">
        <v>0.60416666666666663</v>
      </c>
      <c r="I85" s="22">
        <v>0.61805555555555558</v>
      </c>
      <c r="J85" s="22"/>
      <c r="K85" s="22"/>
      <c r="L85" s="27">
        <v>66</v>
      </c>
      <c r="M85" s="30">
        <v>1.5172000000000001</v>
      </c>
      <c r="N85" s="27">
        <v>65</v>
      </c>
      <c r="O85" s="30">
        <v>46.759</v>
      </c>
      <c r="P85" s="27"/>
      <c r="Q85" s="30"/>
      <c r="R85" s="27"/>
      <c r="S85" s="30"/>
      <c r="T85" s="25">
        <f t="shared" si="24"/>
        <v>-66.025286666666673</v>
      </c>
      <c r="U85" s="25">
        <f t="shared" si="25"/>
        <v>-65.779316666666674</v>
      </c>
      <c r="V85" s="25">
        <f t="shared" si="26"/>
        <v>0</v>
      </c>
      <c r="W85" s="1">
        <f t="shared" si="27"/>
        <v>0</v>
      </c>
      <c r="X85" s="2" t="s">
        <v>139</v>
      </c>
      <c r="Y85" s="2"/>
      <c r="Z85" s="2"/>
      <c r="AA85" s="2"/>
      <c r="AB85" s="2"/>
      <c r="AC85" s="4"/>
    </row>
    <row r="86" spans="1:32" ht="13.5" customHeight="1">
      <c r="A86" s="2" t="s">
        <v>863</v>
      </c>
      <c r="B86" s="2" t="s">
        <v>851</v>
      </c>
      <c r="C86" s="3">
        <v>44983</v>
      </c>
      <c r="D86" s="3" t="s">
        <v>62</v>
      </c>
      <c r="E86" s="3" t="s">
        <v>35</v>
      </c>
      <c r="F86" s="3"/>
      <c r="G86" s="3"/>
      <c r="H86" s="33"/>
      <c r="I86" s="33"/>
      <c r="J86" s="22"/>
      <c r="K86" s="22"/>
      <c r="L86" s="27">
        <v>66</v>
      </c>
      <c r="M86" s="30">
        <v>0.16</v>
      </c>
      <c r="N86" s="27">
        <v>65</v>
      </c>
      <c r="O86" s="30">
        <v>46.313000000000002</v>
      </c>
      <c r="P86" s="27"/>
      <c r="Q86" s="30"/>
      <c r="R86" s="27"/>
      <c r="S86" s="30"/>
      <c r="T86" s="25">
        <f t="shared" ref="T86:T91" si="28">-(L86+M86/60)</f>
        <v>-66.00266666666667</v>
      </c>
      <c r="U86" s="25">
        <f t="shared" ref="U86:U91" si="29">-(N86+O86/60)</f>
        <v>-65.771883333333335</v>
      </c>
      <c r="V86" s="25">
        <f t="shared" ref="V86:V91" si="30">-(P86+Q86/60)</f>
        <v>0</v>
      </c>
      <c r="W86" s="1">
        <f t="shared" ref="W86:W91" si="31">-(R86+S86/60)</f>
        <v>0</v>
      </c>
      <c r="X86" s="2" t="s">
        <v>31</v>
      </c>
      <c r="Y86" s="2"/>
      <c r="Z86" s="2"/>
      <c r="AA86" s="2"/>
      <c r="AB86" s="2"/>
      <c r="AC86" s="4"/>
    </row>
    <row r="87" spans="1:32" ht="13.5" customHeight="1">
      <c r="A87" s="2" t="s">
        <v>863</v>
      </c>
      <c r="B87" s="2" t="s">
        <v>852</v>
      </c>
      <c r="C87" s="3">
        <v>44983</v>
      </c>
      <c r="D87" s="3" t="s">
        <v>58</v>
      </c>
      <c r="E87" s="3" t="s">
        <v>47</v>
      </c>
      <c r="F87" s="3"/>
      <c r="G87" s="3"/>
      <c r="H87" s="22">
        <v>0.75138888888888899</v>
      </c>
      <c r="I87" s="22">
        <v>0.77430555555555547</v>
      </c>
      <c r="J87" s="22"/>
      <c r="K87" s="22"/>
      <c r="L87" s="27">
        <v>66</v>
      </c>
      <c r="M87" s="30">
        <v>0.16</v>
      </c>
      <c r="N87" s="27">
        <v>65</v>
      </c>
      <c r="O87" s="30">
        <v>46.313000000000002</v>
      </c>
      <c r="P87" s="27"/>
      <c r="Q87" s="30"/>
      <c r="R87" s="27"/>
      <c r="S87" s="30"/>
      <c r="T87" s="25">
        <f t="shared" si="28"/>
        <v>-66.00266666666667</v>
      </c>
      <c r="U87" s="25">
        <f t="shared" si="29"/>
        <v>-65.771883333333335</v>
      </c>
      <c r="V87" s="25">
        <f t="shared" si="30"/>
        <v>0</v>
      </c>
      <c r="W87" s="1">
        <f t="shared" si="31"/>
        <v>0</v>
      </c>
      <c r="X87" s="2" t="s">
        <v>31</v>
      </c>
      <c r="Y87" s="2"/>
      <c r="Z87" s="2"/>
      <c r="AA87" s="2"/>
      <c r="AB87" s="2"/>
      <c r="AC87" s="4"/>
    </row>
    <row r="88" spans="1:32" ht="13.5" customHeight="1">
      <c r="A88" s="2" t="s">
        <v>863</v>
      </c>
      <c r="B88" s="2" t="s">
        <v>859</v>
      </c>
      <c r="C88" s="40">
        <v>44983</v>
      </c>
      <c r="D88" s="3" t="s">
        <v>62</v>
      </c>
      <c r="E88" s="3" t="s">
        <v>30</v>
      </c>
      <c r="F88" s="3"/>
      <c r="G88" s="3"/>
      <c r="H88" s="22">
        <v>0.41666666666666669</v>
      </c>
      <c r="I88" s="22">
        <v>0.4375</v>
      </c>
      <c r="J88" s="22"/>
      <c r="K88" s="22"/>
      <c r="L88" s="27">
        <v>65</v>
      </c>
      <c r="M88" s="30">
        <v>59.9</v>
      </c>
      <c r="N88" s="27">
        <v>65</v>
      </c>
      <c r="O88" s="30">
        <v>47.313000000000002</v>
      </c>
      <c r="P88" s="27"/>
      <c r="Q88" s="30"/>
      <c r="R88" s="27"/>
      <c r="S88" s="30"/>
      <c r="T88" s="25">
        <f t="shared" si="28"/>
        <v>-65.998333333333335</v>
      </c>
      <c r="U88" s="25">
        <f t="shared" si="29"/>
        <v>-65.788550000000001</v>
      </c>
      <c r="V88" s="25">
        <f t="shared" si="30"/>
        <v>0</v>
      </c>
      <c r="W88" s="1">
        <f t="shared" si="31"/>
        <v>0</v>
      </c>
      <c r="X88" s="2" t="s">
        <v>31</v>
      </c>
      <c r="Y88" s="2"/>
      <c r="Z88" s="2">
        <v>25.2</v>
      </c>
      <c r="AA88" s="2"/>
      <c r="AB88" s="2"/>
      <c r="AC88" s="4"/>
    </row>
    <row r="89" spans="1:32" ht="13.5" customHeight="1">
      <c r="A89" s="2" t="s">
        <v>863</v>
      </c>
      <c r="B89" s="2" t="s">
        <v>860</v>
      </c>
      <c r="C89" s="3">
        <v>44983</v>
      </c>
      <c r="D89" s="3" t="s">
        <v>35</v>
      </c>
      <c r="E89" s="3" t="s">
        <v>46</v>
      </c>
      <c r="F89" s="3"/>
      <c r="G89" s="3"/>
      <c r="H89" s="22">
        <v>0.67708333333333337</v>
      </c>
      <c r="I89" s="22">
        <v>0.71875</v>
      </c>
      <c r="J89" s="22"/>
      <c r="K89" s="22"/>
      <c r="L89" s="27">
        <v>65</v>
      </c>
      <c r="M89" s="30">
        <v>59.805</v>
      </c>
      <c r="N89" s="27">
        <v>65</v>
      </c>
      <c r="O89" s="30">
        <v>46.890999999999998</v>
      </c>
      <c r="P89" s="27"/>
      <c r="Q89" s="30"/>
      <c r="R89" s="27"/>
      <c r="S89" s="30"/>
      <c r="T89" s="25">
        <f t="shared" si="28"/>
        <v>-65.996750000000006</v>
      </c>
      <c r="U89" s="25">
        <f t="shared" si="29"/>
        <v>-65.781516666666661</v>
      </c>
      <c r="V89" s="25">
        <f t="shared" si="30"/>
        <v>0</v>
      </c>
      <c r="W89" s="1">
        <f t="shared" si="31"/>
        <v>0</v>
      </c>
      <c r="X89" s="2" t="s">
        <v>31</v>
      </c>
      <c r="Y89" s="2"/>
      <c r="Z89" s="2"/>
      <c r="AA89" s="2"/>
      <c r="AB89" s="2"/>
      <c r="AC89" s="4"/>
    </row>
    <row r="90" spans="1:32" ht="13.5" customHeight="1">
      <c r="A90" s="2" t="s">
        <v>863</v>
      </c>
      <c r="B90" s="2" t="s">
        <v>861</v>
      </c>
      <c r="C90" s="3">
        <v>44983</v>
      </c>
      <c r="D90" s="3" t="s">
        <v>46</v>
      </c>
      <c r="E90" s="3"/>
      <c r="F90" s="3"/>
      <c r="G90" s="3"/>
      <c r="H90" s="22">
        <v>0.58333333333333337</v>
      </c>
      <c r="I90" s="22">
        <v>0.59722222222222221</v>
      </c>
      <c r="J90" s="22"/>
      <c r="K90" s="22"/>
      <c r="L90" s="27">
        <v>66</v>
      </c>
      <c r="M90" s="30">
        <v>0.187</v>
      </c>
      <c r="N90" s="27">
        <v>65</v>
      </c>
      <c r="O90" s="30">
        <v>47.932000000000002</v>
      </c>
      <c r="P90" s="27">
        <v>66</v>
      </c>
      <c r="Q90" s="30">
        <v>0.18</v>
      </c>
      <c r="R90" s="27">
        <v>65</v>
      </c>
      <c r="S90" s="30">
        <v>47.793999999999997</v>
      </c>
      <c r="T90" s="25">
        <f t="shared" si="28"/>
        <v>-66.003116666666671</v>
      </c>
      <c r="U90" s="25">
        <f t="shared" si="29"/>
        <v>-65.798866666666669</v>
      </c>
      <c r="V90" s="25">
        <f t="shared" si="30"/>
        <v>-66.003</v>
      </c>
      <c r="W90" s="1">
        <f t="shared" si="31"/>
        <v>-65.796566666666664</v>
      </c>
      <c r="X90" s="2" t="s">
        <v>31</v>
      </c>
      <c r="Y90" s="2">
        <v>11</v>
      </c>
      <c r="Z90" s="2">
        <v>12</v>
      </c>
      <c r="AA90" s="2"/>
      <c r="AB90" s="2"/>
      <c r="AC90" s="4"/>
    </row>
    <row r="91" spans="1:32" ht="13.5" customHeight="1">
      <c r="A91" s="2" t="s">
        <v>863</v>
      </c>
      <c r="B91" s="2" t="s">
        <v>862</v>
      </c>
      <c r="C91" s="40">
        <v>44983</v>
      </c>
      <c r="D91" s="3" t="s">
        <v>46</v>
      </c>
      <c r="E91" s="3"/>
      <c r="F91" s="3"/>
      <c r="G91" s="3"/>
      <c r="H91" s="22">
        <v>0.47916666666666669</v>
      </c>
      <c r="I91" s="22"/>
      <c r="J91" s="22"/>
      <c r="K91" s="22"/>
      <c r="L91" s="27">
        <v>66</v>
      </c>
      <c r="M91" s="30">
        <v>0.57499999999999996</v>
      </c>
      <c r="N91" s="27">
        <v>65</v>
      </c>
      <c r="O91" s="30">
        <v>46.302999999999997</v>
      </c>
      <c r="P91" s="27"/>
      <c r="Q91" s="30"/>
      <c r="R91" s="27"/>
      <c r="S91" s="30"/>
      <c r="T91" s="25">
        <f t="shared" si="28"/>
        <v>-66.009583333333339</v>
      </c>
      <c r="U91" s="25">
        <f t="shared" si="29"/>
        <v>-65.771716666666663</v>
      </c>
      <c r="V91" s="25">
        <f t="shared" si="30"/>
        <v>0</v>
      </c>
      <c r="W91" s="1">
        <f t="shared" si="31"/>
        <v>0</v>
      </c>
      <c r="X91" s="2" t="s">
        <v>31</v>
      </c>
      <c r="Y91" s="2">
        <v>60</v>
      </c>
      <c r="Z91" s="2"/>
      <c r="AA91" s="2"/>
      <c r="AB91" s="2"/>
      <c r="AC91" s="4"/>
      <c r="AF91" s="46" t="s">
        <v>864</v>
      </c>
    </row>
    <row r="92" spans="1:32" ht="13.5" customHeight="1">
      <c r="A92" s="2" t="s">
        <v>863</v>
      </c>
      <c r="B92" s="2" t="s">
        <v>853</v>
      </c>
      <c r="C92" s="3">
        <v>44984</v>
      </c>
      <c r="D92" s="3" t="s">
        <v>58</v>
      </c>
      <c r="E92" s="3" t="s">
        <v>47</v>
      </c>
      <c r="F92" s="3" t="s">
        <v>35</v>
      </c>
      <c r="G92" s="3" t="s">
        <v>62</v>
      </c>
      <c r="H92" s="22">
        <v>0.39861111111111108</v>
      </c>
      <c r="I92" s="22">
        <v>0.4236111111111111</v>
      </c>
      <c r="J92" s="22"/>
      <c r="K92" s="22"/>
      <c r="L92" s="27">
        <v>66</v>
      </c>
      <c r="M92" s="30">
        <v>0.16</v>
      </c>
      <c r="N92" s="27">
        <v>65</v>
      </c>
      <c r="O92" s="30">
        <v>46.313000000000002</v>
      </c>
      <c r="P92" s="27"/>
      <c r="Q92" s="30"/>
      <c r="R92" s="27"/>
      <c r="S92" s="30"/>
      <c r="T92" s="25">
        <f t="shared" ref="T92:T98" si="32">-(L92+M92/60)</f>
        <v>-66.00266666666667</v>
      </c>
      <c r="U92" s="25">
        <f t="shared" ref="U92:U98" si="33">-(N92+O92/60)</f>
        <v>-65.771883333333335</v>
      </c>
      <c r="V92" s="25">
        <f t="shared" ref="V92:V98" si="34">-(P92+Q92/60)</f>
        <v>0</v>
      </c>
      <c r="W92" s="1">
        <f t="shared" ref="W92:W98" si="35">-(R92+S92/60)</f>
        <v>0</v>
      </c>
      <c r="X92" s="2" t="s">
        <v>31</v>
      </c>
      <c r="Y92" s="2"/>
      <c r="Z92" s="2"/>
      <c r="AA92" s="2"/>
      <c r="AB92" s="2"/>
      <c r="AC92" s="4"/>
    </row>
    <row r="93" spans="1:32" ht="13.5" customHeight="1">
      <c r="A93" s="2" t="s">
        <v>863</v>
      </c>
      <c r="B93" s="2" t="s">
        <v>865</v>
      </c>
      <c r="C93" s="3">
        <v>44984</v>
      </c>
      <c r="D93" s="3" t="s">
        <v>50</v>
      </c>
      <c r="E93" s="3" t="s">
        <v>43</v>
      </c>
      <c r="F93" s="3"/>
      <c r="G93" s="3"/>
      <c r="H93" s="22">
        <v>0.45833333333333331</v>
      </c>
      <c r="I93" s="22">
        <v>0.5</v>
      </c>
      <c r="J93" s="22"/>
      <c r="K93" s="22"/>
      <c r="L93" s="34"/>
      <c r="M93" s="35"/>
      <c r="N93" s="34"/>
      <c r="O93" s="35"/>
      <c r="P93" s="27"/>
      <c r="Q93" s="30"/>
      <c r="R93" s="27"/>
      <c r="S93" s="30"/>
      <c r="T93" s="25">
        <f t="shared" si="32"/>
        <v>0</v>
      </c>
      <c r="U93" s="25">
        <f t="shared" si="33"/>
        <v>0</v>
      </c>
      <c r="V93" s="25">
        <f t="shared" si="34"/>
        <v>0</v>
      </c>
      <c r="W93" s="1">
        <f t="shared" si="35"/>
        <v>0</v>
      </c>
      <c r="X93" s="2" t="s">
        <v>31</v>
      </c>
      <c r="Y93" s="2"/>
      <c r="Z93" s="2"/>
      <c r="AA93" s="2"/>
      <c r="AB93" s="2"/>
      <c r="AC93" s="4"/>
    </row>
    <row r="94" spans="1:32" ht="13.5" customHeight="1">
      <c r="A94" s="2" t="s">
        <v>863</v>
      </c>
      <c r="B94" s="2" t="s">
        <v>866</v>
      </c>
      <c r="C94" s="3">
        <v>44984</v>
      </c>
      <c r="D94" s="3" t="s">
        <v>30</v>
      </c>
      <c r="E94" s="3"/>
      <c r="F94" s="3"/>
      <c r="G94" s="3"/>
      <c r="H94" s="22">
        <v>0.58333333333333337</v>
      </c>
      <c r="I94" s="22">
        <v>0.60416666666666663</v>
      </c>
      <c r="J94" s="22"/>
      <c r="K94" s="22"/>
      <c r="L94" s="27">
        <v>65</v>
      </c>
      <c r="M94" s="30">
        <v>59.9</v>
      </c>
      <c r="N94" s="27">
        <v>65</v>
      </c>
      <c r="O94" s="30">
        <v>47.386000000000003</v>
      </c>
      <c r="P94" s="27"/>
      <c r="Q94" s="30"/>
      <c r="R94" s="27"/>
      <c r="S94" s="30"/>
      <c r="T94" s="25">
        <f t="shared" si="32"/>
        <v>-65.998333333333335</v>
      </c>
      <c r="U94" s="25">
        <f t="shared" si="33"/>
        <v>-65.789766666666665</v>
      </c>
      <c r="V94" s="25">
        <f t="shared" si="34"/>
        <v>0</v>
      </c>
      <c r="W94" s="1">
        <f t="shared" si="35"/>
        <v>0</v>
      </c>
      <c r="X94" s="2" t="s">
        <v>31</v>
      </c>
      <c r="Y94" s="2"/>
      <c r="Z94" s="2"/>
      <c r="AA94" s="2"/>
      <c r="AB94" s="2"/>
      <c r="AC94" s="4"/>
    </row>
    <row r="95" spans="1:32" ht="13.5" customHeight="1">
      <c r="A95" s="2" t="s">
        <v>863</v>
      </c>
      <c r="B95" s="2" t="s">
        <v>867</v>
      </c>
      <c r="C95" s="3">
        <v>44984</v>
      </c>
      <c r="D95" s="3" t="s">
        <v>35</v>
      </c>
      <c r="E95" s="3"/>
      <c r="F95" s="3"/>
      <c r="G95" s="3"/>
      <c r="H95" s="22">
        <v>0.64097222222222217</v>
      </c>
      <c r="I95" s="22">
        <v>0.68055555555555547</v>
      </c>
      <c r="J95" s="22"/>
      <c r="K95" s="22"/>
      <c r="L95" s="27">
        <v>66</v>
      </c>
      <c r="M95" s="30">
        <v>0.16</v>
      </c>
      <c r="N95" s="27">
        <v>65</v>
      </c>
      <c r="O95" s="30">
        <v>46.313000000000002</v>
      </c>
      <c r="P95" s="27"/>
      <c r="Q95" s="30"/>
      <c r="R95" s="27"/>
      <c r="S95" s="30"/>
      <c r="T95" s="25">
        <f t="shared" si="32"/>
        <v>-66.00266666666667</v>
      </c>
      <c r="U95" s="25">
        <f t="shared" si="33"/>
        <v>-65.771883333333335</v>
      </c>
      <c r="V95" s="25">
        <f t="shared" si="34"/>
        <v>0</v>
      </c>
      <c r="W95" s="1">
        <f t="shared" si="35"/>
        <v>0</v>
      </c>
      <c r="X95" s="2" t="s">
        <v>31</v>
      </c>
      <c r="Y95" s="2"/>
      <c r="Z95" s="2"/>
      <c r="AA95" s="2"/>
      <c r="AB95" s="2"/>
      <c r="AC95" s="4"/>
    </row>
    <row r="96" spans="1:32" ht="13.5" customHeight="1">
      <c r="A96" s="2" t="s">
        <v>863</v>
      </c>
      <c r="B96" s="2" t="s">
        <v>862</v>
      </c>
      <c r="C96" s="3">
        <v>44984</v>
      </c>
      <c r="D96" s="3" t="s">
        <v>46</v>
      </c>
      <c r="E96" s="3"/>
      <c r="F96" s="3"/>
      <c r="G96" s="3"/>
      <c r="H96" s="22"/>
      <c r="I96" s="22">
        <v>0.70833333333333337</v>
      </c>
      <c r="J96" s="22"/>
      <c r="K96" s="22"/>
      <c r="P96" s="27">
        <v>66</v>
      </c>
      <c r="Q96" s="30">
        <v>0.57509999999999994</v>
      </c>
      <c r="R96" s="27">
        <v>65</v>
      </c>
      <c r="S96" s="30">
        <v>46.302999999999997</v>
      </c>
      <c r="T96" s="25">
        <f t="shared" ref="T96" si="36">-(L96+M96/60)</f>
        <v>0</v>
      </c>
      <c r="U96" s="25">
        <f t="shared" ref="U96" si="37">-(N96+O96/60)</f>
        <v>0</v>
      </c>
      <c r="V96" s="25">
        <f t="shared" ref="V96" si="38">-(P96+Q96/60)</f>
        <v>-66.009585000000001</v>
      </c>
      <c r="W96" s="1">
        <f t="shared" ref="W96" si="39">-(R96+S96/60)</f>
        <v>-65.771716666666663</v>
      </c>
      <c r="X96" s="2" t="s">
        <v>31</v>
      </c>
      <c r="Y96" s="2">
        <v>60</v>
      </c>
      <c r="Z96" s="2"/>
      <c r="AA96" s="2"/>
      <c r="AB96" s="2"/>
      <c r="AC96" s="4"/>
      <c r="AF96" s="2" t="s">
        <v>876</v>
      </c>
    </row>
    <row r="97" spans="1:32" ht="13.5" customHeight="1">
      <c r="A97" s="2" t="s">
        <v>863</v>
      </c>
      <c r="B97" s="2" t="s">
        <v>868</v>
      </c>
      <c r="C97" s="3">
        <v>44984</v>
      </c>
      <c r="D97" s="3" t="s">
        <v>46</v>
      </c>
      <c r="E97" s="3"/>
      <c r="F97" s="3"/>
      <c r="G97" s="3"/>
      <c r="H97" s="22">
        <v>0.60416666666666663</v>
      </c>
      <c r="I97" s="22">
        <v>0.61805555555555558</v>
      </c>
      <c r="J97" s="22"/>
      <c r="K97" s="22"/>
      <c r="L97" s="27">
        <v>66</v>
      </c>
      <c r="M97" s="30">
        <v>2.3E-2</v>
      </c>
      <c r="N97" s="27">
        <v>65</v>
      </c>
      <c r="O97" s="30">
        <v>47.414000000000001</v>
      </c>
      <c r="P97" s="27">
        <v>66</v>
      </c>
      <c r="Q97" s="30">
        <v>6.7000000000000004E-2</v>
      </c>
      <c r="R97" s="27">
        <v>65</v>
      </c>
      <c r="S97" s="30">
        <v>47.33</v>
      </c>
      <c r="T97" s="25">
        <f t="shared" si="32"/>
        <v>-66.000383333333332</v>
      </c>
      <c r="U97" s="25">
        <f t="shared" si="33"/>
        <v>-65.790233333333333</v>
      </c>
      <c r="V97" s="25">
        <f t="shared" si="34"/>
        <v>-66.001116666666661</v>
      </c>
      <c r="W97" s="1">
        <f t="shared" si="35"/>
        <v>-65.788833333333329</v>
      </c>
      <c r="X97" s="2" t="s">
        <v>31</v>
      </c>
      <c r="Y97" s="2">
        <v>9</v>
      </c>
      <c r="Z97" s="2">
        <v>12</v>
      </c>
      <c r="AA97" s="2"/>
      <c r="AB97" s="2"/>
      <c r="AC97" s="4"/>
    </row>
    <row r="98" spans="1:32" ht="13.5" customHeight="1">
      <c r="A98" s="2" t="s">
        <v>863</v>
      </c>
      <c r="B98" s="2" t="s">
        <v>854</v>
      </c>
      <c r="C98" s="3">
        <v>44985</v>
      </c>
      <c r="D98" s="3" t="s">
        <v>47</v>
      </c>
      <c r="E98" s="3" t="s">
        <v>62</v>
      </c>
      <c r="F98" s="3"/>
      <c r="G98" s="3"/>
      <c r="H98" s="33"/>
      <c r="I98" s="33"/>
      <c r="J98" s="22"/>
      <c r="K98" s="22"/>
      <c r="L98" s="27">
        <v>66</v>
      </c>
      <c r="M98" s="30">
        <v>0.16</v>
      </c>
      <c r="N98" s="27">
        <v>65</v>
      </c>
      <c r="O98" s="30">
        <v>46.313000000000002</v>
      </c>
      <c r="P98" s="27"/>
      <c r="Q98" s="30"/>
      <c r="R98" s="27"/>
      <c r="S98" s="30"/>
      <c r="T98" s="25">
        <f t="shared" si="32"/>
        <v>-66.00266666666667</v>
      </c>
      <c r="U98" s="25">
        <f t="shared" si="33"/>
        <v>-65.771883333333335</v>
      </c>
      <c r="V98" s="25">
        <f t="shared" si="34"/>
        <v>0</v>
      </c>
      <c r="W98" s="1">
        <f t="shared" si="35"/>
        <v>0</v>
      </c>
      <c r="X98" s="2" t="s">
        <v>31</v>
      </c>
      <c r="Y98" s="2"/>
      <c r="Z98" s="2"/>
      <c r="AA98" s="2"/>
      <c r="AB98" s="2"/>
      <c r="AC98" s="4"/>
    </row>
    <row r="99" spans="1:32" ht="13.5" customHeight="1">
      <c r="A99" s="2" t="s">
        <v>863</v>
      </c>
      <c r="B99" s="2" t="s">
        <v>855</v>
      </c>
      <c r="C99" s="3">
        <v>44985</v>
      </c>
      <c r="D99" s="3" t="s">
        <v>58</v>
      </c>
      <c r="E99" s="3" t="s">
        <v>35</v>
      </c>
      <c r="F99" s="3"/>
      <c r="G99" s="3"/>
      <c r="H99" s="22">
        <v>0.47638888888888892</v>
      </c>
      <c r="I99" s="22">
        <v>0.49027777777777781</v>
      </c>
      <c r="J99" s="22"/>
      <c r="K99" s="22"/>
      <c r="L99" s="27"/>
      <c r="M99" s="30"/>
      <c r="N99" s="27"/>
      <c r="O99" s="30"/>
      <c r="P99" s="27"/>
      <c r="Q99" s="30"/>
      <c r="R99" s="27"/>
      <c r="S99" s="30"/>
      <c r="T99" s="25">
        <v>-65.998630000000006</v>
      </c>
      <c r="U99" s="25">
        <v>-65.787609000000003</v>
      </c>
      <c r="V99" s="25">
        <f t="shared" ref="V99:V100" si="40">-(P99+Q99/60)</f>
        <v>0</v>
      </c>
      <c r="W99" s="1">
        <f t="shared" ref="W99:W100" si="41">-(R99+S99/60)</f>
        <v>0</v>
      </c>
      <c r="X99" s="2" t="s">
        <v>31</v>
      </c>
      <c r="Y99" s="2"/>
      <c r="Z99" s="2"/>
      <c r="AA99" s="2"/>
      <c r="AB99" s="2"/>
      <c r="AC99" s="4"/>
      <c r="AF99" s="2" t="s">
        <v>870</v>
      </c>
    </row>
    <row r="100" spans="1:32" ht="13.5" customHeight="1">
      <c r="A100" s="2" t="s">
        <v>863</v>
      </c>
      <c r="B100" s="2" t="s">
        <v>875</v>
      </c>
      <c r="C100" s="3">
        <v>44985</v>
      </c>
      <c r="D100" s="3" t="s">
        <v>35</v>
      </c>
      <c r="E100" s="3"/>
      <c r="F100" s="3"/>
      <c r="G100" s="3"/>
      <c r="H100" s="22">
        <v>0.70833333333333337</v>
      </c>
      <c r="I100" s="22">
        <v>0.73611111111111116</v>
      </c>
      <c r="J100" s="22"/>
      <c r="K100" s="22"/>
      <c r="L100" s="27">
        <v>66</v>
      </c>
      <c r="M100" s="30">
        <v>0.57699999999999996</v>
      </c>
      <c r="N100" s="27">
        <v>65</v>
      </c>
      <c r="O100" s="30">
        <v>46.302999999999997</v>
      </c>
      <c r="P100" s="27">
        <v>66</v>
      </c>
      <c r="Q100" s="30">
        <v>0.51300000000000001</v>
      </c>
      <c r="R100" s="27">
        <v>65</v>
      </c>
      <c r="S100" s="30">
        <v>46.192</v>
      </c>
      <c r="T100" s="25">
        <f t="shared" ref="T100" si="42">-(L100+M100/60)</f>
        <v>-66.009616666666673</v>
      </c>
      <c r="U100" s="25">
        <f t="shared" ref="U100" si="43">-(N100+O100/60)</f>
        <v>-65.771716666666663</v>
      </c>
      <c r="V100" s="25">
        <f t="shared" si="40"/>
        <v>-66.00855</v>
      </c>
      <c r="W100" s="1">
        <f t="shared" si="41"/>
        <v>-65.769866666666672</v>
      </c>
      <c r="X100" s="2" t="s">
        <v>31</v>
      </c>
      <c r="Y100" s="2"/>
      <c r="Z100" s="2"/>
      <c r="AA100" s="2"/>
      <c r="AB100" s="2"/>
      <c r="AC100" s="4"/>
    </row>
    <row r="101" spans="1:32" ht="13.5" customHeight="1">
      <c r="A101" s="2" t="s">
        <v>863</v>
      </c>
      <c r="B101" s="2" t="s">
        <v>869</v>
      </c>
      <c r="C101" s="3">
        <v>44985</v>
      </c>
      <c r="D101" s="3" t="s">
        <v>50</v>
      </c>
      <c r="E101" s="3" t="s">
        <v>43</v>
      </c>
      <c r="F101" s="3"/>
      <c r="G101" s="3"/>
      <c r="H101" s="22">
        <v>0.37847222222222227</v>
      </c>
      <c r="I101" s="22">
        <v>0.64583333333333337</v>
      </c>
      <c r="J101" s="22"/>
      <c r="K101" s="22"/>
      <c r="L101" s="27">
        <v>66</v>
      </c>
      <c r="M101" s="30">
        <v>0.16214999999999999</v>
      </c>
      <c r="N101" s="27">
        <v>65</v>
      </c>
      <c r="O101" s="30">
        <v>46.316099999999999</v>
      </c>
      <c r="P101" s="27"/>
      <c r="Q101" s="30"/>
      <c r="R101" s="27"/>
      <c r="S101" s="30"/>
      <c r="T101" s="25">
        <f t="shared" ref="T101:T164" si="44">-(L101+M101/60)</f>
        <v>-66.002702499999998</v>
      </c>
      <c r="U101" s="25">
        <f t="shared" ref="U101:U164" si="45">-(N101+O101/60)</f>
        <v>-65.771934999999999</v>
      </c>
      <c r="V101" s="25">
        <f t="shared" ref="V101:V164" si="46">-(P101+Q101/60)</f>
        <v>0</v>
      </c>
      <c r="W101" s="1">
        <f t="shared" ref="W101:W164" si="47">-(R101+S101/60)</f>
        <v>0</v>
      </c>
      <c r="X101" s="2" t="s">
        <v>31</v>
      </c>
      <c r="Y101" s="2"/>
      <c r="Z101" s="2"/>
      <c r="AA101" s="2"/>
      <c r="AB101" s="2"/>
      <c r="AC101" s="4"/>
    </row>
    <row r="102" spans="1:32" ht="13.5" customHeight="1">
      <c r="A102" s="2" t="s">
        <v>863</v>
      </c>
      <c r="B102" s="2" t="s">
        <v>877</v>
      </c>
      <c r="C102" s="3">
        <v>44984</v>
      </c>
      <c r="D102" s="3" t="s">
        <v>43</v>
      </c>
      <c r="E102" s="3" t="s">
        <v>804</v>
      </c>
      <c r="F102" s="3" t="s">
        <v>143</v>
      </c>
      <c r="G102" s="3"/>
      <c r="H102" s="22">
        <v>0.66249999999999998</v>
      </c>
      <c r="I102" s="22">
        <v>0.69444444444444453</v>
      </c>
      <c r="J102" s="22"/>
      <c r="K102" s="22"/>
      <c r="L102" s="27">
        <v>66</v>
      </c>
      <c r="M102" s="30">
        <v>5.7149999999999999E-2</v>
      </c>
      <c r="N102" s="27">
        <v>65</v>
      </c>
      <c r="O102" s="30">
        <v>46.478499999999997</v>
      </c>
      <c r="P102" s="27"/>
      <c r="Q102" s="30"/>
      <c r="R102" s="27"/>
      <c r="S102" s="30"/>
      <c r="T102" s="25">
        <f t="shared" si="44"/>
        <v>-66.000952499999997</v>
      </c>
      <c r="U102" s="25">
        <f t="shared" si="45"/>
        <v>-65.774641666666668</v>
      </c>
      <c r="V102" s="25">
        <f t="shared" si="46"/>
        <v>0</v>
      </c>
      <c r="W102" s="1">
        <f t="shared" si="47"/>
        <v>0</v>
      </c>
      <c r="X102" s="2" t="s">
        <v>31</v>
      </c>
      <c r="Y102" s="2"/>
      <c r="Z102" s="2"/>
      <c r="AA102" s="2"/>
      <c r="AB102" s="2"/>
      <c r="AC102" s="4"/>
    </row>
    <row r="103" spans="1:32" ht="13.5" customHeight="1">
      <c r="A103" s="2" t="s">
        <v>863</v>
      </c>
      <c r="B103" s="2" t="s">
        <v>878</v>
      </c>
      <c r="C103" s="3">
        <v>44984</v>
      </c>
      <c r="D103" s="3" t="s">
        <v>43</v>
      </c>
      <c r="E103" s="3" t="s">
        <v>804</v>
      </c>
      <c r="F103" s="3" t="s">
        <v>143</v>
      </c>
      <c r="G103" s="3"/>
      <c r="H103" s="22">
        <v>0.70138888888888884</v>
      </c>
      <c r="I103" s="22">
        <v>0.72916666666666663</v>
      </c>
      <c r="J103" s="22"/>
      <c r="K103" s="22"/>
      <c r="L103" s="27">
        <v>66</v>
      </c>
      <c r="M103" s="30">
        <v>9.6500000000000002E-2</v>
      </c>
      <c r="N103" s="27">
        <v>65</v>
      </c>
      <c r="O103" s="30">
        <v>45.841999999999999</v>
      </c>
      <c r="P103" s="27"/>
      <c r="Q103" s="30"/>
      <c r="R103" s="27"/>
      <c r="S103" s="30"/>
      <c r="T103" s="25">
        <f t="shared" si="44"/>
        <v>-66.001608333333337</v>
      </c>
      <c r="U103" s="25">
        <f t="shared" si="45"/>
        <v>-65.76403333333333</v>
      </c>
      <c r="V103" s="25">
        <f t="shared" si="46"/>
        <v>0</v>
      </c>
      <c r="W103" s="1">
        <f t="shared" si="47"/>
        <v>0</v>
      </c>
      <c r="X103" s="2" t="s">
        <v>31</v>
      </c>
      <c r="Y103" s="2"/>
      <c r="Z103" s="2"/>
      <c r="AA103" s="2"/>
      <c r="AB103" s="2"/>
      <c r="AC103" s="4"/>
    </row>
    <row r="104" spans="1:32" ht="13.5" customHeight="1">
      <c r="A104" s="2" t="s">
        <v>863</v>
      </c>
      <c r="B104" s="2" t="s">
        <v>879</v>
      </c>
      <c r="C104" s="3">
        <v>44985</v>
      </c>
      <c r="D104" s="3" t="s">
        <v>58</v>
      </c>
      <c r="E104" s="3" t="s">
        <v>30</v>
      </c>
      <c r="F104" s="3"/>
      <c r="G104" s="3"/>
      <c r="H104" s="22">
        <v>0.41666666666666669</v>
      </c>
      <c r="I104" s="22">
        <v>0.4375</v>
      </c>
      <c r="J104" s="22"/>
      <c r="K104" s="22"/>
      <c r="L104" s="27">
        <v>66</v>
      </c>
      <c r="M104" s="30">
        <v>5.7149999999999999E-2</v>
      </c>
      <c r="N104" s="27">
        <v>65</v>
      </c>
      <c r="O104" s="30">
        <v>46.478499999999997</v>
      </c>
      <c r="P104" s="27"/>
      <c r="Q104" s="30"/>
      <c r="R104" s="27"/>
      <c r="S104" s="30"/>
      <c r="T104" s="25">
        <f t="shared" si="44"/>
        <v>-66.000952499999997</v>
      </c>
      <c r="U104" s="25">
        <f t="shared" si="45"/>
        <v>-65.774641666666668</v>
      </c>
      <c r="V104" s="25">
        <f t="shared" si="46"/>
        <v>0</v>
      </c>
      <c r="W104" s="1">
        <f t="shared" si="47"/>
        <v>0</v>
      </c>
      <c r="X104" s="2" t="s">
        <v>891</v>
      </c>
      <c r="Y104" s="2"/>
      <c r="Z104" s="2"/>
      <c r="AA104" s="2"/>
      <c r="AB104" s="2"/>
      <c r="AC104" s="4"/>
    </row>
    <row r="105" spans="1:32" ht="13.5" customHeight="1">
      <c r="A105" s="2" t="s">
        <v>863</v>
      </c>
      <c r="B105" s="2" t="s">
        <v>880</v>
      </c>
      <c r="C105" s="3">
        <v>44986</v>
      </c>
      <c r="D105" s="3" t="s">
        <v>113</v>
      </c>
      <c r="E105" s="3"/>
      <c r="F105" s="3"/>
      <c r="G105" s="3"/>
      <c r="H105" s="33"/>
      <c r="I105" s="33"/>
      <c r="J105" s="22"/>
      <c r="K105" s="22"/>
      <c r="L105" s="34"/>
      <c r="M105" s="35"/>
      <c r="N105" s="34"/>
      <c r="O105" s="35"/>
      <c r="P105" s="27"/>
      <c r="Q105" s="30"/>
      <c r="R105" s="27"/>
      <c r="S105" s="30"/>
      <c r="T105" s="25">
        <f t="shared" si="44"/>
        <v>0</v>
      </c>
      <c r="U105" s="25">
        <f t="shared" si="45"/>
        <v>0</v>
      </c>
      <c r="V105" s="25">
        <f t="shared" si="46"/>
        <v>0</v>
      </c>
      <c r="W105" s="1">
        <f t="shared" si="47"/>
        <v>0</v>
      </c>
      <c r="X105" s="2" t="s">
        <v>891</v>
      </c>
      <c r="Y105" s="2"/>
      <c r="Z105" s="2"/>
      <c r="AA105" s="2"/>
      <c r="AB105" s="2"/>
      <c r="AC105" s="4"/>
    </row>
    <row r="106" spans="1:32" ht="13.5" customHeight="1">
      <c r="A106" s="2" t="s">
        <v>863</v>
      </c>
      <c r="B106" s="2" t="s">
        <v>880</v>
      </c>
      <c r="C106" s="3">
        <v>44987</v>
      </c>
      <c r="D106" s="3" t="s">
        <v>113</v>
      </c>
      <c r="E106" s="3"/>
      <c r="F106" s="3"/>
      <c r="G106" s="3"/>
      <c r="H106" s="33"/>
      <c r="I106" s="33"/>
      <c r="J106" s="22"/>
      <c r="K106" s="22"/>
      <c r="L106" s="34"/>
      <c r="M106" s="35"/>
      <c r="N106" s="34"/>
      <c r="O106" s="35"/>
      <c r="P106" s="27"/>
      <c r="Q106" s="30"/>
      <c r="R106" s="27"/>
      <c r="S106" s="30"/>
      <c r="T106" s="25">
        <f t="shared" si="44"/>
        <v>0</v>
      </c>
      <c r="U106" s="25">
        <f t="shared" si="45"/>
        <v>0</v>
      </c>
      <c r="V106" s="25">
        <f t="shared" si="46"/>
        <v>0</v>
      </c>
      <c r="W106" s="1">
        <f t="shared" si="47"/>
        <v>0</v>
      </c>
      <c r="X106" s="2" t="s">
        <v>891</v>
      </c>
      <c r="Y106" s="2"/>
      <c r="Z106" s="2"/>
      <c r="AA106" s="2"/>
      <c r="AB106" s="2"/>
      <c r="AC106" s="4"/>
    </row>
    <row r="107" spans="1:32" ht="13.5" customHeight="1">
      <c r="A107" s="2" t="s">
        <v>863</v>
      </c>
      <c r="B107" s="2" t="s">
        <v>881</v>
      </c>
      <c r="C107" s="3">
        <v>44987</v>
      </c>
      <c r="D107" s="3" t="s">
        <v>50</v>
      </c>
      <c r="E107" s="3" t="s">
        <v>43</v>
      </c>
      <c r="F107" s="3"/>
      <c r="G107" s="3"/>
      <c r="H107" s="22">
        <v>0.3888888888888889</v>
      </c>
      <c r="I107" s="22"/>
      <c r="J107" s="22"/>
      <c r="K107" s="22"/>
      <c r="L107" s="27">
        <v>67</v>
      </c>
      <c r="M107" s="30">
        <v>33.027000000000001</v>
      </c>
      <c r="N107" s="27">
        <v>67</v>
      </c>
      <c r="O107" s="30">
        <v>13.311999999999999</v>
      </c>
      <c r="P107" s="27"/>
      <c r="Q107" s="30"/>
      <c r="R107" s="27"/>
      <c r="S107" s="30"/>
      <c r="T107" s="25">
        <f t="shared" si="44"/>
        <v>-67.550449999999998</v>
      </c>
      <c r="U107" s="25">
        <f t="shared" si="45"/>
        <v>-67.221866666666671</v>
      </c>
      <c r="V107" s="25">
        <f t="shared" si="46"/>
        <v>0</v>
      </c>
      <c r="W107" s="1">
        <f t="shared" si="47"/>
        <v>0</v>
      </c>
      <c r="X107" s="2" t="s">
        <v>891</v>
      </c>
      <c r="Y107" s="2"/>
      <c r="Z107" s="2"/>
      <c r="AA107" s="2"/>
      <c r="AB107" s="2"/>
      <c r="AC107" s="4"/>
    </row>
    <row r="108" spans="1:32" ht="13.5" customHeight="1">
      <c r="A108" s="2" t="s">
        <v>863</v>
      </c>
      <c r="B108" s="2" t="s">
        <v>856</v>
      </c>
      <c r="C108" s="3">
        <v>44987</v>
      </c>
      <c r="D108" s="3" t="s">
        <v>35</v>
      </c>
      <c r="E108" s="3" t="s">
        <v>62</v>
      </c>
      <c r="F108" s="3"/>
      <c r="G108" s="3"/>
      <c r="H108" s="22">
        <v>0.39583333333333331</v>
      </c>
      <c r="I108" s="22"/>
      <c r="J108" s="22"/>
      <c r="K108" s="22"/>
      <c r="L108" s="27">
        <v>67</v>
      </c>
      <c r="M108" s="30">
        <v>33.112000000000002</v>
      </c>
      <c r="N108" s="27">
        <v>67</v>
      </c>
      <c r="O108" s="30">
        <v>12.89</v>
      </c>
      <c r="P108" s="27"/>
      <c r="Q108" s="30"/>
      <c r="R108" s="27"/>
      <c r="S108" s="30"/>
      <c r="T108" s="25">
        <f t="shared" si="44"/>
        <v>-67.551866666666669</v>
      </c>
      <c r="U108" s="25">
        <f t="shared" si="45"/>
        <v>-67.214833333333331</v>
      </c>
      <c r="V108" s="25">
        <f t="shared" si="46"/>
        <v>0</v>
      </c>
      <c r="W108" s="1">
        <f t="shared" si="47"/>
        <v>0</v>
      </c>
      <c r="X108" s="2" t="s">
        <v>891</v>
      </c>
      <c r="Y108" s="2"/>
      <c r="Z108" s="2"/>
      <c r="AA108" s="2"/>
      <c r="AB108" s="2"/>
      <c r="AC108" s="4"/>
    </row>
    <row r="109" spans="1:32" ht="13.5" customHeight="1">
      <c r="A109" s="2" t="s">
        <v>863</v>
      </c>
      <c r="B109" s="2" t="s">
        <v>882</v>
      </c>
      <c r="C109" s="3">
        <v>44987</v>
      </c>
      <c r="D109" s="3" t="s">
        <v>35</v>
      </c>
      <c r="E109" s="3"/>
      <c r="F109" s="3"/>
      <c r="G109" s="3"/>
      <c r="H109" s="22">
        <v>0.63541666666666663</v>
      </c>
      <c r="I109" s="22">
        <v>0.67708333333333337</v>
      </c>
      <c r="J109" s="22"/>
      <c r="K109" s="22"/>
      <c r="L109" s="27">
        <v>67</v>
      </c>
      <c r="M109" s="30">
        <v>33.112000000000002</v>
      </c>
      <c r="N109" s="27">
        <v>67</v>
      </c>
      <c r="O109" s="30">
        <v>12.89</v>
      </c>
      <c r="P109" s="27"/>
      <c r="Q109" s="30"/>
      <c r="R109" s="27"/>
      <c r="S109" s="30"/>
      <c r="T109" s="25">
        <f t="shared" si="44"/>
        <v>-67.551866666666669</v>
      </c>
      <c r="U109" s="25">
        <f t="shared" si="45"/>
        <v>-67.214833333333331</v>
      </c>
      <c r="V109" s="25">
        <f t="shared" si="46"/>
        <v>0</v>
      </c>
      <c r="W109" s="1">
        <f t="shared" si="47"/>
        <v>0</v>
      </c>
      <c r="X109" s="2" t="s">
        <v>891</v>
      </c>
      <c r="Y109" s="2"/>
      <c r="Z109" s="2"/>
      <c r="AA109" s="2"/>
      <c r="AB109" s="2"/>
      <c r="AC109" s="4"/>
    </row>
    <row r="110" spans="1:32" ht="13.5" customHeight="1">
      <c r="A110" s="2" t="s">
        <v>863</v>
      </c>
      <c r="B110" s="2" t="s">
        <v>883</v>
      </c>
      <c r="C110" s="3">
        <v>44987</v>
      </c>
      <c r="D110" s="3" t="s">
        <v>46</v>
      </c>
      <c r="E110" s="3"/>
      <c r="F110" s="3"/>
      <c r="G110" s="3"/>
      <c r="H110" s="22">
        <v>0.54166666666666663</v>
      </c>
      <c r="I110" s="22"/>
      <c r="J110" s="22"/>
      <c r="K110" s="22"/>
      <c r="L110" s="27">
        <v>67</v>
      </c>
      <c r="M110" s="30">
        <v>33.222000000000001</v>
      </c>
      <c r="N110" s="27">
        <v>67</v>
      </c>
      <c r="O110" s="30">
        <v>13.146000000000001</v>
      </c>
      <c r="P110" s="27"/>
      <c r="Q110" s="30"/>
      <c r="R110" s="27"/>
      <c r="S110" s="30"/>
      <c r="T110" s="25">
        <f t="shared" si="44"/>
        <v>-67.553700000000006</v>
      </c>
      <c r="U110" s="25">
        <f t="shared" si="45"/>
        <v>-67.219099999999997</v>
      </c>
      <c r="V110" s="25">
        <f t="shared" si="46"/>
        <v>0</v>
      </c>
      <c r="W110" s="1">
        <f t="shared" si="47"/>
        <v>0</v>
      </c>
      <c r="X110" s="2" t="s">
        <v>891</v>
      </c>
      <c r="Y110" s="2"/>
      <c r="Z110" s="2"/>
      <c r="AA110" s="2"/>
      <c r="AB110" s="2"/>
      <c r="AC110" s="4"/>
    </row>
    <row r="111" spans="1:32" ht="13.5" customHeight="1">
      <c r="A111" s="2" t="s">
        <v>863</v>
      </c>
      <c r="B111" s="2" t="s">
        <v>884</v>
      </c>
      <c r="C111" s="3">
        <v>44987</v>
      </c>
      <c r="D111" s="3" t="s">
        <v>50</v>
      </c>
      <c r="E111" s="3" t="s">
        <v>43</v>
      </c>
      <c r="F111" s="3"/>
      <c r="G111" s="3"/>
      <c r="H111" s="22">
        <v>0.46249999999999997</v>
      </c>
      <c r="I111" s="22">
        <v>0.49305555555555558</v>
      </c>
      <c r="J111" s="22"/>
      <c r="K111" s="22"/>
      <c r="L111" s="27">
        <v>67</v>
      </c>
      <c r="M111" s="30">
        <v>33.112000000000002</v>
      </c>
      <c r="N111" s="27">
        <v>67</v>
      </c>
      <c r="O111" s="30">
        <v>12.89</v>
      </c>
      <c r="P111" s="27"/>
      <c r="Q111" s="30"/>
      <c r="R111" s="27"/>
      <c r="S111" s="30"/>
      <c r="T111" s="25">
        <f t="shared" si="44"/>
        <v>-67.551866666666669</v>
      </c>
      <c r="U111" s="25">
        <f t="shared" si="45"/>
        <v>-67.214833333333331</v>
      </c>
      <c r="V111" s="25">
        <f t="shared" si="46"/>
        <v>0</v>
      </c>
      <c r="W111" s="1">
        <f t="shared" si="47"/>
        <v>0</v>
      </c>
      <c r="X111" s="2" t="s">
        <v>891</v>
      </c>
      <c r="Y111" s="2"/>
      <c r="Z111" s="2"/>
      <c r="AA111" s="2"/>
      <c r="AB111" s="2"/>
      <c r="AC111" s="4"/>
    </row>
    <row r="112" spans="1:32" ht="13.5" customHeight="1">
      <c r="A112" s="2" t="s">
        <v>863</v>
      </c>
      <c r="B112" s="2" t="s">
        <v>885</v>
      </c>
      <c r="C112" s="3">
        <v>44987</v>
      </c>
      <c r="D112" s="3" t="s">
        <v>50</v>
      </c>
      <c r="E112" s="3" t="s">
        <v>43</v>
      </c>
      <c r="F112" s="3"/>
      <c r="G112" s="3"/>
      <c r="H112" s="22">
        <v>0.46249999999999997</v>
      </c>
      <c r="I112" s="22">
        <v>0.49305555555555558</v>
      </c>
      <c r="J112" s="22"/>
      <c r="K112" s="22"/>
      <c r="L112" s="27">
        <v>67</v>
      </c>
      <c r="M112" s="30">
        <v>33.112000000000002</v>
      </c>
      <c r="N112" s="27">
        <v>67</v>
      </c>
      <c r="O112" s="30">
        <v>12.89</v>
      </c>
      <c r="P112" s="27"/>
      <c r="Q112" s="30"/>
      <c r="R112" s="27"/>
      <c r="S112" s="30"/>
      <c r="T112" s="25">
        <f t="shared" si="44"/>
        <v>-67.551866666666669</v>
      </c>
      <c r="U112" s="25">
        <f t="shared" si="45"/>
        <v>-67.214833333333331</v>
      </c>
      <c r="V112" s="25">
        <f t="shared" si="46"/>
        <v>0</v>
      </c>
      <c r="W112" s="1">
        <f t="shared" si="47"/>
        <v>0</v>
      </c>
      <c r="X112" s="2" t="s">
        <v>891</v>
      </c>
      <c r="Y112" s="2"/>
      <c r="Z112" s="2"/>
      <c r="AA112" s="2"/>
      <c r="AB112" s="2"/>
      <c r="AC112" s="4"/>
    </row>
    <row r="113" spans="1:32" ht="13.5" customHeight="1">
      <c r="A113" s="2" t="s">
        <v>863</v>
      </c>
      <c r="B113" s="2" t="s">
        <v>886</v>
      </c>
      <c r="C113" s="3">
        <v>44987</v>
      </c>
      <c r="D113" s="3" t="s">
        <v>46</v>
      </c>
      <c r="E113" s="3"/>
      <c r="F113" s="3"/>
      <c r="G113" s="3"/>
      <c r="H113" s="22">
        <v>0.35416666666666669</v>
      </c>
      <c r="I113" s="22">
        <v>0.3611111111111111</v>
      </c>
      <c r="J113" s="22"/>
      <c r="K113" s="22"/>
      <c r="L113" s="27">
        <v>67</v>
      </c>
      <c r="M113" s="30">
        <v>33.090000000000003</v>
      </c>
      <c r="N113" s="27">
        <v>67</v>
      </c>
      <c r="O113" s="30">
        <v>13.291</v>
      </c>
      <c r="P113" s="27">
        <v>67</v>
      </c>
      <c r="Q113" s="30">
        <v>33.026000000000003</v>
      </c>
      <c r="R113" s="27">
        <v>67</v>
      </c>
      <c r="S113" s="30">
        <v>13.429</v>
      </c>
      <c r="T113" s="25">
        <f t="shared" si="44"/>
        <v>-67.551500000000004</v>
      </c>
      <c r="U113" s="25">
        <f t="shared" si="45"/>
        <v>-67.221516666666673</v>
      </c>
      <c r="V113" s="25">
        <f t="shared" si="46"/>
        <v>-67.550433333333331</v>
      </c>
      <c r="W113" s="1">
        <f t="shared" si="47"/>
        <v>-67.223816666666664</v>
      </c>
      <c r="X113" s="2" t="s">
        <v>891</v>
      </c>
      <c r="Y113" s="2"/>
      <c r="Z113" s="2"/>
      <c r="AA113" s="2"/>
      <c r="AB113" s="2"/>
      <c r="AC113" s="4"/>
    </row>
    <row r="114" spans="1:32" ht="13.5" customHeight="1">
      <c r="A114" s="2" t="s">
        <v>863</v>
      </c>
      <c r="B114" s="2" t="s">
        <v>887</v>
      </c>
      <c r="C114" s="3">
        <v>44987</v>
      </c>
      <c r="D114" s="3" t="s">
        <v>46</v>
      </c>
      <c r="E114" s="3"/>
      <c r="F114" s="3"/>
      <c r="G114" s="3"/>
      <c r="H114" s="22">
        <v>0.5625</v>
      </c>
      <c r="I114" s="22">
        <v>0.57638888888888895</v>
      </c>
      <c r="J114" s="22"/>
      <c r="K114" s="22"/>
      <c r="L114" s="27">
        <v>67</v>
      </c>
      <c r="M114" s="30">
        <v>33.048000000000002</v>
      </c>
      <c r="N114" s="27">
        <v>67</v>
      </c>
      <c r="O114" s="30">
        <v>13.736000000000001</v>
      </c>
      <c r="P114" s="27">
        <v>67</v>
      </c>
      <c r="Q114" s="30">
        <v>32.993000000000002</v>
      </c>
      <c r="R114" s="27">
        <v>67</v>
      </c>
      <c r="S114" s="30">
        <v>13.708</v>
      </c>
      <c r="T114" s="25">
        <f t="shared" si="44"/>
        <v>-67.550799999999995</v>
      </c>
      <c r="U114" s="25">
        <f t="shared" si="45"/>
        <v>-67.22893333333333</v>
      </c>
      <c r="V114" s="25">
        <f t="shared" si="46"/>
        <v>-67.549883333333327</v>
      </c>
      <c r="W114" s="1">
        <f t="shared" si="47"/>
        <v>-67.228466666666662</v>
      </c>
      <c r="X114" s="2" t="s">
        <v>891</v>
      </c>
      <c r="Y114" s="2"/>
      <c r="Z114" s="2"/>
      <c r="AA114" s="2"/>
      <c r="AB114" s="2"/>
      <c r="AC114" s="4"/>
    </row>
    <row r="115" spans="1:32" ht="13.5" customHeight="1">
      <c r="A115" s="2" t="s">
        <v>863</v>
      </c>
      <c r="B115" s="2" t="s">
        <v>888</v>
      </c>
      <c r="C115" s="3">
        <v>44987</v>
      </c>
      <c r="D115" s="3" t="s">
        <v>46</v>
      </c>
      <c r="E115" s="3"/>
      <c r="F115" s="3"/>
      <c r="G115" s="3"/>
      <c r="H115" s="22">
        <v>0.57638888888888895</v>
      </c>
      <c r="I115" s="22">
        <v>0.59027777777777779</v>
      </c>
      <c r="J115" s="22"/>
      <c r="K115" s="22"/>
      <c r="L115" s="27">
        <v>67</v>
      </c>
      <c r="M115" s="30">
        <v>32.984000000000002</v>
      </c>
      <c r="N115" s="27">
        <v>67</v>
      </c>
      <c r="O115" s="30">
        <v>13.755000000000001</v>
      </c>
      <c r="P115" s="27">
        <v>67</v>
      </c>
      <c r="Q115" s="30">
        <v>32.927999999999997</v>
      </c>
      <c r="R115" s="27">
        <v>67</v>
      </c>
      <c r="S115" s="30">
        <v>13.609</v>
      </c>
      <c r="T115" s="25">
        <f t="shared" si="44"/>
        <v>-67.549733333333336</v>
      </c>
      <c r="U115" s="25">
        <f t="shared" si="45"/>
        <v>-67.229249999999993</v>
      </c>
      <c r="V115" s="25">
        <f t="shared" si="46"/>
        <v>-67.5488</v>
      </c>
      <c r="W115" s="1">
        <f t="shared" si="47"/>
        <v>-67.226816666666664</v>
      </c>
      <c r="X115" s="2" t="s">
        <v>891</v>
      </c>
      <c r="Y115" s="2"/>
      <c r="Z115" s="2"/>
      <c r="AA115" s="2"/>
      <c r="AB115" s="2"/>
      <c r="AC115" s="4"/>
    </row>
    <row r="116" spans="1:32" ht="13.5" customHeight="1">
      <c r="A116" s="2" t="s">
        <v>863</v>
      </c>
      <c r="B116" s="2" t="s">
        <v>889</v>
      </c>
      <c r="C116" s="3">
        <v>44987</v>
      </c>
      <c r="D116" s="3" t="s">
        <v>43</v>
      </c>
      <c r="E116" s="3"/>
      <c r="F116" s="3"/>
      <c r="G116" s="3"/>
      <c r="H116" s="22">
        <v>0.68055555555555547</v>
      </c>
      <c r="I116" s="22">
        <v>0.72916666666666663</v>
      </c>
      <c r="J116" s="22"/>
      <c r="K116" s="22"/>
      <c r="L116" s="27">
        <v>67</v>
      </c>
      <c r="M116" s="30">
        <v>33.184100000000001</v>
      </c>
      <c r="N116" s="27">
        <v>67</v>
      </c>
      <c r="O116" s="30">
        <v>12.695600000000001</v>
      </c>
      <c r="P116" s="27"/>
      <c r="Q116" s="30"/>
      <c r="R116" s="27"/>
      <c r="S116" s="30"/>
      <c r="T116" s="25">
        <f t="shared" si="44"/>
        <v>-67.553068333333329</v>
      </c>
      <c r="U116" s="25">
        <f t="shared" si="45"/>
        <v>-67.21159333333334</v>
      </c>
      <c r="V116" s="25">
        <f t="shared" si="46"/>
        <v>0</v>
      </c>
      <c r="W116" s="1">
        <f t="shared" si="47"/>
        <v>0</v>
      </c>
      <c r="X116" s="2" t="s">
        <v>891</v>
      </c>
      <c r="Y116" s="2"/>
      <c r="Z116" s="2"/>
      <c r="AA116" s="2"/>
      <c r="AB116" s="2"/>
      <c r="AC116" s="4"/>
    </row>
    <row r="117" spans="1:32" ht="13.5" customHeight="1">
      <c r="A117" s="2" t="s">
        <v>863</v>
      </c>
      <c r="B117" s="2" t="s">
        <v>857</v>
      </c>
      <c r="C117" s="3">
        <v>44987</v>
      </c>
      <c r="D117" s="3" t="s">
        <v>58</v>
      </c>
      <c r="E117" s="3" t="s">
        <v>47</v>
      </c>
      <c r="F117" s="3"/>
      <c r="G117" s="3"/>
      <c r="H117" s="22">
        <v>0.625</v>
      </c>
      <c r="I117" s="22">
        <v>0.65</v>
      </c>
      <c r="J117" s="22"/>
      <c r="K117" s="22"/>
      <c r="L117" s="27">
        <v>67</v>
      </c>
      <c r="M117" s="30">
        <v>33.112000000000002</v>
      </c>
      <c r="N117" s="27">
        <v>67</v>
      </c>
      <c r="O117" s="30">
        <v>12.89</v>
      </c>
      <c r="P117" s="27"/>
      <c r="Q117" s="30"/>
      <c r="R117" s="27"/>
      <c r="S117" s="30"/>
      <c r="T117" s="25">
        <f t="shared" si="44"/>
        <v>-67.551866666666669</v>
      </c>
      <c r="U117" s="25">
        <f t="shared" si="45"/>
        <v>-67.214833333333331</v>
      </c>
      <c r="V117" s="25">
        <f t="shared" si="46"/>
        <v>0</v>
      </c>
      <c r="W117" s="1">
        <f t="shared" si="47"/>
        <v>0</v>
      </c>
      <c r="X117" s="2" t="s">
        <v>891</v>
      </c>
      <c r="Y117" s="2"/>
      <c r="Z117" s="2"/>
      <c r="AA117" s="2"/>
      <c r="AB117" s="2"/>
      <c r="AC117" s="4"/>
    </row>
    <row r="118" spans="1:32" ht="13.5" customHeight="1">
      <c r="A118" s="2" t="s">
        <v>863</v>
      </c>
      <c r="B118" s="2" t="s">
        <v>890</v>
      </c>
      <c r="C118" s="3">
        <v>44987</v>
      </c>
      <c r="D118" s="3" t="s">
        <v>58</v>
      </c>
      <c r="E118" s="3" t="s">
        <v>231</v>
      </c>
      <c r="F118" s="3"/>
      <c r="G118" s="3"/>
      <c r="H118" s="22">
        <v>0.5</v>
      </c>
      <c r="I118" s="22">
        <v>0.60416666666666663</v>
      </c>
      <c r="J118" s="22"/>
      <c r="K118" s="22"/>
      <c r="L118" s="27">
        <v>67</v>
      </c>
      <c r="M118" s="30">
        <v>33.112000000000002</v>
      </c>
      <c r="N118" s="27">
        <v>67</v>
      </c>
      <c r="O118" s="30">
        <v>12.89</v>
      </c>
      <c r="P118" s="27"/>
      <c r="Q118" s="30"/>
      <c r="R118" s="27"/>
      <c r="S118" s="30"/>
      <c r="T118" s="25">
        <f t="shared" si="44"/>
        <v>-67.551866666666669</v>
      </c>
      <c r="U118" s="25">
        <f t="shared" si="45"/>
        <v>-67.214833333333331</v>
      </c>
      <c r="V118" s="25">
        <f t="shared" si="46"/>
        <v>0</v>
      </c>
      <c r="W118" s="1">
        <f t="shared" si="47"/>
        <v>0</v>
      </c>
      <c r="X118" s="2" t="s">
        <v>891</v>
      </c>
      <c r="Y118" s="2"/>
      <c r="Z118" s="2"/>
      <c r="AA118" s="2"/>
      <c r="AB118" s="2"/>
      <c r="AC118" s="4"/>
    </row>
    <row r="119" spans="1:32" ht="13.5" customHeight="1">
      <c r="A119" s="2" t="s">
        <v>863</v>
      </c>
      <c r="B119" s="2" t="s">
        <v>892</v>
      </c>
      <c r="C119" s="3">
        <v>44988</v>
      </c>
      <c r="D119" s="3" t="s">
        <v>46</v>
      </c>
      <c r="E119" s="3"/>
      <c r="F119" s="3"/>
      <c r="G119" s="3"/>
      <c r="H119" s="22">
        <v>0.45833333333333331</v>
      </c>
      <c r="I119" s="22">
        <v>0.47222222222222227</v>
      </c>
      <c r="J119" s="22"/>
      <c r="K119" s="22"/>
      <c r="L119" s="34"/>
      <c r="M119" s="35"/>
      <c r="N119" s="34"/>
      <c r="O119" s="35"/>
      <c r="P119" s="27"/>
      <c r="Q119" s="30"/>
      <c r="R119" s="27"/>
      <c r="S119" s="30"/>
      <c r="T119" s="25">
        <f t="shared" si="44"/>
        <v>0</v>
      </c>
      <c r="U119" s="25">
        <f t="shared" si="45"/>
        <v>0</v>
      </c>
      <c r="V119" s="25">
        <f t="shared" si="46"/>
        <v>0</v>
      </c>
      <c r="W119" s="1">
        <f t="shared" si="47"/>
        <v>0</v>
      </c>
      <c r="X119" s="2" t="s">
        <v>891</v>
      </c>
      <c r="Y119" s="2"/>
      <c r="Z119" s="2"/>
      <c r="AA119" s="2"/>
      <c r="AB119" s="2"/>
      <c r="AC119" s="4"/>
    </row>
    <row r="120" spans="1:32" ht="13.5" customHeight="1">
      <c r="A120" s="2" t="s">
        <v>863</v>
      </c>
      <c r="B120" s="2" t="s">
        <v>893</v>
      </c>
      <c r="C120" s="3">
        <v>44988</v>
      </c>
      <c r="D120" s="3" t="s">
        <v>46</v>
      </c>
      <c r="E120" s="3"/>
      <c r="F120" s="3"/>
      <c r="G120" s="3"/>
      <c r="H120" s="22">
        <v>0.70833333333333337</v>
      </c>
      <c r="I120" s="22">
        <v>0.72222222222222221</v>
      </c>
      <c r="J120" s="22"/>
      <c r="K120" s="22"/>
      <c r="L120" s="34"/>
      <c r="M120" s="35"/>
      <c r="N120" s="34"/>
      <c r="O120" s="35"/>
      <c r="P120" s="27"/>
      <c r="Q120" s="30"/>
      <c r="R120" s="27"/>
      <c r="S120" s="30"/>
      <c r="T120" s="25">
        <f t="shared" si="44"/>
        <v>0</v>
      </c>
      <c r="U120" s="25">
        <f t="shared" si="45"/>
        <v>0</v>
      </c>
      <c r="V120" s="25">
        <f t="shared" si="46"/>
        <v>0</v>
      </c>
      <c r="W120" s="1">
        <f t="shared" si="47"/>
        <v>0</v>
      </c>
      <c r="X120" s="2" t="s">
        <v>891</v>
      </c>
      <c r="Y120" s="2">
        <v>28</v>
      </c>
      <c r="Z120" s="2">
        <v>34</v>
      </c>
      <c r="AA120" s="2"/>
      <c r="AB120" s="2"/>
      <c r="AC120" s="4"/>
    </row>
    <row r="121" spans="1:32" ht="13.5" customHeight="1">
      <c r="A121" s="2" t="s">
        <v>863</v>
      </c>
      <c r="B121" s="2" t="s">
        <v>894</v>
      </c>
      <c r="C121" s="3">
        <v>44988</v>
      </c>
      <c r="D121" s="3" t="s">
        <v>47</v>
      </c>
      <c r="E121" s="3" t="s">
        <v>62</v>
      </c>
      <c r="F121" s="3"/>
      <c r="G121" s="3"/>
      <c r="H121" s="22">
        <v>0.36736111111111108</v>
      </c>
      <c r="I121" s="22">
        <v>0.39583333333333331</v>
      </c>
      <c r="J121" s="22"/>
      <c r="K121" s="22"/>
      <c r="L121" s="27">
        <v>67</v>
      </c>
      <c r="M121" s="30">
        <v>33.112000000000002</v>
      </c>
      <c r="N121" s="27">
        <v>67</v>
      </c>
      <c r="O121" s="30">
        <v>12.89</v>
      </c>
      <c r="P121" s="27"/>
      <c r="Q121" s="30"/>
      <c r="R121" s="27"/>
      <c r="S121" s="30"/>
      <c r="T121" s="25">
        <f t="shared" si="44"/>
        <v>-67.551866666666669</v>
      </c>
      <c r="U121" s="25">
        <f t="shared" si="45"/>
        <v>-67.214833333333331</v>
      </c>
      <c r="V121" s="25">
        <f t="shared" si="46"/>
        <v>0</v>
      </c>
      <c r="W121" s="1">
        <f t="shared" si="47"/>
        <v>0</v>
      </c>
      <c r="X121" s="2" t="s">
        <v>891</v>
      </c>
      <c r="Y121" s="2"/>
      <c r="Z121" s="2">
        <v>17</v>
      </c>
      <c r="AA121" s="2"/>
      <c r="AB121" s="2"/>
      <c r="AC121" s="4"/>
    </row>
    <row r="122" spans="1:32" ht="13.5" customHeight="1">
      <c r="A122" s="2" t="s">
        <v>863</v>
      </c>
      <c r="B122" s="2" t="s">
        <v>895</v>
      </c>
      <c r="C122" s="3">
        <v>44988</v>
      </c>
      <c r="D122" s="3" t="s">
        <v>30</v>
      </c>
      <c r="E122" s="3"/>
      <c r="F122" s="3"/>
      <c r="G122" s="3"/>
      <c r="H122" s="22">
        <v>0.4694444444444445</v>
      </c>
      <c r="I122" s="22">
        <v>0.50138888888888888</v>
      </c>
      <c r="J122" s="22"/>
      <c r="K122" s="22"/>
      <c r="L122" s="27">
        <v>67</v>
      </c>
      <c r="M122" s="30">
        <v>33.112000000000002</v>
      </c>
      <c r="N122" s="27">
        <v>67</v>
      </c>
      <c r="O122" s="30">
        <v>12.89</v>
      </c>
      <c r="P122" s="27"/>
      <c r="Q122" s="30"/>
      <c r="R122" s="27"/>
      <c r="S122" s="30"/>
      <c r="T122" s="25">
        <f t="shared" si="44"/>
        <v>-67.551866666666669</v>
      </c>
      <c r="U122" s="25">
        <f t="shared" si="45"/>
        <v>-67.214833333333331</v>
      </c>
      <c r="V122" s="25">
        <f t="shared" si="46"/>
        <v>0</v>
      </c>
      <c r="W122" s="1">
        <f t="shared" si="47"/>
        <v>0</v>
      </c>
      <c r="X122" s="2" t="s">
        <v>891</v>
      </c>
      <c r="Y122" s="2"/>
      <c r="Z122" s="2"/>
      <c r="AA122" s="2">
        <v>60</v>
      </c>
      <c r="AB122" s="2"/>
      <c r="AC122" s="4" t="s">
        <v>1113</v>
      </c>
      <c r="AE122" s="2" t="s">
        <v>32</v>
      </c>
      <c r="AF122" s="2" t="s">
        <v>73</v>
      </c>
    </row>
    <row r="123" spans="1:32" ht="13.5" customHeight="1">
      <c r="A123" s="2" t="s">
        <v>863</v>
      </c>
      <c r="B123" s="2" t="s">
        <v>880</v>
      </c>
      <c r="C123" s="3">
        <v>44988</v>
      </c>
      <c r="D123" s="3" t="s">
        <v>113</v>
      </c>
      <c r="E123" s="3"/>
      <c r="F123" s="3"/>
      <c r="G123" s="3"/>
      <c r="H123" s="33"/>
      <c r="I123" s="33"/>
      <c r="J123" s="22"/>
      <c r="K123" s="22"/>
      <c r="L123" s="34"/>
      <c r="M123" s="35"/>
      <c r="N123" s="34"/>
      <c r="O123" s="35"/>
      <c r="P123" s="27"/>
      <c r="Q123" s="30"/>
      <c r="R123" s="27"/>
      <c r="S123" s="30"/>
      <c r="T123" s="25">
        <f t="shared" si="44"/>
        <v>0</v>
      </c>
      <c r="U123" s="25">
        <f t="shared" si="45"/>
        <v>0</v>
      </c>
      <c r="V123" s="25">
        <f t="shared" si="46"/>
        <v>0</v>
      </c>
      <c r="W123" s="1">
        <f t="shared" si="47"/>
        <v>0</v>
      </c>
      <c r="X123" s="2" t="s">
        <v>891</v>
      </c>
      <c r="Y123" s="2"/>
      <c r="Z123" s="2"/>
      <c r="AA123" s="2"/>
      <c r="AB123" s="2"/>
      <c r="AC123" s="4"/>
      <c r="AE123" s="2" t="s">
        <v>32</v>
      </c>
      <c r="AF123" s="2" t="s">
        <v>73</v>
      </c>
    </row>
    <row r="124" spans="1:32" ht="13.5" customHeight="1">
      <c r="A124" s="2" t="s">
        <v>863</v>
      </c>
      <c r="B124" s="2" t="s">
        <v>896</v>
      </c>
      <c r="C124" s="3">
        <v>44988</v>
      </c>
      <c r="D124" s="3" t="s">
        <v>30</v>
      </c>
      <c r="E124" s="3"/>
      <c r="F124" s="3"/>
      <c r="G124" s="3"/>
      <c r="H124" s="22">
        <v>0.34722222222222227</v>
      </c>
      <c r="I124" s="22">
        <v>0.39583333333333331</v>
      </c>
      <c r="J124" s="22"/>
      <c r="K124" s="22"/>
      <c r="L124" s="27">
        <v>67</v>
      </c>
      <c r="M124" s="30">
        <v>33.112000000000002</v>
      </c>
      <c r="N124" s="27">
        <v>67</v>
      </c>
      <c r="O124" s="30">
        <v>12.89</v>
      </c>
      <c r="P124" s="27"/>
      <c r="Q124" s="30"/>
      <c r="R124" s="27"/>
      <c r="S124" s="30"/>
      <c r="T124" s="25">
        <f t="shared" si="44"/>
        <v>-67.551866666666669</v>
      </c>
      <c r="U124" s="25">
        <f t="shared" si="45"/>
        <v>-67.214833333333331</v>
      </c>
      <c r="V124" s="25">
        <f t="shared" si="46"/>
        <v>0</v>
      </c>
      <c r="W124" s="1">
        <f t="shared" si="47"/>
        <v>0</v>
      </c>
      <c r="X124" s="2" t="s">
        <v>891</v>
      </c>
      <c r="Y124" s="2"/>
      <c r="Z124" s="2"/>
      <c r="AA124" s="2">
        <v>60</v>
      </c>
      <c r="AB124" s="2"/>
      <c r="AC124" s="4" t="s">
        <v>1113</v>
      </c>
      <c r="AE124" s="2" t="s">
        <v>32</v>
      </c>
      <c r="AF124" s="2" t="s">
        <v>73</v>
      </c>
    </row>
    <row r="125" spans="1:32" ht="13.5" customHeight="1">
      <c r="A125" s="2" t="s">
        <v>863</v>
      </c>
      <c r="B125" s="2" t="s">
        <v>897</v>
      </c>
      <c r="C125" s="3">
        <v>44988</v>
      </c>
      <c r="D125" s="3" t="s">
        <v>35</v>
      </c>
      <c r="E125" s="3" t="s">
        <v>46</v>
      </c>
      <c r="F125" s="3"/>
      <c r="G125" s="3"/>
      <c r="H125" s="22">
        <v>0.67361111111111116</v>
      </c>
      <c r="I125" s="22">
        <v>0.71527777777777779</v>
      </c>
      <c r="J125" s="22"/>
      <c r="K125" s="22"/>
      <c r="L125" s="27"/>
      <c r="M125" s="30"/>
      <c r="N125" s="27"/>
      <c r="O125" s="30"/>
      <c r="P125" s="27"/>
      <c r="Q125" s="30"/>
      <c r="R125" s="27"/>
      <c r="S125" s="30"/>
      <c r="T125" s="25">
        <v>-67.5458</v>
      </c>
      <c r="U125" s="25">
        <v>-67.214299999999994</v>
      </c>
      <c r="V125" s="25">
        <f t="shared" si="46"/>
        <v>0</v>
      </c>
      <c r="W125" s="1">
        <f t="shared" si="47"/>
        <v>0</v>
      </c>
      <c r="X125" s="2" t="s">
        <v>891</v>
      </c>
      <c r="Y125" s="2"/>
      <c r="Z125" s="2"/>
      <c r="AA125" s="2"/>
      <c r="AB125" s="2"/>
      <c r="AC125" s="4"/>
      <c r="AE125" s="2" t="s">
        <v>32</v>
      </c>
      <c r="AF125" s="2" t="s">
        <v>73</v>
      </c>
    </row>
    <row r="126" spans="1:32" ht="13.5" customHeight="1">
      <c r="A126" s="2" t="s">
        <v>863</v>
      </c>
      <c r="B126" s="2" t="s">
        <v>898</v>
      </c>
      <c r="C126" s="3">
        <v>44988</v>
      </c>
      <c r="D126" s="3" t="s">
        <v>30</v>
      </c>
      <c r="E126" s="3"/>
      <c r="F126" s="3"/>
      <c r="G126" s="3"/>
      <c r="H126" s="22">
        <v>0.39444444444444443</v>
      </c>
      <c r="I126" s="22">
        <v>0.44791666666666669</v>
      </c>
      <c r="J126" s="22"/>
      <c r="K126" s="22"/>
      <c r="L126" s="27">
        <v>67</v>
      </c>
      <c r="M126" s="30">
        <v>33.112000000000002</v>
      </c>
      <c r="N126" s="27">
        <v>67</v>
      </c>
      <c r="O126" s="30">
        <v>12.89</v>
      </c>
      <c r="P126" s="27"/>
      <c r="Q126" s="30"/>
      <c r="R126" s="27"/>
      <c r="S126" s="30"/>
      <c r="T126" s="25">
        <f t="shared" si="44"/>
        <v>-67.551866666666669</v>
      </c>
      <c r="U126" s="25">
        <f t="shared" si="45"/>
        <v>-67.214833333333331</v>
      </c>
      <c r="V126" s="25">
        <f t="shared" si="46"/>
        <v>0</v>
      </c>
      <c r="W126" s="1">
        <f t="shared" si="47"/>
        <v>0</v>
      </c>
      <c r="X126" s="2" t="s">
        <v>891</v>
      </c>
      <c r="Y126" s="2"/>
      <c r="Z126" s="2"/>
      <c r="AA126" s="2">
        <v>500</v>
      </c>
      <c r="AB126" s="2"/>
      <c r="AC126" s="4"/>
    </row>
    <row r="127" spans="1:32" ht="13.5" customHeight="1">
      <c r="A127" s="2" t="s">
        <v>863</v>
      </c>
      <c r="B127" s="2" t="s">
        <v>899</v>
      </c>
      <c r="C127" s="3">
        <v>44988</v>
      </c>
      <c r="D127" s="3"/>
      <c r="E127" s="3"/>
      <c r="F127" s="3"/>
      <c r="G127" s="3"/>
      <c r="H127" s="22">
        <v>0.6645833333333333</v>
      </c>
      <c r="I127" s="22">
        <v>0.68263888888888891</v>
      </c>
      <c r="J127" s="22"/>
      <c r="K127" s="22"/>
      <c r="L127" s="27">
        <v>67</v>
      </c>
      <c r="M127" s="30">
        <v>32.994</v>
      </c>
      <c r="N127" s="27">
        <v>67</v>
      </c>
      <c r="O127" s="30">
        <v>14.952</v>
      </c>
      <c r="P127" s="27"/>
      <c r="Q127" s="30"/>
      <c r="R127" s="27"/>
      <c r="S127" s="30"/>
      <c r="T127" s="25">
        <f t="shared" si="44"/>
        <v>-67.549899999999994</v>
      </c>
      <c r="U127" s="25">
        <f t="shared" si="45"/>
        <v>-67.249200000000002</v>
      </c>
      <c r="V127" s="25">
        <f t="shared" si="46"/>
        <v>0</v>
      </c>
      <c r="W127" s="1">
        <f t="shared" si="47"/>
        <v>0</v>
      </c>
      <c r="X127" s="2" t="s">
        <v>891</v>
      </c>
      <c r="Y127" s="2"/>
      <c r="Z127" s="2">
        <v>23</v>
      </c>
      <c r="AA127" s="2"/>
      <c r="AB127" s="2"/>
      <c r="AC127" s="4"/>
    </row>
    <row r="128" spans="1:32" ht="13.5" customHeight="1">
      <c r="A128" s="2" t="s">
        <v>863</v>
      </c>
      <c r="B128" s="2" t="s">
        <v>900</v>
      </c>
      <c r="C128" s="3">
        <v>44988</v>
      </c>
      <c r="D128" s="3" t="s">
        <v>35</v>
      </c>
      <c r="E128" s="3" t="s">
        <v>46</v>
      </c>
      <c r="F128" s="3" t="s">
        <v>113</v>
      </c>
      <c r="G128" s="3"/>
      <c r="H128" s="22">
        <v>0.57638888888888895</v>
      </c>
      <c r="I128" s="22">
        <v>0.58680555555555558</v>
      </c>
      <c r="J128" s="22"/>
      <c r="K128" s="22"/>
      <c r="L128" s="27">
        <v>67</v>
      </c>
      <c r="M128" s="30">
        <v>33.112000000000002</v>
      </c>
      <c r="N128" s="27">
        <v>67</v>
      </c>
      <c r="O128" s="30">
        <v>12.89</v>
      </c>
      <c r="P128" s="27"/>
      <c r="Q128" s="30"/>
      <c r="R128" s="27"/>
      <c r="S128" s="30"/>
      <c r="T128" s="25">
        <f t="shared" si="44"/>
        <v>-67.551866666666669</v>
      </c>
      <c r="U128" s="25">
        <f t="shared" si="45"/>
        <v>-67.214833333333331</v>
      </c>
      <c r="V128" s="25">
        <f t="shared" si="46"/>
        <v>0</v>
      </c>
      <c r="W128" s="1">
        <f t="shared" si="47"/>
        <v>0</v>
      </c>
      <c r="X128" s="2" t="s">
        <v>891</v>
      </c>
      <c r="Y128" s="2"/>
      <c r="Z128" s="2"/>
      <c r="AA128" s="2"/>
      <c r="AB128" s="2"/>
      <c r="AC128" s="4"/>
    </row>
    <row r="129" spans="1:32" ht="13.5" customHeight="1">
      <c r="A129" s="2" t="s">
        <v>863</v>
      </c>
      <c r="B129" s="2" t="s">
        <v>901</v>
      </c>
      <c r="C129" s="3">
        <v>44988</v>
      </c>
      <c r="D129" s="3" t="s">
        <v>50</v>
      </c>
      <c r="E129" s="3" t="s">
        <v>43</v>
      </c>
      <c r="F129" s="3"/>
      <c r="G129" s="3"/>
      <c r="H129" s="22">
        <v>0.41666666666666669</v>
      </c>
      <c r="I129" s="22">
        <v>0.46875</v>
      </c>
      <c r="J129" s="22"/>
      <c r="K129" s="22"/>
      <c r="L129" s="27">
        <v>67</v>
      </c>
      <c r="M129" s="30">
        <v>33.112000000000002</v>
      </c>
      <c r="N129" s="27">
        <v>67</v>
      </c>
      <c r="O129" s="30">
        <v>12.89</v>
      </c>
      <c r="P129" s="27"/>
      <c r="Q129" s="30"/>
      <c r="R129" s="27"/>
      <c r="S129" s="30"/>
      <c r="T129" s="25">
        <f t="shared" si="44"/>
        <v>-67.551866666666669</v>
      </c>
      <c r="U129" s="25">
        <f t="shared" si="45"/>
        <v>-67.214833333333331</v>
      </c>
      <c r="V129" s="25">
        <f t="shared" si="46"/>
        <v>0</v>
      </c>
      <c r="W129" s="1">
        <f t="shared" si="47"/>
        <v>0</v>
      </c>
      <c r="X129" s="2" t="s">
        <v>891</v>
      </c>
      <c r="Y129" s="2"/>
      <c r="Z129" s="2"/>
      <c r="AA129" s="2"/>
      <c r="AB129" s="2"/>
      <c r="AC129" s="4"/>
    </row>
    <row r="130" spans="1:32" ht="13.5" customHeight="1">
      <c r="A130" s="2" t="s">
        <v>863</v>
      </c>
      <c r="B130" s="2" t="s">
        <v>880</v>
      </c>
      <c r="C130" s="3">
        <v>44988</v>
      </c>
      <c r="D130" s="3" t="s">
        <v>113</v>
      </c>
      <c r="E130" s="3"/>
      <c r="F130" s="3"/>
      <c r="G130" s="3"/>
      <c r="H130" s="33"/>
      <c r="I130" s="33"/>
      <c r="J130" s="22"/>
      <c r="K130" s="22"/>
      <c r="L130" s="34"/>
      <c r="M130" s="35"/>
      <c r="N130" s="34"/>
      <c r="O130" s="35"/>
      <c r="P130" s="27"/>
      <c r="Q130" s="30"/>
      <c r="R130" s="27"/>
      <c r="S130" s="30"/>
      <c r="T130" s="25">
        <f t="shared" si="44"/>
        <v>0</v>
      </c>
      <c r="U130" s="25">
        <f t="shared" si="45"/>
        <v>0</v>
      </c>
      <c r="V130" s="25">
        <f t="shared" si="46"/>
        <v>0</v>
      </c>
      <c r="W130" s="1">
        <f t="shared" si="47"/>
        <v>0</v>
      </c>
      <c r="X130" s="2" t="s">
        <v>891</v>
      </c>
      <c r="Y130" s="2"/>
      <c r="Z130" s="2"/>
      <c r="AA130" s="2"/>
      <c r="AB130" s="2"/>
      <c r="AC130" s="4"/>
    </row>
    <row r="131" spans="1:32" ht="13.5" customHeight="1">
      <c r="A131" s="2" t="s">
        <v>863</v>
      </c>
      <c r="B131" s="2" t="s">
        <v>903</v>
      </c>
      <c r="C131" s="3">
        <v>44989</v>
      </c>
      <c r="D131" s="3" t="s">
        <v>35</v>
      </c>
      <c r="E131" s="3" t="s">
        <v>46</v>
      </c>
      <c r="F131" s="3"/>
      <c r="G131" s="3"/>
      <c r="H131" s="22">
        <v>0.47916666666666669</v>
      </c>
      <c r="I131" s="22">
        <v>0.5</v>
      </c>
      <c r="J131" s="22"/>
      <c r="K131" s="22"/>
      <c r="L131" s="27">
        <v>67</v>
      </c>
      <c r="M131" s="30">
        <v>32.994</v>
      </c>
      <c r="N131" s="27">
        <v>67</v>
      </c>
      <c r="O131" s="30">
        <v>14.852</v>
      </c>
      <c r="P131" s="27"/>
      <c r="Q131" s="30"/>
      <c r="R131" s="27"/>
      <c r="S131" s="30"/>
      <c r="T131" s="25">
        <f t="shared" si="44"/>
        <v>-67.549899999999994</v>
      </c>
      <c r="U131" s="25">
        <f t="shared" si="45"/>
        <v>-67.247533333333337</v>
      </c>
      <c r="V131" s="25">
        <f t="shared" si="46"/>
        <v>0</v>
      </c>
      <c r="W131" s="1">
        <f t="shared" si="47"/>
        <v>0</v>
      </c>
      <c r="X131" s="2" t="s">
        <v>891</v>
      </c>
      <c r="Y131" s="2"/>
      <c r="Z131" s="2">
        <v>42</v>
      </c>
      <c r="AA131" s="2"/>
      <c r="AB131" s="2"/>
      <c r="AC131" s="4"/>
    </row>
    <row r="132" spans="1:32" ht="13.5" customHeight="1">
      <c r="A132" s="2" t="s">
        <v>863</v>
      </c>
      <c r="B132" s="2" t="s">
        <v>904</v>
      </c>
      <c r="C132" s="3">
        <v>44989</v>
      </c>
      <c r="D132" s="3" t="s">
        <v>46</v>
      </c>
      <c r="E132" s="3"/>
      <c r="F132" s="3"/>
      <c r="G132" s="3"/>
      <c r="H132" s="22">
        <v>0.60416666666666663</v>
      </c>
      <c r="I132" s="22">
        <v>0.625</v>
      </c>
      <c r="J132" s="22"/>
      <c r="K132" s="22"/>
      <c r="L132" s="27">
        <v>67</v>
      </c>
      <c r="M132" s="30">
        <v>33.018999999999998</v>
      </c>
      <c r="N132" s="27">
        <v>67</v>
      </c>
      <c r="O132" s="30">
        <v>14.856</v>
      </c>
      <c r="P132" s="27">
        <v>67</v>
      </c>
      <c r="Q132" s="30">
        <v>33.021000000000001</v>
      </c>
      <c r="R132" s="27">
        <v>67</v>
      </c>
      <c r="S132" s="30">
        <v>14.8</v>
      </c>
      <c r="T132" s="25">
        <f t="shared" si="44"/>
        <v>-67.55031666666666</v>
      </c>
      <c r="U132" s="25">
        <f t="shared" si="45"/>
        <v>-67.247600000000006</v>
      </c>
      <c r="V132" s="25">
        <f t="shared" si="46"/>
        <v>-67.550349999999995</v>
      </c>
      <c r="W132" s="1">
        <f t="shared" si="47"/>
        <v>-67.24666666666667</v>
      </c>
      <c r="X132" s="2" t="s">
        <v>891</v>
      </c>
      <c r="Y132" s="2">
        <v>5</v>
      </c>
      <c r="Z132" s="2">
        <v>25</v>
      </c>
      <c r="AA132" s="2"/>
      <c r="AB132" s="2"/>
      <c r="AC132" s="4"/>
    </row>
    <row r="133" spans="1:32" ht="13.5" customHeight="1">
      <c r="A133" s="2" t="s">
        <v>863</v>
      </c>
      <c r="B133" s="2" t="s">
        <v>905</v>
      </c>
      <c r="C133" s="3">
        <v>44989</v>
      </c>
      <c r="D133" s="3" t="s">
        <v>46</v>
      </c>
      <c r="E133" s="3"/>
      <c r="F133" s="3"/>
      <c r="G133" s="3"/>
      <c r="H133" s="33"/>
      <c r="I133" s="33"/>
      <c r="J133" s="22"/>
      <c r="K133" s="22"/>
      <c r="L133" s="34"/>
      <c r="M133" s="35"/>
      <c r="N133" s="34"/>
      <c r="O133" s="35"/>
      <c r="P133" s="27"/>
      <c r="Q133" s="30"/>
      <c r="R133" s="27"/>
      <c r="S133" s="30"/>
      <c r="T133" s="25">
        <f t="shared" si="44"/>
        <v>0</v>
      </c>
      <c r="U133" s="25">
        <f t="shared" si="45"/>
        <v>0</v>
      </c>
      <c r="V133" s="25">
        <f t="shared" si="46"/>
        <v>0</v>
      </c>
      <c r="W133" s="1">
        <f t="shared" si="47"/>
        <v>0</v>
      </c>
      <c r="X133" s="2" t="s">
        <v>891</v>
      </c>
      <c r="Y133" s="2"/>
      <c r="Z133" s="2"/>
      <c r="AA133" s="2"/>
      <c r="AB133" s="2"/>
      <c r="AC133" s="4"/>
    </row>
    <row r="134" spans="1:32" ht="13.5" customHeight="1">
      <c r="A134" s="2" t="s">
        <v>863</v>
      </c>
      <c r="B134" s="2" t="s">
        <v>883</v>
      </c>
      <c r="C134" s="3">
        <v>44989</v>
      </c>
      <c r="D134" s="3" t="s">
        <v>46</v>
      </c>
      <c r="E134" s="3"/>
      <c r="F134" s="3"/>
      <c r="G134" s="3"/>
      <c r="H134" s="22"/>
      <c r="I134" s="22">
        <v>0.35416666666666669</v>
      </c>
      <c r="J134" s="22"/>
      <c r="K134" s="22"/>
      <c r="L134" s="27"/>
      <c r="M134" s="30"/>
      <c r="N134" s="27"/>
      <c r="O134" s="30"/>
      <c r="P134" s="27">
        <v>67</v>
      </c>
      <c r="Q134" s="30">
        <v>33.222000000000001</v>
      </c>
      <c r="R134" s="27">
        <v>67</v>
      </c>
      <c r="S134" s="30">
        <v>13.146000000000001</v>
      </c>
      <c r="T134" s="25">
        <f t="shared" si="44"/>
        <v>0</v>
      </c>
      <c r="U134" s="25">
        <f t="shared" si="45"/>
        <v>0</v>
      </c>
      <c r="V134" s="25">
        <f t="shared" si="46"/>
        <v>-67.553700000000006</v>
      </c>
      <c r="W134" s="1">
        <f t="shared" si="47"/>
        <v>-67.219099999999997</v>
      </c>
      <c r="X134" s="2" t="s">
        <v>891</v>
      </c>
      <c r="Y134" s="2"/>
      <c r="Z134" s="2">
        <v>24</v>
      </c>
      <c r="AA134" s="2"/>
      <c r="AB134" s="2"/>
      <c r="AC134" s="4"/>
    </row>
    <row r="135" spans="1:32" ht="13.5" customHeight="1">
      <c r="A135" s="2" t="s">
        <v>863</v>
      </c>
      <c r="B135" s="2" t="s">
        <v>906</v>
      </c>
      <c r="C135" s="3">
        <v>44989</v>
      </c>
      <c r="D135" s="3" t="s">
        <v>47</v>
      </c>
      <c r="E135" s="3" t="s">
        <v>62</v>
      </c>
      <c r="F135" s="3"/>
      <c r="G135" s="3"/>
      <c r="H135" s="22">
        <v>0.35416666666666669</v>
      </c>
      <c r="I135" s="22">
        <v>0.3888888888888889</v>
      </c>
      <c r="J135" s="22"/>
      <c r="K135" s="22"/>
      <c r="L135" s="27">
        <v>67</v>
      </c>
      <c r="M135" s="30">
        <v>32.994</v>
      </c>
      <c r="N135" s="27">
        <v>67</v>
      </c>
      <c r="O135" s="30">
        <v>14.852</v>
      </c>
      <c r="P135" s="27"/>
      <c r="Q135" s="30"/>
      <c r="R135" s="27"/>
      <c r="S135" s="30"/>
      <c r="T135" s="25">
        <f t="shared" si="44"/>
        <v>-67.549899999999994</v>
      </c>
      <c r="U135" s="25">
        <f t="shared" si="45"/>
        <v>-67.247533333333337</v>
      </c>
      <c r="V135" s="25">
        <f t="shared" si="46"/>
        <v>0</v>
      </c>
      <c r="W135" s="1">
        <f t="shared" si="47"/>
        <v>0</v>
      </c>
      <c r="X135" s="2" t="s">
        <v>891</v>
      </c>
      <c r="Y135" s="2"/>
      <c r="Z135" s="2"/>
      <c r="AA135" s="2"/>
      <c r="AB135" s="2"/>
      <c r="AC135" s="4"/>
    </row>
    <row r="136" spans="1:32" ht="13.5" customHeight="1">
      <c r="A136" s="2" t="s">
        <v>863</v>
      </c>
      <c r="B136" s="2" t="s">
        <v>907</v>
      </c>
      <c r="C136" s="3">
        <v>44989</v>
      </c>
      <c r="D136" s="3" t="s">
        <v>30</v>
      </c>
      <c r="E136" s="3"/>
      <c r="F136" s="3"/>
      <c r="G136" s="3"/>
      <c r="H136" s="22">
        <v>0.72222222222222221</v>
      </c>
      <c r="I136" s="22">
        <v>0.76041666666666663</v>
      </c>
      <c r="J136" s="22"/>
      <c r="K136" s="22"/>
      <c r="L136" s="27">
        <v>67</v>
      </c>
      <c r="M136" s="30">
        <v>33.112000000000002</v>
      </c>
      <c r="N136" s="27">
        <v>67</v>
      </c>
      <c r="O136" s="30">
        <v>12.89</v>
      </c>
      <c r="P136" s="27"/>
      <c r="Q136" s="30"/>
      <c r="R136" s="27"/>
      <c r="S136" s="30"/>
      <c r="T136" s="25">
        <f t="shared" si="44"/>
        <v>-67.551866666666669</v>
      </c>
      <c r="U136" s="25">
        <f t="shared" si="45"/>
        <v>-67.214833333333331</v>
      </c>
      <c r="V136" s="25">
        <f t="shared" si="46"/>
        <v>0</v>
      </c>
      <c r="W136" s="1">
        <f t="shared" si="47"/>
        <v>0</v>
      </c>
      <c r="X136" s="2" t="s">
        <v>891</v>
      </c>
      <c r="Y136" s="2"/>
      <c r="Z136" s="2"/>
      <c r="AA136" s="2">
        <v>60</v>
      </c>
      <c r="AB136" s="2"/>
      <c r="AC136" s="4" t="s">
        <v>1113</v>
      </c>
      <c r="AE136" s="2" t="s">
        <v>32</v>
      </c>
      <c r="AF136" s="2" t="s">
        <v>73</v>
      </c>
    </row>
    <row r="137" spans="1:32" ht="13.5" customHeight="1">
      <c r="A137" s="2" t="s">
        <v>863</v>
      </c>
      <c r="B137" s="2" t="s">
        <v>908</v>
      </c>
      <c r="C137" s="3">
        <v>44989</v>
      </c>
      <c r="D137" s="3" t="s">
        <v>30</v>
      </c>
      <c r="E137" s="3"/>
      <c r="F137" s="3"/>
      <c r="G137" s="3"/>
      <c r="H137" s="22">
        <v>0.45833333333333331</v>
      </c>
      <c r="I137" s="22">
        <v>0.47222222222222227</v>
      </c>
      <c r="J137" s="22"/>
      <c r="K137" s="22"/>
      <c r="L137" s="27">
        <v>67</v>
      </c>
      <c r="M137" s="30">
        <v>32.994</v>
      </c>
      <c r="N137" s="27">
        <v>67</v>
      </c>
      <c r="O137" s="30">
        <v>14.837999999999999</v>
      </c>
      <c r="P137" s="27"/>
      <c r="Q137" s="30"/>
      <c r="R137" s="27"/>
      <c r="S137" s="30"/>
      <c r="T137" s="25">
        <f t="shared" si="44"/>
        <v>-67.549899999999994</v>
      </c>
      <c r="U137" s="25">
        <f t="shared" si="45"/>
        <v>-67.247299999999996</v>
      </c>
      <c r="V137" s="25">
        <f t="shared" si="46"/>
        <v>0</v>
      </c>
      <c r="W137" s="1">
        <f t="shared" si="47"/>
        <v>0</v>
      </c>
      <c r="X137" s="2" t="s">
        <v>891</v>
      </c>
      <c r="Y137" s="2"/>
      <c r="Z137" s="2"/>
      <c r="AA137" s="2">
        <v>60</v>
      </c>
      <c r="AB137" s="2"/>
      <c r="AC137" s="4" t="s">
        <v>1113</v>
      </c>
      <c r="AE137" s="2" t="s">
        <v>32</v>
      </c>
      <c r="AF137" s="2" t="s">
        <v>73</v>
      </c>
    </row>
    <row r="138" spans="1:32" ht="13.5" customHeight="1">
      <c r="A138" s="2" t="s">
        <v>863</v>
      </c>
      <c r="B138" s="2" t="s">
        <v>909</v>
      </c>
      <c r="C138" s="3">
        <v>44989</v>
      </c>
      <c r="D138" s="3" t="s">
        <v>30</v>
      </c>
      <c r="E138" s="3" t="s">
        <v>43</v>
      </c>
      <c r="F138" s="3"/>
      <c r="G138" s="3"/>
      <c r="H138" s="22">
        <v>0.46527777777777773</v>
      </c>
      <c r="I138" s="22">
        <v>0.47222222222222227</v>
      </c>
      <c r="J138" s="22"/>
      <c r="K138" s="22"/>
      <c r="L138" s="27">
        <v>67</v>
      </c>
      <c r="M138" s="30">
        <v>32.994</v>
      </c>
      <c r="N138" s="27">
        <v>67</v>
      </c>
      <c r="O138" s="30">
        <v>14.852</v>
      </c>
      <c r="P138" s="27"/>
      <c r="Q138" s="30"/>
      <c r="R138" s="27"/>
      <c r="S138" s="30"/>
      <c r="T138" s="25">
        <f t="shared" si="44"/>
        <v>-67.549899999999994</v>
      </c>
      <c r="U138" s="25">
        <f t="shared" si="45"/>
        <v>-67.247533333333337</v>
      </c>
      <c r="V138" s="25">
        <f t="shared" si="46"/>
        <v>0</v>
      </c>
      <c r="W138" s="1">
        <f t="shared" si="47"/>
        <v>0</v>
      </c>
      <c r="X138" s="2" t="s">
        <v>891</v>
      </c>
      <c r="Y138" s="2">
        <v>0</v>
      </c>
      <c r="Z138" s="2">
        <v>16</v>
      </c>
      <c r="AA138" s="2"/>
      <c r="AB138" s="2"/>
      <c r="AC138" s="4"/>
    </row>
    <row r="139" spans="1:32" ht="13.5" customHeight="1">
      <c r="A139" s="2" t="s">
        <v>863</v>
      </c>
      <c r="B139" s="2" t="s">
        <v>910</v>
      </c>
      <c r="C139" s="3">
        <v>44989</v>
      </c>
      <c r="D139" s="3" t="s">
        <v>30</v>
      </c>
      <c r="E139" s="3"/>
      <c r="F139" s="3"/>
      <c r="G139" s="3"/>
      <c r="H139" s="22">
        <v>0.58333333333333337</v>
      </c>
      <c r="I139" s="22">
        <v>0.60416666666666663</v>
      </c>
      <c r="J139" s="22"/>
      <c r="K139" s="22"/>
      <c r="L139" s="27">
        <v>67</v>
      </c>
      <c r="M139" s="30">
        <v>32.994</v>
      </c>
      <c r="N139" s="27">
        <v>67</v>
      </c>
      <c r="O139" s="30">
        <v>14.852</v>
      </c>
      <c r="P139" s="27"/>
      <c r="Q139" s="30"/>
      <c r="R139" s="27"/>
      <c r="S139" s="30"/>
      <c r="T139" s="25">
        <f t="shared" si="44"/>
        <v>-67.549899999999994</v>
      </c>
      <c r="U139" s="25">
        <f t="shared" si="45"/>
        <v>-67.247533333333337</v>
      </c>
      <c r="V139" s="25">
        <f t="shared" si="46"/>
        <v>0</v>
      </c>
      <c r="W139" s="1">
        <f t="shared" si="47"/>
        <v>0</v>
      </c>
      <c r="X139" s="2" t="s">
        <v>891</v>
      </c>
      <c r="Y139" s="2">
        <v>0</v>
      </c>
      <c r="Z139" s="2">
        <v>16</v>
      </c>
      <c r="AA139" s="2"/>
      <c r="AB139" s="2"/>
      <c r="AC139" s="4"/>
    </row>
    <row r="140" spans="1:32" ht="13.5" customHeight="1">
      <c r="A140" s="2" t="s">
        <v>863</v>
      </c>
      <c r="B140" s="2" t="s">
        <v>911</v>
      </c>
      <c r="C140" s="3">
        <v>44989</v>
      </c>
      <c r="D140" s="3" t="s">
        <v>50</v>
      </c>
      <c r="E140" s="3" t="s">
        <v>43</v>
      </c>
      <c r="F140" s="3"/>
      <c r="G140" s="3"/>
      <c r="H140" s="22">
        <v>0.46527777777777773</v>
      </c>
      <c r="I140" s="22">
        <v>0.47222222222222227</v>
      </c>
      <c r="J140" s="22"/>
      <c r="K140" s="22"/>
      <c r="L140" s="27">
        <v>67</v>
      </c>
      <c r="M140" s="30">
        <v>32.994</v>
      </c>
      <c r="N140" s="27">
        <v>67</v>
      </c>
      <c r="O140" s="30">
        <v>14.852</v>
      </c>
      <c r="P140" s="27"/>
      <c r="Q140" s="30"/>
      <c r="R140" s="27"/>
      <c r="S140" s="30"/>
      <c r="T140" s="25">
        <f t="shared" si="44"/>
        <v>-67.549899999999994</v>
      </c>
      <c r="U140" s="25">
        <f t="shared" si="45"/>
        <v>-67.247533333333337</v>
      </c>
      <c r="V140" s="25">
        <f t="shared" si="46"/>
        <v>0</v>
      </c>
      <c r="W140" s="1">
        <f t="shared" si="47"/>
        <v>0</v>
      </c>
      <c r="X140" s="2" t="s">
        <v>891</v>
      </c>
      <c r="Y140" s="2">
        <v>0</v>
      </c>
      <c r="Z140" s="2">
        <v>16</v>
      </c>
      <c r="AA140" s="2"/>
      <c r="AB140" s="2"/>
      <c r="AC140" s="4"/>
    </row>
    <row r="141" spans="1:32" ht="13.5" customHeight="1">
      <c r="A141" s="2" t="s">
        <v>863</v>
      </c>
      <c r="B141" s="2" t="s">
        <v>912</v>
      </c>
      <c r="C141" s="3">
        <v>44989</v>
      </c>
      <c r="D141" s="3" t="s">
        <v>47</v>
      </c>
      <c r="E141" s="3"/>
      <c r="F141" s="3"/>
      <c r="G141" s="3"/>
      <c r="H141" s="33"/>
      <c r="I141" s="33"/>
      <c r="J141" s="22"/>
      <c r="K141" s="22"/>
      <c r="L141" s="34"/>
      <c r="M141" s="35"/>
      <c r="N141" s="34"/>
      <c r="O141" s="35"/>
      <c r="P141" s="27"/>
      <c r="Q141" s="30"/>
      <c r="R141" s="27"/>
      <c r="S141" s="30"/>
      <c r="T141" s="25">
        <f t="shared" si="44"/>
        <v>0</v>
      </c>
      <c r="U141" s="25">
        <f t="shared" si="45"/>
        <v>0</v>
      </c>
      <c r="V141" s="25">
        <f t="shared" si="46"/>
        <v>0</v>
      </c>
      <c r="W141" s="1">
        <f t="shared" si="47"/>
        <v>0</v>
      </c>
      <c r="X141" s="2" t="s">
        <v>891</v>
      </c>
      <c r="Y141" s="2">
        <v>0</v>
      </c>
      <c r="Z141" s="2"/>
      <c r="AA141" s="2"/>
      <c r="AB141" s="2"/>
      <c r="AC141" s="4"/>
    </row>
    <row r="142" spans="1:32" ht="13.5" customHeight="1">
      <c r="A142" s="2" t="s">
        <v>863</v>
      </c>
      <c r="B142" s="2" t="s">
        <v>913</v>
      </c>
      <c r="C142" s="3">
        <v>44989</v>
      </c>
      <c r="D142" s="3" t="s">
        <v>30</v>
      </c>
      <c r="E142" s="3"/>
      <c r="F142" s="3"/>
      <c r="G142" s="3"/>
      <c r="H142" s="22">
        <v>0.45833333333333331</v>
      </c>
      <c r="I142" s="22">
        <v>0.46875</v>
      </c>
      <c r="J142" s="22"/>
      <c r="K142" s="22"/>
      <c r="L142" s="27">
        <v>67</v>
      </c>
      <c r="M142" s="30">
        <v>32.994</v>
      </c>
      <c r="N142" s="27">
        <v>67</v>
      </c>
      <c r="O142" s="30">
        <v>14.852</v>
      </c>
      <c r="P142" s="27"/>
      <c r="Q142" s="30"/>
      <c r="R142" s="27"/>
      <c r="S142" s="30"/>
      <c r="T142" s="25">
        <f t="shared" si="44"/>
        <v>-67.549899999999994</v>
      </c>
      <c r="U142" s="25">
        <f t="shared" si="45"/>
        <v>-67.247533333333337</v>
      </c>
      <c r="V142" s="25">
        <f t="shared" si="46"/>
        <v>0</v>
      </c>
      <c r="W142" s="1">
        <f t="shared" si="47"/>
        <v>0</v>
      </c>
      <c r="X142" s="2" t="s">
        <v>891</v>
      </c>
      <c r="Y142" s="2"/>
      <c r="Z142" s="2">
        <v>16</v>
      </c>
      <c r="AA142" s="2"/>
      <c r="AB142" s="2"/>
      <c r="AC142" s="4"/>
    </row>
    <row r="143" spans="1:32" ht="13.5" customHeight="1">
      <c r="A143" s="2" t="s">
        <v>863</v>
      </c>
      <c r="B143" s="2" t="s">
        <v>914</v>
      </c>
      <c r="C143" s="3">
        <v>44989</v>
      </c>
      <c r="D143" s="3" t="s">
        <v>58</v>
      </c>
      <c r="E143" s="3"/>
      <c r="F143" s="3"/>
      <c r="G143" s="3"/>
      <c r="H143" s="22">
        <v>0.47152777777777777</v>
      </c>
      <c r="I143" s="22">
        <v>0.48472222222222222</v>
      </c>
      <c r="J143" s="22"/>
      <c r="K143" s="22"/>
      <c r="L143" s="27">
        <v>67</v>
      </c>
      <c r="M143" s="30">
        <v>32.994</v>
      </c>
      <c r="N143" s="27">
        <v>67</v>
      </c>
      <c r="O143" s="30">
        <v>14.852</v>
      </c>
      <c r="P143" s="27"/>
      <c r="Q143" s="30"/>
      <c r="R143" s="27"/>
      <c r="S143" s="30"/>
      <c r="T143" s="25">
        <f t="shared" si="44"/>
        <v>-67.549899999999994</v>
      </c>
      <c r="U143" s="25">
        <f t="shared" si="45"/>
        <v>-67.247533333333337</v>
      </c>
      <c r="V143" s="25">
        <f t="shared" si="46"/>
        <v>0</v>
      </c>
      <c r="W143" s="1">
        <f t="shared" si="47"/>
        <v>0</v>
      </c>
      <c r="X143" s="2" t="s">
        <v>891</v>
      </c>
      <c r="Y143" s="2"/>
      <c r="Z143" s="2">
        <v>18</v>
      </c>
      <c r="AA143" s="2"/>
      <c r="AB143" s="2"/>
      <c r="AC143" s="4"/>
    </row>
    <row r="144" spans="1:32" ht="13.5" customHeight="1">
      <c r="A144" s="2" t="s">
        <v>863</v>
      </c>
      <c r="B144" s="2" t="s">
        <v>905</v>
      </c>
      <c r="C144" s="3">
        <v>44990</v>
      </c>
      <c r="D144" s="3" t="s">
        <v>46</v>
      </c>
      <c r="E144" s="3"/>
      <c r="F144" s="3"/>
      <c r="G144" s="3"/>
      <c r="H144" s="22">
        <v>0.60416666666666663</v>
      </c>
      <c r="I144" s="22">
        <v>0.61805555555555558</v>
      </c>
      <c r="J144" s="22"/>
      <c r="K144" s="22"/>
      <c r="L144" s="27">
        <v>67</v>
      </c>
      <c r="M144" s="30">
        <v>30.363</v>
      </c>
      <c r="N144" s="27">
        <v>67</v>
      </c>
      <c r="O144" s="30">
        <v>3.1019999999999999</v>
      </c>
      <c r="P144" s="27">
        <v>67</v>
      </c>
      <c r="Q144" s="30">
        <v>30.315999999999999</v>
      </c>
      <c r="R144" s="27">
        <v>67</v>
      </c>
      <c r="S144" s="30">
        <v>3.1190000000000002</v>
      </c>
      <c r="T144" s="25">
        <f t="shared" si="44"/>
        <v>-67.506050000000002</v>
      </c>
      <c r="U144" s="25">
        <f t="shared" si="45"/>
        <v>-67.051699999999997</v>
      </c>
      <c r="V144" s="25">
        <f t="shared" si="46"/>
        <v>-67.505266666666671</v>
      </c>
      <c r="W144" s="1">
        <f t="shared" si="47"/>
        <v>-67.051983333333339</v>
      </c>
      <c r="X144" s="2" t="s">
        <v>891</v>
      </c>
      <c r="Y144" s="2"/>
      <c r="Z144" s="2">
        <v>18</v>
      </c>
      <c r="AA144" s="2"/>
      <c r="AB144" s="2"/>
      <c r="AC144" s="4"/>
    </row>
    <row r="145" spans="1:32" ht="13.5" customHeight="1">
      <c r="A145" s="2" t="s">
        <v>863</v>
      </c>
      <c r="B145" s="2" t="s">
        <v>915</v>
      </c>
      <c r="C145" s="3">
        <v>44990</v>
      </c>
      <c r="D145" s="3" t="s">
        <v>43</v>
      </c>
      <c r="E145" s="3" t="s">
        <v>50</v>
      </c>
      <c r="F145" s="3" t="s">
        <v>46</v>
      </c>
      <c r="G145" s="3" t="s">
        <v>62</v>
      </c>
      <c r="H145" s="22">
        <v>0.4201388888888889</v>
      </c>
      <c r="I145" s="22">
        <v>0.52083333333333337</v>
      </c>
      <c r="J145" s="22"/>
      <c r="K145" s="22"/>
      <c r="L145" s="27">
        <v>67</v>
      </c>
      <c r="M145" s="30">
        <v>30.31</v>
      </c>
      <c r="N145" s="27">
        <v>67</v>
      </c>
      <c r="O145" s="30">
        <v>3.109</v>
      </c>
      <c r="P145" s="27"/>
      <c r="Q145" s="30"/>
      <c r="R145" s="27"/>
      <c r="S145" s="30"/>
      <c r="T145" s="25">
        <f t="shared" si="44"/>
        <v>-67.505166666666668</v>
      </c>
      <c r="U145" s="25">
        <f t="shared" si="45"/>
        <v>-67.051816666666667</v>
      </c>
      <c r="V145" s="25">
        <f t="shared" si="46"/>
        <v>0</v>
      </c>
      <c r="W145" s="1">
        <f t="shared" si="47"/>
        <v>0</v>
      </c>
      <c r="X145" s="2" t="s">
        <v>891</v>
      </c>
      <c r="Y145" s="2"/>
      <c r="Z145" s="2"/>
      <c r="AA145" s="2"/>
      <c r="AB145" s="2"/>
      <c r="AC145" s="4"/>
    </row>
    <row r="146" spans="1:32" ht="13.5" customHeight="1">
      <c r="A146" s="2" t="s">
        <v>863</v>
      </c>
      <c r="B146" s="2" t="s">
        <v>916</v>
      </c>
      <c r="C146" s="3">
        <v>44990</v>
      </c>
      <c r="D146" s="3" t="s">
        <v>43</v>
      </c>
      <c r="E146" s="3" t="s">
        <v>50</v>
      </c>
      <c r="F146" s="3" t="s">
        <v>30</v>
      </c>
      <c r="G146" s="3"/>
      <c r="H146" s="22">
        <v>0.60625000000000007</v>
      </c>
      <c r="I146" s="22">
        <v>0.625</v>
      </c>
      <c r="J146" s="22"/>
      <c r="K146" s="22"/>
      <c r="L146" s="27">
        <v>67</v>
      </c>
      <c r="M146" s="30">
        <v>30.3081</v>
      </c>
      <c r="N146" s="27">
        <v>67</v>
      </c>
      <c r="O146" s="30">
        <v>3.1040000000000001</v>
      </c>
      <c r="P146" s="27"/>
      <c r="Q146" s="30"/>
      <c r="R146" s="27"/>
      <c r="S146" s="30"/>
      <c r="T146" s="25">
        <f t="shared" si="44"/>
        <v>-67.505134999999996</v>
      </c>
      <c r="U146" s="25">
        <f t="shared" si="45"/>
        <v>-67.051733333333331</v>
      </c>
      <c r="V146" s="25">
        <f t="shared" si="46"/>
        <v>0</v>
      </c>
      <c r="W146" s="1">
        <f t="shared" si="47"/>
        <v>0</v>
      </c>
      <c r="X146" s="2" t="s">
        <v>891</v>
      </c>
      <c r="Y146" s="2"/>
      <c r="Z146" s="2">
        <v>19.2</v>
      </c>
      <c r="AA146" s="2"/>
      <c r="AB146" s="2"/>
      <c r="AC146" s="4"/>
    </row>
    <row r="147" spans="1:32" ht="13.5" customHeight="1">
      <c r="A147" s="2" t="s">
        <v>863</v>
      </c>
      <c r="B147" s="2" t="s">
        <v>917</v>
      </c>
      <c r="C147" s="3">
        <v>44990</v>
      </c>
      <c r="D147" s="3" t="s">
        <v>43</v>
      </c>
      <c r="E147" s="3" t="s">
        <v>50</v>
      </c>
      <c r="F147" s="3" t="s">
        <v>30</v>
      </c>
      <c r="G147" s="3"/>
      <c r="H147" s="22">
        <v>0.60625000000000007</v>
      </c>
      <c r="I147" s="22">
        <v>0.625</v>
      </c>
      <c r="J147" s="22"/>
      <c r="K147" s="22"/>
      <c r="L147" s="27">
        <v>67</v>
      </c>
      <c r="M147" s="30">
        <v>30.3081</v>
      </c>
      <c r="N147" s="27">
        <v>67</v>
      </c>
      <c r="O147" s="30">
        <v>3.1040000000000001</v>
      </c>
      <c r="P147" s="27"/>
      <c r="Q147" s="30"/>
      <c r="R147" s="27"/>
      <c r="S147" s="30"/>
      <c r="T147" s="25">
        <f t="shared" si="44"/>
        <v>-67.505134999999996</v>
      </c>
      <c r="U147" s="25">
        <f t="shared" si="45"/>
        <v>-67.051733333333331</v>
      </c>
      <c r="V147" s="25">
        <f t="shared" si="46"/>
        <v>0</v>
      </c>
      <c r="W147" s="1">
        <f t="shared" si="47"/>
        <v>0</v>
      </c>
      <c r="X147" s="2" t="s">
        <v>891</v>
      </c>
      <c r="Y147" s="2"/>
      <c r="Z147" s="2">
        <v>19.2</v>
      </c>
      <c r="AA147" s="2"/>
      <c r="AB147" s="2"/>
      <c r="AC147" s="4"/>
    </row>
    <row r="148" spans="1:32" ht="13.5" customHeight="1">
      <c r="A148" s="2" t="s">
        <v>863</v>
      </c>
      <c r="B148" s="2" t="s">
        <v>918</v>
      </c>
      <c r="C148" s="3">
        <v>44990</v>
      </c>
      <c r="D148" s="3" t="s">
        <v>47</v>
      </c>
      <c r="E148" s="3" t="s">
        <v>35</v>
      </c>
      <c r="F148" s="3" t="s">
        <v>62</v>
      </c>
      <c r="G148" s="3"/>
      <c r="H148" s="22">
        <v>0.69097222222222221</v>
      </c>
      <c r="I148" s="22">
        <v>0.71666666666666667</v>
      </c>
      <c r="J148" s="22"/>
      <c r="K148" s="22"/>
      <c r="L148" s="27">
        <v>67</v>
      </c>
      <c r="M148" s="30">
        <v>30.3081</v>
      </c>
      <c r="N148" s="27">
        <v>67</v>
      </c>
      <c r="O148" s="30">
        <v>3.1040000000000001</v>
      </c>
      <c r="P148" s="27"/>
      <c r="Q148" s="30"/>
      <c r="R148" s="27"/>
      <c r="S148" s="30"/>
      <c r="T148" s="25">
        <f t="shared" si="44"/>
        <v>-67.505134999999996</v>
      </c>
      <c r="U148" s="25">
        <f t="shared" si="45"/>
        <v>-67.051733333333331</v>
      </c>
      <c r="V148" s="25">
        <f t="shared" si="46"/>
        <v>0</v>
      </c>
      <c r="W148" s="1">
        <f t="shared" si="47"/>
        <v>0</v>
      </c>
      <c r="X148" s="2" t="s">
        <v>891</v>
      </c>
      <c r="Y148" s="2"/>
      <c r="Z148" s="2">
        <v>24.8</v>
      </c>
      <c r="AA148" s="2"/>
      <c r="AB148" s="2"/>
      <c r="AC148" s="4"/>
      <c r="AF148" s="2" t="s">
        <v>924</v>
      </c>
    </row>
    <row r="149" spans="1:32" ht="13.5" customHeight="1">
      <c r="A149" s="2" t="s">
        <v>863</v>
      </c>
      <c r="B149" s="2" t="s">
        <v>919</v>
      </c>
      <c r="C149" s="3">
        <v>44990</v>
      </c>
      <c r="D149" s="3" t="s">
        <v>35</v>
      </c>
      <c r="E149" s="3" t="s">
        <v>47</v>
      </c>
      <c r="F149" s="3"/>
      <c r="G149" s="3"/>
      <c r="H149" s="22">
        <v>0.4375</v>
      </c>
      <c r="I149" s="22">
        <v>0.47916666666666669</v>
      </c>
      <c r="J149" s="22"/>
      <c r="K149" s="22"/>
      <c r="L149" s="27">
        <v>67</v>
      </c>
      <c r="M149" s="30">
        <v>30.3081</v>
      </c>
      <c r="N149" s="27">
        <v>67</v>
      </c>
      <c r="O149" s="30">
        <v>3.1040000000000001</v>
      </c>
      <c r="P149" s="27"/>
      <c r="Q149" s="30"/>
      <c r="R149" s="27"/>
      <c r="S149" s="30"/>
      <c r="T149" s="25">
        <f t="shared" si="44"/>
        <v>-67.505134999999996</v>
      </c>
      <c r="U149" s="25">
        <f t="shared" si="45"/>
        <v>-67.051733333333331</v>
      </c>
      <c r="V149" s="25">
        <f t="shared" si="46"/>
        <v>0</v>
      </c>
      <c r="W149" s="1">
        <f t="shared" si="47"/>
        <v>0</v>
      </c>
      <c r="X149" s="2" t="s">
        <v>891</v>
      </c>
      <c r="Y149" s="2"/>
      <c r="Z149" s="2"/>
      <c r="AA149" s="2"/>
      <c r="AB149" s="2"/>
      <c r="AC149" s="4"/>
    </row>
    <row r="150" spans="1:32" ht="13.5" customHeight="1">
      <c r="A150" s="2" t="s">
        <v>863</v>
      </c>
      <c r="B150" s="2" t="s">
        <v>920</v>
      </c>
      <c r="C150" s="3">
        <v>44990</v>
      </c>
      <c r="D150" s="3" t="s">
        <v>30</v>
      </c>
      <c r="E150" s="3"/>
      <c r="F150" s="3"/>
      <c r="G150" s="3"/>
      <c r="H150" s="22">
        <v>0.5625</v>
      </c>
      <c r="I150" s="22">
        <v>0.57638888888888895</v>
      </c>
      <c r="J150" s="22"/>
      <c r="K150" s="22"/>
      <c r="L150" s="27">
        <v>67</v>
      </c>
      <c r="M150" s="30">
        <v>30.3081</v>
      </c>
      <c r="N150" s="27">
        <v>67</v>
      </c>
      <c r="O150" s="30">
        <v>3.1040000000000001</v>
      </c>
      <c r="P150" s="27"/>
      <c r="Q150" s="30"/>
      <c r="R150" s="27"/>
      <c r="S150" s="30"/>
      <c r="T150" s="25">
        <f t="shared" si="44"/>
        <v>-67.505134999999996</v>
      </c>
      <c r="U150" s="25">
        <f t="shared" si="45"/>
        <v>-67.051733333333331</v>
      </c>
      <c r="V150" s="25">
        <f t="shared" si="46"/>
        <v>0</v>
      </c>
      <c r="W150" s="1">
        <f t="shared" si="47"/>
        <v>0</v>
      </c>
      <c r="X150" s="2" t="s">
        <v>891</v>
      </c>
      <c r="Y150" s="2"/>
      <c r="Z150" s="2"/>
      <c r="AA150" s="2">
        <v>60</v>
      </c>
      <c r="AB150" s="2"/>
      <c r="AC150" s="4" t="s">
        <v>1113</v>
      </c>
      <c r="AE150" s="2" t="s">
        <v>32</v>
      </c>
      <c r="AF150" s="2" t="s">
        <v>73</v>
      </c>
    </row>
    <row r="151" spans="1:32" ht="13.5" customHeight="1">
      <c r="A151" s="2" t="s">
        <v>863</v>
      </c>
      <c r="B151" s="2" t="s">
        <v>921</v>
      </c>
      <c r="C151" s="3">
        <v>44990</v>
      </c>
      <c r="D151" s="3" t="s">
        <v>46</v>
      </c>
      <c r="E151" s="3"/>
      <c r="F151" s="3"/>
      <c r="G151" s="3"/>
      <c r="H151" s="22">
        <v>0.77083333333333337</v>
      </c>
      <c r="I151" s="22"/>
      <c r="J151" s="22"/>
      <c r="K151" s="22"/>
      <c r="L151" s="27">
        <v>67</v>
      </c>
      <c r="M151" s="30">
        <v>30.9</v>
      </c>
      <c r="N151" s="27">
        <v>67</v>
      </c>
      <c r="O151" s="30">
        <v>5.9770000000000003</v>
      </c>
      <c r="P151" s="27"/>
      <c r="Q151" s="30"/>
      <c r="R151" s="27"/>
      <c r="S151" s="30"/>
      <c r="T151" s="25">
        <f t="shared" si="44"/>
        <v>-67.515000000000001</v>
      </c>
      <c r="U151" s="25">
        <f t="shared" si="45"/>
        <v>-67.099616666666662</v>
      </c>
      <c r="V151" s="25">
        <f t="shared" si="46"/>
        <v>0</v>
      </c>
      <c r="W151" s="1">
        <f t="shared" si="47"/>
        <v>0</v>
      </c>
      <c r="X151" s="2" t="s">
        <v>891</v>
      </c>
      <c r="Y151" s="2"/>
      <c r="Z151" s="2">
        <v>23</v>
      </c>
      <c r="AA151" s="2"/>
      <c r="AB151" s="2"/>
      <c r="AC151" s="4"/>
      <c r="AE151" s="2" t="s">
        <v>32</v>
      </c>
      <c r="AF151" s="2" t="s">
        <v>73</v>
      </c>
    </row>
    <row r="152" spans="1:32" ht="13.5" customHeight="1">
      <c r="A152" s="2" t="s">
        <v>863</v>
      </c>
      <c r="B152" s="2" t="s">
        <v>922</v>
      </c>
      <c r="C152" s="3">
        <v>44990</v>
      </c>
      <c r="D152" s="3" t="s">
        <v>30</v>
      </c>
      <c r="E152" s="3"/>
      <c r="F152" s="3"/>
      <c r="G152" s="3"/>
      <c r="H152" s="22">
        <v>0.70833333333333337</v>
      </c>
      <c r="I152" s="22">
        <v>0.72222222222222221</v>
      </c>
      <c r="J152" s="22"/>
      <c r="K152" s="22"/>
      <c r="L152" s="27">
        <v>67</v>
      </c>
      <c r="M152" s="30">
        <v>30.3081</v>
      </c>
      <c r="N152" s="27">
        <v>67</v>
      </c>
      <c r="O152" s="39">
        <v>3.1040000000000001</v>
      </c>
      <c r="P152" s="27"/>
      <c r="Q152" s="30"/>
      <c r="R152" s="27"/>
      <c r="S152" s="30"/>
      <c r="T152" s="25">
        <f t="shared" si="44"/>
        <v>-67.505134999999996</v>
      </c>
      <c r="U152" s="25">
        <f t="shared" si="45"/>
        <v>-67.051733333333331</v>
      </c>
      <c r="V152" s="25">
        <f t="shared" si="46"/>
        <v>0</v>
      </c>
      <c r="W152" s="1">
        <f t="shared" si="47"/>
        <v>0</v>
      </c>
      <c r="X152" s="2" t="s">
        <v>891</v>
      </c>
      <c r="Y152" s="2"/>
      <c r="Z152" s="2"/>
      <c r="AA152" s="2">
        <v>60</v>
      </c>
      <c r="AB152" s="2"/>
      <c r="AC152" s="4" t="s">
        <v>1113</v>
      </c>
      <c r="AE152" s="2" t="s">
        <v>32</v>
      </c>
      <c r="AF152" s="2" t="s">
        <v>73</v>
      </c>
    </row>
    <row r="153" spans="1:32" ht="13.5" customHeight="1">
      <c r="A153" s="2" t="s">
        <v>863</v>
      </c>
      <c r="B153" s="2" t="s">
        <v>923</v>
      </c>
      <c r="C153" s="3">
        <v>44990</v>
      </c>
      <c r="D153" s="3" t="s">
        <v>35</v>
      </c>
      <c r="E153" s="3" t="s">
        <v>30</v>
      </c>
      <c r="F153" s="3" t="s">
        <v>46</v>
      </c>
      <c r="G153" s="3" t="s">
        <v>113</v>
      </c>
      <c r="H153" s="22">
        <v>0.83333333333333337</v>
      </c>
      <c r="I153" s="22">
        <v>0.875</v>
      </c>
      <c r="J153" s="22"/>
      <c r="K153" s="22"/>
      <c r="L153" s="34"/>
      <c r="M153" s="35"/>
      <c r="N153" s="34"/>
      <c r="O153" s="35"/>
      <c r="P153" s="27"/>
      <c r="Q153" s="30"/>
      <c r="R153" s="27"/>
      <c r="S153" s="30"/>
      <c r="T153" s="25">
        <f t="shared" si="44"/>
        <v>0</v>
      </c>
      <c r="U153" s="25">
        <f t="shared" si="45"/>
        <v>0</v>
      </c>
      <c r="V153" s="25">
        <f t="shared" si="46"/>
        <v>0</v>
      </c>
      <c r="W153" s="1">
        <f t="shared" si="47"/>
        <v>0</v>
      </c>
      <c r="X153" s="2" t="s">
        <v>891</v>
      </c>
      <c r="Y153" s="2"/>
      <c r="Z153" s="2">
        <v>20</v>
      </c>
      <c r="AA153" s="2"/>
      <c r="AB153" s="2"/>
      <c r="AC153" s="4"/>
      <c r="AE153" s="2" t="s">
        <v>32</v>
      </c>
      <c r="AF153" s="2" t="s">
        <v>73</v>
      </c>
    </row>
    <row r="154" spans="1:32" ht="13.5" customHeight="1">
      <c r="A154" s="2" t="s">
        <v>863</v>
      </c>
      <c r="B154" s="2" t="s">
        <v>925</v>
      </c>
      <c r="C154" s="3">
        <v>44991</v>
      </c>
      <c r="D154" s="3" t="s">
        <v>46</v>
      </c>
      <c r="E154" s="3"/>
      <c r="F154" s="3"/>
      <c r="G154" s="3"/>
      <c r="H154" s="22">
        <v>0.3611111111111111</v>
      </c>
      <c r="I154" s="22">
        <v>0.375</v>
      </c>
      <c r="J154" s="22"/>
      <c r="K154" s="22"/>
      <c r="L154" s="27">
        <v>67</v>
      </c>
      <c r="M154" s="30">
        <v>30.998000000000001</v>
      </c>
      <c r="N154" s="27">
        <v>67</v>
      </c>
      <c r="O154" s="30">
        <v>6.1040000000000001</v>
      </c>
      <c r="P154" s="27">
        <v>67</v>
      </c>
      <c r="Q154" s="30">
        <v>30.966999999999999</v>
      </c>
      <c r="R154" s="27">
        <v>67</v>
      </c>
      <c r="S154" s="30">
        <v>6.0119999999999996</v>
      </c>
      <c r="T154" s="25">
        <f t="shared" si="44"/>
        <v>-67.516633333333331</v>
      </c>
      <c r="U154" s="25">
        <f t="shared" si="45"/>
        <v>-67.101733333333328</v>
      </c>
      <c r="V154" s="25">
        <f t="shared" si="46"/>
        <v>-67.516116666666662</v>
      </c>
      <c r="W154" s="1">
        <f t="shared" si="47"/>
        <v>-67.100200000000001</v>
      </c>
      <c r="X154" s="2" t="s">
        <v>891</v>
      </c>
      <c r="Y154" s="2"/>
      <c r="Z154" s="2">
        <v>14</v>
      </c>
      <c r="AA154" s="2">
        <v>33</v>
      </c>
      <c r="AB154" s="2"/>
      <c r="AC154" s="4"/>
      <c r="AF154" s="2" t="s">
        <v>932</v>
      </c>
    </row>
    <row r="155" spans="1:32" ht="13.5" customHeight="1">
      <c r="A155" s="2" t="s">
        <v>863</v>
      </c>
      <c r="B155" s="2" t="s">
        <v>926</v>
      </c>
      <c r="C155" s="3">
        <v>44991</v>
      </c>
      <c r="D155" s="3" t="s">
        <v>35</v>
      </c>
      <c r="E155" s="3" t="s">
        <v>62</v>
      </c>
      <c r="F155" s="3"/>
      <c r="G155" s="3"/>
      <c r="H155" s="22">
        <v>0.39513888888888887</v>
      </c>
      <c r="I155" s="22">
        <v>0.40972222222222227</v>
      </c>
      <c r="J155" s="22"/>
      <c r="K155" s="22"/>
      <c r="L155" s="27">
        <v>67</v>
      </c>
      <c r="M155" s="30">
        <v>30.905000000000001</v>
      </c>
      <c r="N155" s="27">
        <v>67</v>
      </c>
      <c r="O155" s="30">
        <v>5.9989999999999997</v>
      </c>
      <c r="P155" s="27"/>
      <c r="Q155" s="30"/>
      <c r="R155" s="27"/>
      <c r="S155" s="30"/>
      <c r="T155" s="25">
        <f t="shared" si="44"/>
        <v>-67.515083333333337</v>
      </c>
      <c r="U155" s="25">
        <f t="shared" si="45"/>
        <v>-67.099983333333327</v>
      </c>
      <c r="V155" s="25">
        <f t="shared" si="46"/>
        <v>0</v>
      </c>
      <c r="W155" s="1">
        <f t="shared" si="47"/>
        <v>0</v>
      </c>
      <c r="X155" s="2" t="s">
        <v>891</v>
      </c>
      <c r="Y155" s="2"/>
      <c r="Z155" s="2"/>
      <c r="AA155" s="2">
        <v>26</v>
      </c>
      <c r="AB155" s="2"/>
      <c r="AC155" s="4"/>
      <c r="AF155" s="2" t="s">
        <v>933</v>
      </c>
    </row>
    <row r="156" spans="1:32" ht="13.5" customHeight="1">
      <c r="A156" s="2" t="s">
        <v>863</v>
      </c>
      <c r="B156" s="2" t="s">
        <v>927</v>
      </c>
      <c r="C156" s="3">
        <v>44991</v>
      </c>
      <c r="D156" s="3" t="s">
        <v>58</v>
      </c>
      <c r="E156" s="3" t="s">
        <v>47</v>
      </c>
      <c r="F156" s="3"/>
      <c r="G156" s="3"/>
      <c r="H156" s="22">
        <v>0.4069444444444445</v>
      </c>
      <c r="I156" s="22">
        <v>0.42777777777777781</v>
      </c>
      <c r="J156" s="22"/>
      <c r="K156" s="22"/>
      <c r="L156" s="27">
        <v>67</v>
      </c>
      <c r="M156" s="30">
        <v>31.033999999999999</v>
      </c>
      <c r="N156" s="27">
        <v>67</v>
      </c>
      <c r="O156" s="30">
        <v>6.4320000000000004</v>
      </c>
      <c r="P156" s="27"/>
      <c r="Q156" s="30"/>
      <c r="R156" s="27"/>
      <c r="S156" s="30"/>
      <c r="T156" s="25">
        <f t="shared" si="44"/>
        <v>-67.517233333333337</v>
      </c>
      <c r="U156" s="25">
        <f t="shared" si="45"/>
        <v>-67.107200000000006</v>
      </c>
      <c r="V156" s="25">
        <f t="shared" si="46"/>
        <v>0</v>
      </c>
      <c r="W156" s="1">
        <f t="shared" si="47"/>
        <v>0</v>
      </c>
      <c r="X156" s="2" t="s">
        <v>891</v>
      </c>
      <c r="Y156" s="2"/>
      <c r="Z156" s="2"/>
      <c r="AA156" s="2">
        <v>21.4</v>
      </c>
      <c r="AB156" s="2"/>
      <c r="AC156" s="4"/>
      <c r="AF156" s="2" t="s">
        <v>934</v>
      </c>
    </row>
    <row r="157" spans="1:32" ht="13.5" customHeight="1">
      <c r="A157" s="2" t="s">
        <v>863</v>
      </c>
      <c r="B157" s="2" t="s">
        <v>928</v>
      </c>
      <c r="C157" s="3">
        <v>44991</v>
      </c>
      <c r="D157" s="3" t="s">
        <v>58</v>
      </c>
      <c r="E157" s="3" t="s">
        <v>47</v>
      </c>
      <c r="F157" s="3" t="s">
        <v>62</v>
      </c>
      <c r="G157" s="3"/>
      <c r="H157" s="22">
        <v>0.58680555555555558</v>
      </c>
      <c r="I157" s="22">
        <v>0.60486111111111118</v>
      </c>
      <c r="J157" s="22"/>
      <c r="K157" s="22"/>
      <c r="L157" s="27">
        <v>67</v>
      </c>
      <c r="M157" s="30">
        <v>30.905000000000001</v>
      </c>
      <c r="N157" s="27">
        <v>67</v>
      </c>
      <c r="O157" s="30">
        <v>5.9989999999999997</v>
      </c>
      <c r="P157" s="27"/>
      <c r="Q157" s="30"/>
      <c r="R157" s="27"/>
      <c r="S157" s="30"/>
      <c r="T157" s="25">
        <f t="shared" si="44"/>
        <v>-67.515083333333337</v>
      </c>
      <c r="U157" s="25">
        <f t="shared" si="45"/>
        <v>-67.099983333333327</v>
      </c>
      <c r="V157" s="25">
        <f t="shared" si="46"/>
        <v>0</v>
      </c>
      <c r="W157" s="1">
        <f t="shared" si="47"/>
        <v>0</v>
      </c>
      <c r="X157" s="2" t="s">
        <v>891</v>
      </c>
      <c r="Y157" s="2"/>
      <c r="Z157" s="2"/>
      <c r="AA157" s="2">
        <v>22.7</v>
      </c>
      <c r="AB157" s="2"/>
      <c r="AC157" s="4"/>
      <c r="AF157" s="2" t="s">
        <v>935</v>
      </c>
    </row>
    <row r="158" spans="1:32" ht="13.5" customHeight="1">
      <c r="A158" s="2" t="s">
        <v>863</v>
      </c>
      <c r="B158" s="2" t="s">
        <v>929</v>
      </c>
      <c r="C158" s="3">
        <v>44991</v>
      </c>
      <c r="D158" s="3" t="s">
        <v>35</v>
      </c>
      <c r="E158" s="3"/>
      <c r="F158" s="3"/>
      <c r="G158" s="3"/>
      <c r="H158" s="22">
        <v>0.59375</v>
      </c>
      <c r="I158" s="22">
        <v>0.625</v>
      </c>
      <c r="J158" s="22"/>
      <c r="K158" s="22"/>
      <c r="L158" s="27">
        <v>67</v>
      </c>
      <c r="M158" s="30">
        <v>30.905000000000001</v>
      </c>
      <c r="N158" s="27">
        <v>67</v>
      </c>
      <c r="O158" s="30">
        <v>5.9989999999999997</v>
      </c>
      <c r="P158" s="27"/>
      <c r="Q158" s="30"/>
      <c r="R158" s="27"/>
      <c r="S158" s="30"/>
      <c r="T158" s="25">
        <f t="shared" si="44"/>
        <v>-67.515083333333337</v>
      </c>
      <c r="U158" s="25">
        <f t="shared" si="45"/>
        <v>-67.099983333333327</v>
      </c>
      <c r="V158" s="25">
        <f t="shared" si="46"/>
        <v>0</v>
      </c>
      <c r="W158" s="1">
        <f t="shared" si="47"/>
        <v>0</v>
      </c>
      <c r="X158" s="2" t="s">
        <v>891</v>
      </c>
      <c r="Y158" s="2"/>
      <c r="Z158" s="2"/>
      <c r="AA158" s="2"/>
      <c r="AB158" s="2"/>
      <c r="AC158" s="4"/>
      <c r="AF158" s="2" t="s">
        <v>71</v>
      </c>
    </row>
    <row r="159" spans="1:32" ht="13.5" customHeight="1">
      <c r="A159" s="2" t="s">
        <v>863</v>
      </c>
      <c r="B159" s="2" t="s">
        <v>930</v>
      </c>
      <c r="C159" s="3">
        <v>44991</v>
      </c>
      <c r="D159" s="3" t="s">
        <v>30</v>
      </c>
      <c r="E159" s="3"/>
      <c r="F159" s="3"/>
      <c r="G159" s="3"/>
      <c r="H159" s="23">
        <v>0.58333333333333337</v>
      </c>
      <c r="I159" s="22">
        <v>0.59375</v>
      </c>
      <c r="J159" s="22"/>
      <c r="K159" s="22"/>
      <c r="L159" s="27">
        <v>67</v>
      </c>
      <c r="M159" s="30">
        <v>30.905000000000001</v>
      </c>
      <c r="N159" s="27">
        <v>67</v>
      </c>
      <c r="O159" s="30">
        <v>5.9989999999999997</v>
      </c>
      <c r="P159" s="27"/>
      <c r="Q159" s="30"/>
      <c r="R159" s="27"/>
      <c r="S159" s="30"/>
      <c r="T159" s="25">
        <f t="shared" si="44"/>
        <v>-67.515083333333337</v>
      </c>
      <c r="U159" s="25">
        <f t="shared" si="45"/>
        <v>-67.099983333333327</v>
      </c>
      <c r="V159" s="25">
        <f t="shared" si="46"/>
        <v>0</v>
      </c>
      <c r="W159" s="1">
        <f t="shared" si="47"/>
        <v>0</v>
      </c>
      <c r="X159" s="2" t="s">
        <v>891</v>
      </c>
      <c r="Y159" s="2"/>
      <c r="Z159" s="2"/>
      <c r="AA159" s="2"/>
      <c r="AB159" s="2"/>
      <c r="AC159" s="4"/>
      <c r="AF159" s="2" t="s">
        <v>936</v>
      </c>
    </row>
    <row r="160" spans="1:32" ht="13.5" customHeight="1">
      <c r="A160" s="2" t="s">
        <v>863</v>
      </c>
      <c r="B160" s="2" t="s">
        <v>931</v>
      </c>
      <c r="C160" s="3">
        <v>44991</v>
      </c>
      <c r="D160" s="3" t="s">
        <v>46</v>
      </c>
      <c r="E160" s="3"/>
      <c r="F160" s="3"/>
      <c r="G160" s="3"/>
      <c r="H160" s="22">
        <v>0.625</v>
      </c>
      <c r="I160" s="22">
        <v>0.63888888888888895</v>
      </c>
      <c r="J160" s="22"/>
      <c r="K160" s="22"/>
      <c r="L160" s="27">
        <v>67</v>
      </c>
      <c r="M160" s="30">
        <v>30.873000000000001</v>
      </c>
      <c r="N160" s="27">
        <v>67</v>
      </c>
      <c r="O160" s="30">
        <v>5.923</v>
      </c>
      <c r="P160" s="27">
        <v>67</v>
      </c>
      <c r="Q160" s="30">
        <v>30.82</v>
      </c>
      <c r="R160" s="27">
        <v>67</v>
      </c>
      <c r="S160" s="30">
        <v>6.9080000000000004</v>
      </c>
      <c r="T160" s="25">
        <f t="shared" si="44"/>
        <v>-67.51455</v>
      </c>
      <c r="U160" s="25">
        <f t="shared" si="45"/>
        <v>-67.098716666666661</v>
      </c>
      <c r="V160" s="25">
        <f t="shared" si="46"/>
        <v>-67.513666666666666</v>
      </c>
      <c r="W160" s="1">
        <f t="shared" si="47"/>
        <v>-67.115133333333333</v>
      </c>
      <c r="X160" s="2" t="s">
        <v>891</v>
      </c>
      <c r="Y160" s="2"/>
      <c r="Z160" s="2">
        <v>18</v>
      </c>
      <c r="AA160" s="2">
        <v>22</v>
      </c>
      <c r="AB160" s="2"/>
      <c r="AC160" s="4"/>
    </row>
    <row r="161" spans="1:32" ht="13.5" customHeight="1">
      <c r="A161" s="2" t="s">
        <v>863</v>
      </c>
      <c r="B161" s="2" t="s">
        <v>921</v>
      </c>
      <c r="C161" s="3">
        <v>44992</v>
      </c>
      <c r="D161" s="3" t="s">
        <v>46</v>
      </c>
      <c r="E161" s="3"/>
      <c r="F161" s="3"/>
      <c r="G161" s="3"/>
      <c r="H161" s="22"/>
      <c r="I161" s="22">
        <v>0.39583333333333331</v>
      </c>
      <c r="J161" s="22"/>
      <c r="K161" s="22"/>
      <c r="L161" s="27"/>
      <c r="M161" s="30"/>
      <c r="N161" s="27"/>
      <c r="O161" s="30"/>
      <c r="P161" s="27">
        <v>67</v>
      </c>
      <c r="Q161" s="30">
        <v>30.9</v>
      </c>
      <c r="R161" s="27">
        <v>67</v>
      </c>
      <c r="S161" s="30">
        <v>5.9770000000000003</v>
      </c>
      <c r="T161" s="25">
        <f t="shared" si="44"/>
        <v>0</v>
      </c>
      <c r="U161" s="25">
        <f t="shared" si="45"/>
        <v>0</v>
      </c>
      <c r="V161" s="25">
        <f t="shared" si="46"/>
        <v>-67.515000000000001</v>
      </c>
      <c r="W161" s="1">
        <f t="shared" si="47"/>
        <v>-67.099616666666662</v>
      </c>
      <c r="X161" s="2" t="s">
        <v>891</v>
      </c>
      <c r="Y161" s="2"/>
      <c r="Z161" s="2"/>
      <c r="AA161" s="2">
        <v>23</v>
      </c>
      <c r="AB161" s="2"/>
      <c r="AC161" s="4"/>
    </row>
    <row r="162" spans="1:32" ht="13.5" customHeight="1">
      <c r="A162" s="2" t="s">
        <v>863</v>
      </c>
      <c r="B162" s="2" t="s">
        <v>937</v>
      </c>
      <c r="C162" s="3">
        <v>44992</v>
      </c>
      <c r="D162" s="3" t="s">
        <v>62</v>
      </c>
      <c r="E162" s="3" t="s">
        <v>47</v>
      </c>
      <c r="F162" s="3"/>
      <c r="G162" s="3"/>
      <c r="H162" s="22">
        <v>0.59375</v>
      </c>
      <c r="I162" s="22">
        <v>0.61736111111111114</v>
      </c>
      <c r="J162" s="22"/>
      <c r="K162" s="22"/>
      <c r="L162" s="27">
        <v>67</v>
      </c>
      <c r="M162" s="30">
        <v>30.195</v>
      </c>
      <c r="N162" s="27">
        <v>67</v>
      </c>
      <c r="O162" s="30">
        <v>7.8339999999999996</v>
      </c>
      <c r="P162" s="27"/>
      <c r="Q162" s="30"/>
      <c r="R162" s="27"/>
      <c r="S162" s="30"/>
      <c r="T162" s="25">
        <f t="shared" si="44"/>
        <v>-67.503249999999994</v>
      </c>
      <c r="U162" s="25">
        <f t="shared" si="45"/>
        <v>-67.130566666666667</v>
      </c>
      <c r="V162" s="25">
        <f t="shared" si="46"/>
        <v>0</v>
      </c>
      <c r="W162" s="1">
        <f t="shared" si="47"/>
        <v>0</v>
      </c>
      <c r="X162" s="2" t="s">
        <v>891</v>
      </c>
      <c r="Y162" s="2"/>
      <c r="Z162" s="2"/>
      <c r="AA162" s="2">
        <v>23</v>
      </c>
      <c r="AB162" s="2"/>
      <c r="AC162" s="4"/>
      <c r="AF162" s="2" t="s">
        <v>950</v>
      </c>
    </row>
    <row r="163" spans="1:32" ht="13.5" customHeight="1">
      <c r="A163" s="2" t="s">
        <v>863</v>
      </c>
      <c r="B163" s="2" t="s">
        <v>938</v>
      </c>
      <c r="C163" s="3">
        <v>44992</v>
      </c>
      <c r="D163" s="3" t="s">
        <v>58</v>
      </c>
      <c r="E163" s="3"/>
      <c r="F163" s="3"/>
      <c r="G163" s="3"/>
      <c r="H163" s="22">
        <v>0.48333333333333334</v>
      </c>
      <c r="I163" s="22">
        <v>0.5</v>
      </c>
      <c r="J163" s="22"/>
      <c r="K163" s="22"/>
      <c r="L163" s="27">
        <v>67</v>
      </c>
      <c r="M163" s="30">
        <v>31.030999999999999</v>
      </c>
      <c r="N163" s="27">
        <v>67</v>
      </c>
      <c r="O163" s="30">
        <v>6.4269999999999996</v>
      </c>
      <c r="P163" s="27"/>
      <c r="Q163" s="30"/>
      <c r="R163" s="27"/>
      <c r="S163" s="30"/>
      <c r="T163" s="25">
        <f t="shared" si="44"/>
        <v>-67.517183333333335</v>
      </c>
      <c r="U163" s="25">
        <f t="shared" si="45"/>
        <v>-67.10711666666667</v>
      </c>
      <c r="V163" s="25">
        <f t="shared" si="46"/>
        <v>0</v>
      </c>
      <c r="W163" s="1">
        <f t="shared" si="47"/>
        <v>0</v>
      </c>
      <c r="X163" s="2" t="s">
        <v>891</v>
      </c>
      <c r="Y163" s="2"/>
      <c r="Z163" s="2"/>
      <c r="AA163" s="2">
        <v>19</v>
      </c>
      <c r="AB163" s="2"/>
      <c r="AC163" s="4"/>
      <c r="AF163" s="2" t="s">
        <v>951</v>
      </c>
    </row>
    <row r="164" spans="1:32" ht="13.5" customHeight="1">
      <c r="A164" s="2" t="s">
        <v>863</v>
      </c>
      <c r="B164" s="2" t="s">
        <v>939</v>
      </c>
      <c r="C164" s="3">
        <v>44992</v>
      </c>
      <c r="D164" s="3" t="s">
        <v>35</v>
      </c>
      <c r="E164" s="3" t="s">
        <v>62</v>
      </c>
      <c r="F164" s="3"/>
      <c r="G164" s="3"/>
      <c r="H164" s="22">
        <v>0.37708333333333338</v>
      </c>
      <c r="I164" s="22">
        <v>0.40277777777777773</v>
      </c>
      <c r="J164" s="22"/>
      <c r="K164" s="22"/>
      <c r="L164" s="27">
        <v>67</v>
      </c>
      <c r="M164" s="30">
        <v>30.905000000000001</v>
      </c>
      <c r="N164" s="27">
        <v>67</v>
      </c>
      <c r="O164" s="30">
        <v>5.9989999999999997</v>
      </c>
      <c r="P164" s="27"/>
      <c r="Q164" s="30"/>
      <c r="R164" s="27"/>
      <c r="S164" s="30"/>
      <c r="T164" s="25">
        <f t="shared" si="44"/>
        <v>-67.515083333333337</v>
      </c>
      <c r="U164" s="25">
        <f t="shared" si="45"/>
        <v>-67.099983333333327</v>
      </c>
      <c r="V164" s="25">
        <f t="shared" si="46"/>
        <v>0</v>
      </c>
      <c r="W164" s="1">
        <f t="shared" si="47"/>
        <v>0</v>
      </c>
      <c r="X164" s="2" t="s">
        <v>891</v>
      </c>
      <c r="Y164" s="2"/>
      <c r="Z164" s="2"/>
      <c r="AA164" s="2"/>
      <c r="AB164" s="2"/>
      <c r="AC164" s="4"/>
      <c r="AF164" s="2" t="s">
        <v>952</v>
      </c>
    </row>
    <row r="165" spans="1:32" ht="13.5" customHeight="1">
      <c r="A165" s="2" t="s">
        <v>863</v>
      </c>
      <c r="B165" s="2" t="s">
        <v>940</v>
      </c>
      <c r="C165" s="3">
        <v>44992</v>
      </c>
      <c r="D165" s="3" t="s">
        <v>46</v>
      </c>
      <c r="E165" s="3"/>
      <c r="F165" s="3"/>
      <c r="G165" s="3"/>
      <c r="H165" s="22">
        <v>0.75</v>
      </c>
      <c r="I165" s="22">
        <v>0.76388888888888884</v>
      </c>
      <c r="J165" s="22"/>
      <c r="K165" s="22"/>
      <c r="L165" s="27">
        <v>67</v>
      </c>
      <c r="M165" s="30">
        <v>32.698</v>
      </c>
      <c r="N165" s="27">
        <v>67</v>
      </c>
      <c r="O165" s="30">
        <v>12.602</v>
      </c>
      <c r="P165" s="27">
        <v>67</v>
      </c>
      <c r="Q165" s="30">
        <v>32.725999999999999</v>
      </c>
      <c r="R165" s="27">
        <v>67</v>
      </c>
      <c r="S165" s="30">
        <v>12.824</v>
      </c>
      <c r="T165" s="25">
        <f t="shared" ref="T165:T178" si="48">-(L165+M165/60)</f>
        <v>-67.544966666666667</v>
      </c>
      <c r="U165" s="25">
        <f t="shared" ref="U165:U178" si="49">-(N165+O165/60)</f>
        <v>-67.210033333333328</v>
      </c>
      <c r="V165" s="25">
        <f t="shared" ref="V165:V175" si="50">-(P165+Q165/60)</f>
        <v>-67.545433333333335</v>
      </c>
      <c r="W165" s="1">
        <f t="shared" ref="W165:W175" si="51">-(R165+S165/60)</f>
        <v>-67.213733333333337</v>
      </c>
      <c r="X165" s="2" t="s">
        <v>891</v>
      </c>
      <c r="Y165" s="2"/>
      <c r="Z165">
        <v>8</v>
      </c>
      <c r="AA165" s="2">
        <v>22</v>
      </c>
      <c r="AB165" s="2"/>
      <c r="AC165" s="4"/>
    </row>
    <row r="166" spans="1:32" ht="13.5" customHeight="1">
      <c r="A166" s="2" t="s">
        <v>863</v>
      </c>
      <c r="B166" s="2" t="s">
        <v>941</v>
      </c>
      <c r="C166" s="3">
        <v>44992</v>
      </c>
      <c r="D166" s="3" t="s">
        <v>35</v>
      </c>
      <c r="E166" s="3"/>
      <c r="F166" s="3"/>
      <c r="G166" s="3"/>
      <c r="H166" s="22">
        <v>0.59375</v>
      </c>
      <c r="I166" s="22">
        <v>0.65625</v>
      </c>
      <c r="J166" s="22"/>
      <c r="K166" s="22"/>
      <c r="L166" s="27">
        <v>67</v>
      </c>
      <c r="M166" s="30">
        <v>30.195</v>
      </c>
      <c r="N166" s="27">
        <v>67</v>
      </c>
      <c r="O166" s="30">
        <v>7.8339999999999996</v>
      </c>
      <c r="P166" s="27"/>
      <c r="Q166" s="30"/>
      <c r="R166" s="27"/>
      <c r="S166" s="30"/>
      <c r="T166" s="25">
        <f t="shared" si="48"/>
        <v>-67.503249999999994</v>
      </c>
      <c r="U166" s="25">
        <f t="shared" si="49"/>
        <v>-67.130566666666667</v>
      </c>
      <c r="V166" s="25">
        <f t="shared" si="50"/>
        <v>0</v>
      </c>
      <c r="W166" s="1">
        <f t="shared" si="51"/>
        <v>0</v>
      </c>
      <c r="X166" s="2" t="s">
        <v>891</v>
      </c>
      <c r="Y166" s="2"/>
      <c r="Z166" s="2"/>
      <c r="AA166" s="2"/>
      <c r="AB166" s="2"/>
      <c r="AC166" s="4"/>
      <c r="AF166" s="2" t="s">
        <v>953</v>
      </c>
    </row>
    <row r="167" spans="1:32" ht="13.5" customHeight="1">
      <c r="A167" s="2" t="s">
        <v>863</v>
      </c>
      <c r="B167" s="2" t="s">
        <v>942</v>
      </c>
      <c r="C167" s="3">
        <v>44992</v>
      </c>
      <c r="D167" s="3" t="s">
        <v>50</v>
      </c>
      <c r="E167" s="3" t="s">
        <v>43</v>
      </c>
      <c r="F167" s="3"/>
      <c r="G167" s="3"/>
      <c r="H167" s="22">
        <v>0.42708333333333331</v>
      </c>
      <c r="I167" s="22">
        <v>0.44791666666666669</v>
      </c>
      <c r="J167" s="22"/>
      <c r="K167" s="22"/>
      <c r="L167" s="27">
        <v>67</v>
      </c>
      <c r="M167" s="30">
        <v>30.195</v>
      </c>
      <c r="N167" s="27">
        <v>67</v>
      </c>
      <c r="O167" s="30">
        <v>7.8339999999999996</v>
      </c>
      <c r="P167" s="27"/>
      <c r="Q167" s="30"/>
      <c r="R167" s="27"/>
      <c r="S167" s="30"/>
      <c r="T167" s="25">
        <f t="shared" si="48"/>
        <v>-67.503249999999994</v>
      </c>
      <c r="U167" s="25">
        <f t="shared" si="49"/>
        <v>-67.130566666666667</v>
      </c>
      <c r="V167" s="25">
        <f t="shared" si="50"/>
        <v>0</v>
      </c>
      <c r="W167" s="1">
        <f t="shared" si="51"/>
        <v>0</v>
      </c>
      <c r="X167" s="2" t="s">
        <v>891</v>
      </c>
      <c r="Y167" s="2"/>
      <c r="Z167" s="2"/>
      <c r="AA167" s="2"/>
      <c r="AB167" s="2"/>
      <c r="AC167" s="4"/>
    </row>
    <row r="168" spans="1:32" ht="13.5" customHeight="1">
      <c r="A168" s="2" t="s">
        <v>863</v>
      </c>
      <c r="B168" s="2" t="s">
        <v>943</v>
      </c>
      <c r="C168" s="3">
        <v>44992</v>
      </c>
      <c r="D168" s="3" t="s">
        <v>58</v>
      </c>
      <c r="E168" s="3" t="s">
        <v>231</v>
      </c>
      <c r="F168" s="3"/>
      <c r="G168" s="3"/>
      <c r="H168" s="22">
        <v>0.39583333333333331</v>
      </c>
      <c r="I168" s="22">
        <v>0.41666666666666669</v>
      </c>
      <c r="J168" s="22"/>
      <c r="K168" s="22"/>
      <c r="L168" s="27">
        <v>67</v>
      </c>
      <c r="M168" s="30">
        <v>31.030999999999999</v>
      </c>
      <c r="N168" s="27">
        <v>67</v>
      </c>
      <c r="O168" s="30">
        <v>7.4269999999999996</v>
      </c>
      <c r="P168" s="27"/>
      <c r="Q168" s="30"/>
      <c r="R168" s="27"/>
      <c r="S168" s="30"/>
      <c r="T168" s="25">
        <f t="shared" si="48"/>
        <v>-67.517183333333335</v>
      </c>
      <c r="U168" s="25">
        <f t="shared" si="49"/>
        <v>-67.123783333333336</v>
      </c>
      <c r="V168" s="25">
        <f t="shared" si="50"/>
        <v>0</v>
      </c>
      <c r="W168" s="1">
        <f t="shared" si="51"/>
        <v>0</v>
      </c>
      <c r="X168" s="2" t="s">
        <v>891</v>
      </c>
      <c r="Y168" s="2"/>
      <c r="Z168" s="2"/>
      <c r="AA168" s="2"/>
      <c r="AB168" s="2"/>
      <c r="AC168" s="4"/>
      <c r="AF168" s="2" t="s">
        <v>954</v>
      </c>
    </row>
    <row r="169" spans="1:32" ht="13.5" customHeight="1">
      <c r="A169" s="2" t="s">
        <v>863</v>
      </c>
      <c r="B169" s="2" t="s">
        <v>944</v>
      </c>
      <c r="C169" s="3">
        <v>44992</v>
      </c>
      <c r="D169" s="3" t="s">
        <v>58</v>
      </c>
      <c r="E169" s="3" t="s">
        <v>35</v>
      </c>
      <c r="F169" s="3"/>
      <c r="G169" s="3"/>
      <c r="H169" s="22">
        <v>0.72083333333333333</v>
      </c>
      <c r="I169" s="22">
        <v>0.72777777777777775</v>
      </c>
      <c r="K169" s="22"/>
      <c r="L169" s="27">
        <v>67</v>
      </c>
      <c r="M169" s="30">
        <v>33.027000000000001</v>
      </c>
      <c r="N169" s="27">
        <v>67</v>
      </c>
      <c r="O169" s="30">
        <v>13.311999999999999</v>
      </c>
      <c r="P169" s="27"/>
      <c r="Q169" s="30"/>
      <c r="R169" s="27"/>
      <c r="S169" s="30"/>
      <c r="T169" s="25">
        <f t="shared" si="48"/>
        <v>-67.550449999999998</v>
      </c>
      <c r="U169" s="25">
        <f t="shared" si="49"/>
        <v>-67.221866666666671</v>
      </c>
      <c r="V169" s="25">
        <f t="shared" si="50"/>
        <v>0</v>
      </c>
      <c r="W169" s="1">
        <f t="shared" si="51"/>
        <v>0</v>
      </c>
      <c r="X169" s="2" t="s">
        <v>891</v>
      </c>
      <c r="Y169" s="2"/>
      <c r="Z169" s="2"/>
      <c r="AA169" s="2"/>
      <c r="AB169" s="2"/>
      <c r="AC169" s="4"/>
      <c r="AF169" s="2" t="s">
        <v>955</v>
      </c>
    </row>
    <row r="170" spans="1:32" ht="13.5" customHeight="1">
      <c r="A170" s="2" t="s">
        <v>863</v>
      </c>
      <c r="B170" s="2" t="s">
        <v>945</v>
      </c>
      <c r="C170" s="3">
        <v>44992</v>
      </c>
      <c r="D170" s="3" t="s">
        <v>50</v>
      </c>
      <c r="E170" s="3" t="s">
        <v>43</v>
      </c>
      <c r="F170" s="3"/>
      <c r="G170" s="3"/>
      <c r="H170" s="22">
        <v>0.60138888888888886</v>
      </c>
      <c r="I170" s="22">
        <v>0.62847222222222221</v>
      </c>
      <c r="J170" s="22"/>
      <c r="K170" s="22"/>
      <c r="L170" s="27">
        <v>67</v>
      </c>
      <c r="M170" s="30">
        <v>30.195</v>
      </c>
      <c r="N170" s="27">
        <v>67</v>
      </c>
      <c r="O170" s="30">
        <v>7.8339999999999996</v>
      </c>
      <c r="P170" s="27"/>
      <c r="Q170" s="30"/>
      <c r="R170" s="27"/>
      <c r="S170" s="30"/>
      <c r="T170" s="25">
        <f t="shared" si="48"/>
        <v>-67.503249999999994</v>
      </c>
      <c r="U170" s="25">
        <f t="shared" si="49"/>
        <v>-67.130566666666667</v>
      </c>
      <c r="V170" s="25">
        <f t="shared" si="50"/>
        <v>0</v>
      </c>
      <c r="W170" s="1">
        <f t="shared" si="51"/>
        <v>0</v>
      </c>
      <c r="X170" s="2" t="s">
        <v>891</v>
      </c>
      <c r="Y170" s="2"/>
      <c r="Z170" s="2"/>
      <c r="AA170" s="2"/>
      <c r="AB170" s="2"/>
      <c r="AC170" s="4"/>
      <c r="AF170" s="2" t="s">
        <v>956</v>
      </c>
    </row>
    <row r="171" spans="1:32" ht="13.5" customHeight="1">
      <c r="A171" s="2" t="s">
        <v>863</v>
      </c>
      <c r="B171" s="2" t="s">
        <v>946</v>
      </c>
      <c r="C171" s="3">
        <v>44992</v>
      </c>
      <c r="D171" s="3" t="s">
        <v>50</v>
      </c>
      <c r="E171" s="3" t="s">
        <v>43</v>
      </c>
      <c r="F171" s="3"/>
      <c r="G171" s="3"/>
      <c r="H171" s="22">
        <v>0.60138888888888886</v>
      </c>
      <c r="I171" s="22">
        <v>0.62847222222222221</v>
      </c>
      <c r="J171" s="22"/>
      <c r="K171" s="22"/>
      <c r="L171" s="27">
        <v>67</v>
      </c>
      <c r="M171" s="30">
        <v>30.195</v>
      </c>
      <c r="N171" s="27">
        <v>67</v>
      </c>
      <c r="O171" s="30">
        <v>7.8339999999999996</v>
      </c>
      <c r="P171" s="27"/>
      <c r="Q171" s="30"/>
      <c r="R171" s="27"/>
      <c r="S171" s="30"/>
      <c r="T171" s="25">
        <f t="shared" si="48"/>
        <v>-67.503249999999994</v>
      </c>
      <c r="U171" s="25">
        <f t="shared" si="49"/>
        <v>-67.130566666666667</v>
      </c>
      <c r="V171" s="25">
        <f t="shared" si="50"/>
        <v>0</v>
      </c>
      <c r="W171" s="1">
        <f t="shared" si="51"/>
        <v>0</v>
      </c>
      <c r="X171" s="2" t="s">
        <v>891</v>
      </c>
      <c r="Y171" s="2"/>
      <c r="Z171" s="2"/>
      <c r="AA171" s="2"/>
      <c r="AB171" s="2"/>
      <c r="AC171" s="4"/>
    </row>
    <row r="172" spans="1:32" ht="13.5" customHeight="1">
      <c r="A172" s="2" t="s">
        <v>863</v>
      </c>
      <c r="B172" s="2" t="s">
        <v>947</v>
      </c>
      <c r="C172" s="3">
        <v>44992</v>
      </c>
      <c r="D172" s="3" t="s">
        <v>30</v>
      </c>
      <c r="E172" s="3"/>
      <c r="F172" s="3"/>
      <c r="G172" s="3"/>
      <c r="H172" s="22">
        <v>0.38194444444444442</v>
      </c>
      <c r="I172" s="22">
        <v>0.38541666666666669</v>
      </c>
      <c r="J172" s="22"/>
      <c r="K172" s="22"/>
      <c r="L172" s="27">
        <v>67</v>
      </c>
      <c r="M172" s="30">
        <v>30.905000000000001</v>
      </c>
      <c r="N172" s="27">
        <v>67</v>
      </c>
      <c r="O172" s="30">
        <v>5.9989999999999997</v>
      </c>
      <c r="P172" s="27"/>
      <c r="Q172" s="30"/>
      <c r="R172" s="27"/>
      <c r="S172" s="30"/>
      <c r="T172" s="25">
        <f t="shared" si="48"/>
        <v>-67.515083333333337</v>
      </c>
      <c r="U172" s="25">
        <f t="shared" si="49"/>
        <v>-67.099983333333327</v>
      </c>
      <c r="V172" s="25">
        <f t="shared" si="50"/>
        <v>0</v>
      </c>
      <c r="W172" s="1">
        <f t="shared" si="51"/>
        <v>0</v>
      </c>
      <c r="X172" s="2" t="s">
        <v>891</v>
      </c>
      <c r="Y172" s="2"/>
      <c r="Z172" s="2"/>
      <c r="AA172" s="2"/>
      <c r="AB172" s="2"/>
      <c r="AC172" s="4"/>
    </row>
    <row r="173" spans="1:32" ht="13.5" customHeight="1">
      <c r="A173" s="2" t="s">
        <v>863</v>
      </c>
      <c r="B173" s="2" t="s">
        <v>948</v>
      </c>
      <c r="C173" s="3">
        <v>44992</v>
      </c>
      <c r="D173" s="40" t="s">
        <v>50</v>
      </c>
      <c r="E173" s="40" t="s">
        <v>43</v>
      </c>
      <c r="F173" s="3"/>
      <c r="G173" s="3"/>
      <c r="H173" s="22">
        <v>0.42708333333333331</v>
      </c>
      <c r="I173" s="22">
        <v>0.44791666666666669</v>
      </c>
      <c r="J173" s="22"/>
      <c r="K173" s="22"/>
      <c r="L173" s="27">
        <v>67</v>
      </c>
      <c r="M173" s="30">
        <v>30.905000000000001</v>
      </c>
      <c r="N173" s="27">
        <v>67</v>
      </c>
      <c r="O173" s="30">
        <v>5.9989999999999997</v>
      </c>
      <c r="P173" s="27"/>
      <c r="Q173" s="30"/>
      <c r="R173" s="27"/>
      <c r="S173" s="30"/>
      <c r="T173" s="25">
        <f t="shared" si="48"/>
        <v>-67.515083333333337</v>
      </c>
      <c r="U173" s="25">
        <f t="shared" si="49"/>
        <v>-67.099983333333327</v>
      </c>
      <c r="V173" s="25">
        <f t="shared" si="50"/>
        <v>0</v>
      </c>
      <c r="W173" s="1">
        <f t="shared" si="51"/>
        <v>0</v>
      </c>
      <c r="X173" s="2" t="s">
        <v>891</v>
      </c>
      <c r="Y173" s="2"/>
      <c r="Z173" s="2"/>
      <c r="AA173" s="2"/>
      <c r="AB173" s="2"/>
      <c r="AC173" s="4"/>
    </row>
    <row r="174" spans="1:32" ht="13.5" customHeight="1">
      <c r="A174" s="2" t="s">
        <v>863</v>
      </c>
      <c r="B174" s="2" t="s">
        <v>881</v>
      </c>
      <c r="C174" s="3">
        <v>44992</v>
      </c>
      <c r="D174" s="40" t="s">
        <v>50</v>
      </c>
      <c r="E174" s="40" t="s">
        <v>43</v>
      </c>
      <c r="F174" s="3"/>
      <c r="G174" s="3"/>
      <c r="H174" s="22"/>
      <c r="I174" s="22">
        <v>0.71875</v>
      </c>
      <c r="J174" s="22"/>
      <c r="K174" s="22"/>
      <c r="L174" s="27"/>
      <c r="M174" s="30"/>
      <c r="N174" s="27"/>
      <c r="O174" s="30"/>
      <c r="P174" s="27">
        <v>67</v>
      </c>
      <c r="Q174" s="30">
        <v>33.027000000000001</v>
      </c>
      <c r="R174" s="27">
        <v>67</v>
      </c>
      <c r="S174" s="30">
        <v>13.311999999999999</v>
      </c>
      <c r="T174" s="25">
        <f t="shared" si="48"/>
        <v>0</v>
      </c>
      <c r="U174" s="25">
        <f t="shared" si="49"/>
        <v>0</v>
      </c>
      <c r="V174" s="25">
        <f t="shared" si="50"/>
        <v>-67.550449999999998</v>
      </c>
      <c r="W174" s="1">
        <f t="shared" si="51"/>
        <v>-67.221866666666671</v>
      </c>
      <c r="X174" s="2" t="s">
        <v>891</v>
      </c>
      <c r="Y174" s="2"/>
      <c r="Z174" s="2"/>
      <c r="AA174" s="2">
        <v>18</v>
      </c>
      <c r="AB174" s="2"/>
      <c r="AC174" s="4"/>
      <c r="AF174" s="2" t="s">
        <v>957</v>
      </c>
    </row>
    <row r="175" spans="1:32" ht="13.5" customHeight="1">
      <c r="A175" s="2" t="s">
        <v>863</v>
      </c>
      <c r="B175" s="2" t="s">
        <v>949</v>
      </c>
      <c r="C175" s="3">
        <v>44992</v>
      </c>
      <c r="D175" s="3" t="s">
        <v>30</v>
      </c>
      <c r="E175" s="3"/>
      <c r="F175" s="3"/>
      <c r="G175" s="3"/>
      <c r="H175" s="22">
        <v>0.46527777777777773</v>
      </c>
      <c r="I175" s="22">
        <v>0.4861111111111111</v>
      </c>
      <c r="J175" s="22"/>
      <c r="K175" s="22"/>
      <c r="L175" s="27">
        <v>67</v>
      </c>
      <c r="M175" s="30">
        <v>30.905000000000001</v>
      </c>
      <c r="N175" s="27">
        <v>67</v>
      </c>
      <c r="O175" s="30">
        <v>5.9989999999999997</v>
      </c>
      <c r="P175" s="27"/>
      <c r="Q175" s="30"/>
      <c r="R175" s="27"/>
      <c r="S175" s="30"/>
      <c r="T175" s="25">
        <f t="shared" si="48"/>
        <v>-67.515083333333337</v>
      </c>
      <c r="U175" s="25">
        <f t="shared" si="49"/>
        <v>-67.099983333333327</v>
      </c>
      <c r="V175" s="25">
        <f t="shared" si="50"/>
        <v>0</v>
      </c>
      <c r="W175" s="1">
        <f t="shared" si="51"/>
        <v>0</v>
      </c>
      <c r="X175" s="2" t="s">
        <v>891</v>
      </c>
      <c r="Y175" s="2"/>
      <c r="Z175" s="2"/>
      <c r="AA175" s="2">
        <v>60</v>
      </c>
      <c r="AB175" s="2"/>
      <c r="AC175" s="4" t="s">
        <v>1113</v>
      </c>
      <c r="AE175" s="2" t="s">
        <v>32</v>
      </c>
      <c r="AF175" s="2" t="s">
        <v>73</v>
      </c>
    </row>
    <row r="176" spans="1:32" ht="13.5" customHeight="1">
      <c r="A176" s="2" t="s">
        <v>863</v>
      </c>
      <c r="B176" s="2" t="s">
        <v>1139</v>
      </c>
      <c r="C176" s="3">
        <v>44993</v>
      </c>
      <c r="D176" s="40" t="s">
        <v>50</v>
      </c>
      <c r="E176" s="40" t="s">
        <v>43</v>
      </c>
      <c r="F176" s="3"/>
      <c r="G176" s="3"/>
      <c r="H176" s="22">
        <v>0.53541666666666665</v>
      </c>
      <c r="I176" s="22">
        <v>0.54166666666666663</v>
      </c>
      <c r="J176" s="22"/>
      <c r="K176" s="22"/>
      <c r="L176" s="27">
        <v>67</v>
      </c>
      <c r="M176" s="30">
        <v>19.984999999999999</v>
      </c>
      <c r="N176" s="27">
        <v>67</v>
      </c>
      <c r="O176" s="30">
        <v>48.826999999999998</v>
      </c>
      <c r="P176" s="27"/>
      <c r="Q176" s="30"/>
      <c r="R176" s="27"/>
      <c r="S176" s="30"/>
      <c r="T176" s="25">
        <f t="shared" si="48"/>
        <v>-67.333083333333335</v>
      </c>
      <c r="U176" s="25">
        <f t="shared" si="49"/>
        <v>-67.813783333333333</v>
      </c>
      <c r="W176" s="1"/>
      <c r="X176" s="2" t="s">
        <v>1142</v>
      </c>
      <c r="Y176" s="2"/>
      <c r="Z176" s="2">
        <v>0</v>
      </c>
      <c r="AA176" s="2"/>
      <c r="AB176" s="2"/>
      <c r="AC176" s="4"/>
      <c r="AE176" s="2"/>
      <c r="AF176" s="2"/>
    </row>
    <row r="177" spans="1:29" ht="13.5" customHeight="1">
      <c r="A177" s="2" t="s">
        <v>863</v>
      </c>
      <c r="B177" s="2" t="s">
        <v>1140</v>
      </c>
      <c r="C177" s="3">
        <v>44993</v>
      </c>
      <c r="D177" s="40" t="s">
        <v>50</v>
      </c>
      <c r="E177" s="40" t="s">
        <v>43</v>
      </c>
      <c r="F177" s="3"/>
      <c r="G177" s="3"/>
      <c r="H177" s="22">
        <v>0.6118055555555556</v>
      </c>
      <c r="I177" s="22">
        <v>0.61805555555555558</v>
      </c>
      <c r="J177" s="22"/>
      <c r="K177" s="22"/>
      <c r="L177" s="27">
        <v>67</v>
      </c>
      <c r="M177" s="30">
        <v>5.4720000000000004</v>
      </c>
      <c r="N177" s="27">
        <v>67</v>
      </c>
      <c r="O177" s="30">
        <v>31.536999999999999</v>
      </c>
      <c r="P177" s="27"/>
      <c r="Q177" s="30"/>
      <c r="R177" s="27"/>
      <c r="S177" s="30"/>
      <c r="T177" s="25">
        <f t="shared" si="48"/>
        <v>-67.091200000000001</v>
      </c>
      <c r="U177" s="25">
        <f t="shared" si="49"/>
        <v>-67.525616666666664</v>
      </c>
      <c r="W177" s="1"/>
      <c r="X177" s="2" t="s">
        <v>1142</v>
      </c>
      <c r="Y177" s="2"/>
      <c r="Z177" s="2">
        <v>0</v>
      </c>
      <c r="AA177" s="2"/>
      <c r="AB177" s="2"/>
      <c r="AC177" s="4"/>
    </row>
    <row r="178" spans="1:29" ht="13.5" customHeight="1">
      <c r="A178" s="2" t="s">
        <v>863</v>
      </c>
      <c r="B178" s="2" t="s">
        <v>1141</v>
      </c>
      <c r="C178" s="3">
        <v>44993</v>
      </c>
      <c r="D178" s="40" t="s">
        <v>50</v>
      </c>
      <c r="E178" s="40" t="s">
        <v>43</v>
      </c>
      <c r="F178" s="3"/>
      <c r="G178" s="3"/>
      <c r="H178" s="22">
        <v>0.67569444444444438</v>
      </c>
      <c r="I178" s="22">
        <v>0.68055555555555547</v>
      </c>
      <c r="J178" s="22"/>
      <c r="K178" s="22"/>
      <c r="L178" s="27">
        <v>66</v>
      </c>
      <c r="M178" s="30">
        <v>55.228000000000002</v>
      </c>
      <c r="N178" s="27">
        <v>67</v>
      </c>
      <c r="O178" s="30">
        <v>18.321999999999999</v>
      </c>
      <c r="P178" s="27"/>
      <c r="Q178" s="30"/>
      <c r="R178" s="27"/>
      <c r="S178" s="30"/>
      <c r="T178" s="25">
        <f t="shared" si="48"/>
        <v>-66.92046666666667</v>
      </c>
      <c r="U178" s="25">
        <f t="shared" si="49"/>
        <v>-67.305366666666671</v>
      </c>
      <c r="W178" s="1"/>
      <c r="X178" s="2" t="s">
        <v>1142</v>
      </c>
      <c r="Y178" s="2"/>
      <c r="Z178" s="2">
        <v>0</v>
      </c>
      <c r="AA178" s="2"/>
      <c r="AB178" s="2"/>
      <c r="AC178" s="4"/>
    </row>
    <row r="179" spans="1:29" ht="13.5" customHeight="1">
      <c r="A179" s="2"/>
      <c r="C179" s="3"/>
      <c r="D179" s="3"/>
      <c r="E179" s="3"/>
      <c r="F179" s="3"/>
      <c r="G179" s="3"/>
      <c r="H179" s="22"/>
      <c r="I179" s="22"/>
      <c r="J179" s="22"/>
      <c r="K179" s="22"/>
      <c r="L179" s="27"/>
      <c r="M179" s="30"/>
      <c r="N179" s="27"/>
      <c r="O179" s="30"/>
      <c r="P179" s="27"/>
      <c r="Q179" s="30"/>
      <c r="R179" s="27"/>
      <c r="S179" s="30"/>
      <c r="W179" s="1"/>
      <c r="Y179" s="2"/>
      <c r="Z179" s="2"/>
      <c r="AA179" s="2"/>
      <c r="AB179" s="2"/>
      <c r="AC179" s="4"/>
    </row>
    <row r="180" spans="1:29" ht="13.5" customHeight="1">
      <c r="A180" s="2"/>
      <c r="C180" s="3"/>
      <c r="D180" s="3"/>
      <c r="E180" s="3"/>
      <c r="F180" s="3"/>
      <c r="G180" s="3"/>
      <c r="H180" s="22"/>
      <c r="I180" s="22"/>
      <c r="J180" s="22"/>
      <c r="K180" s="22"/>
      <c r="L180" s="27"/>
      <c r="M180" s="30"/>
      <c r="N180" s="27"/>
      <c r="O180" s="30"/>
      <c r="P180" s="27"/>
      <c r="Q180" s="30"/>
      <c r="R180" s="27"/>
      <c r="S180" s="30"/>
      <c r="W180" s="1"/>
      <c r="Y180" s="2"/>
      <c r="Z180" s="2"/>
      <c r="AA180" s="2"/>
      <c r="AB180" s="2"/>
      <c r="AC180" s="4"/>
    </row>
    <row r="181" spans="1:29" ht="13.5" customHeight="1">
      <c r="A181" s="2"/>
      <c r="C181" s="3"/>
      <c r="D181" s="3"/>
      <c r="E181" s="3"/>
      <c r="F181" s="3"/>
      <c r="G181" s="3"/>
      <c r="H181" s="22"/>
      <c r="I181" s="22"/>
      <c r="J181" s="22"/>
      <c r="K181" s="22"/>
      <c r="L181" s="27"/>
      <c r="M181" s="30"/>
      <c r="N181" s="27"/>
      <c r="O181" s="30"/>
      <c r="P181" s="27"/>
      <c r="Q181" s="30"/>
      <c r="R181" s="27"/>
      <c r="S181" s="30"/>
      <c r="W181" s="1"/>
      <c r="Y181" s="2"/>
      <c r="Z181" s="2"/>
      <c r="AA181" s="2"/>
      <c r="AB181" s="2"/>
      <c r="AC181" s="4"/>
    </row>
    <row r="182" spans="1:29" ht="13.5" customHeight="1">
      <c r="A182" s="2"/>
      <c r="C182" s="3"/>
      <c r="D182" s="3"/>
      <c r="E182" s="3"/>
      <c r="F182" s="3"/>
      <c r="G182" s="3"/>
      <c r="H182" s="22"/>
      <c r="I182" s="22"/>
      <c r="J182" s="22"/>
      <c r="K182" s="22"/>
      <c r="L182" s="27"/>
      <c r="M182" s="30"/>
      <c r="N182" s="27"/>
      <c r="O182" s="30"/>
      <c r="P182" s="27"/>
      <c r="Q182" s="30"/>
      <c r="R182" s="27"/>
      <c r="S182" s="30"/>
      <c r="W182" s="1"/>
      <c r="Y182" s="2"/>
      <c r="Z182" s="2"/>
      <c r="AA182" s="2"/>
      <c r="AB182" s="2"/>
      <c r="AC182" s="4"/>
    </row>
    <row r="183" spans="1:29" ht="13.5" customHeight="1">
      <c r="A183" s="2"/>
      <c r="C183" s="3"/>
      <c r="D183" s="3"/>
      <c r="E183" s="3"/>
      <c r="F183" s="3"/>
      <c r="G183" s="3"/>
      <c r="H183" s="22"/>
      <c r="I183" s="22"/>
      <c r="J183" s="22"/>
      <c r="K183" s="22"/>
      <c r="L183" s="27"/>
      <c r="M183" s="30"/>
      <c r="N183" s="27"/>
      <c r="O183" s="30"/>
      <c r="P183" s="27"/>
      <c r="Q183" s="30"/>
      <c r="R183" s="27"/>
      <c r="S183" s="30"/>
      <c r="W183" s="1"/>
      <c r="Y183" s="2"/>
      <c r="Z183" s="2"/>
      <c r="AA183" s="2"/>
      <c r="AB183" s="2"/>
      <c r="AC183" s="4"/>
    </row>
    <row r="184" spans="1:29" ht="13.5" customHeight="1">
      <c r="A184" s="2"/>
      <c r="C184" s="3"/>
      <c r="D184" s="3"/>
      <c r="E184" s="3"/>
      <c r="F184" s="3"/>
      <c r="G184" s="3"/>
      <c r="H184" s="22"/>
      <c r="I184" s="22"/>
      <c r="J184" s="22"/>
      <c r="K184" s="22"/>
      <c r="L184" s="27"/>
      <c r="M184" s="30"/>
      <c r="N184" s="27"/>
      <c r="O184" s="30"/>
      <c r="P184" s="27"/>
      <c r="Q184" s="30"/>
      <c r="R184" s="27"/>
      <c r="S184" s="30"/>
      <c r="W184" s="1"/>
      <c r="Y184" s="2"/>
      <c r="Z184" s="2"/>
      <c r="AA184" s="2"/>
      <c r="AB184" s="2"/>
      <c r="AC184" s="4"/>
    </row>
    <row r="185" spans="1:29" ht="13.5" customHeight="1">
      <c r="A185" s="2"/>
      <c r="C185" s="3"/>
      <c r="D185" s="3"/>
      <c r="E185" s="3"/>
      <c r="F185" s="3"/>
      <c r="G185" s="3"/>
      <c r="H185" s="22"/>
      <c r="I185" s="22"/>
      <c r="J185" s="22"/>
      <c r="K185" s="22"/>
      <c r="L185" s="27"/>
      <c r="M185" s="30"/>
      <c r="N185" s="27"/>
      <c r="O185" s="30"/>
      <c r="P185" s="27"/>
      <c r="Q185" s="30"/>
      <c r="R185" s="27"/>
      <c r="S185" s="30"/>
      <c r="W185" s="1"/>
      <c r="Y185" s="2"/>
      <c r="Z185" s="2"/>
      <c r="AA185" s="2"/>
      <c r="AB185" s="2"/>
      <c r="AC185" s="4"/>
    </row>
    <row r="186" spans="1:29" ht="13.5" customHeight="1">
      <c r="A186" s="2"/>
      <c r="C186" s="3"/>
      <c r="D186" s="3"/>
      <c r="E186" s="3"/>
      <c r="F186" s="3"/>
      <c r="G186" s="3"/>
      <c r="H186" s="22"/>
      <c r="I186" s="22"/>
      <c r="J186" s="22"/>
      <c r="K186" s="22"/>
      <c r="L186" s="27"/>
      <c r="M186" s="30"/>
      <c r="N186" s="27"/>
      <c r="O186" s="30"/>
      <c r="P186" s="27"/>
      <c r="Q186" s="30"/>
      <c r="R186" s="27"/>
      <c r="S186" s="30"/>
      <c r="W186" s="1"/>
      <c r="Y186" s="2"/>
      <c r="Z186" s="2"/>
      <c r="AA186" s="2"/>
      <c r="AB186" s="2"/>
      <c r="AC186" s="4"/>
    </row>
    <row r="187" spans="1:29" ht="13.5" customHeight="1">
      <c r="A187" s="2"/>
      <c r="C187" s="3"/>
      <c r="D187" s="3"/>
      <c r="E187" s="3"/>
      <c r="F187" s="3"/>
      <c r="G187" s="3"/>
      <c r="H187" s="22"/>
      <c r="I187" s="22"/>
      <c r="J187" s="22"/>
      <c r="K187" s="22"/>
      <c r="L187" s="27"/>
      <c r="M187" s="30"/>
      <c r="N187" s="27"/>
      <c r="O187" s="30"/>
      <c r="P187" s="27"/>
      <c r="Q187" s="30"/>
      <c r="R187" s="27"/>
      <c r="S187" s="30"/>
      <c r="W187" s="1"/>
      <c r="Y187" s="2"/>
      <c r="Z187" s="2"/>
      <c r="AA187" s="2"/>
      <c r="AB187" s="2"/>
      <c r="AC187" s="4"/>
    </row>
    <row r="188" spans="1:29" ht="13.5" customHeight="1">
      <c r="A188" s="2"/>
      <c r="C188" s="3"/>
      <c r="D188" s="3"/>
      <c r="E188" s="3"/>
      <c r="F188" s="3"/>
      <c r="G188" s="3"/>
      <c r="H188" s="22"/>
      <c r="I188" s="22"/>
      <c r="J188" s="22"/>
      <c r="K188" s="22"/>
      <c r="L188" s="27"/>
      <c r="M188" s="30"/>
      <c r="N188" s="27"/>
      <c r="O188" s="30"/>
      <c r="P188" s="27"/>
      <c r="Q188" s="30"/>
      <c r="R188" s="27"/>
      <c r="S188" s="30"/>
      <c r="W188" s="1"/>
      <c r="Y188" s="2"/>
      <c r="Z188" s="2"/>
      <c r="AA188" s="2"/>
      <c r="AB188" s="2"/>
      <c r="AC188" s="4"/>
    </row>
    <row r="189" spans="1:29" ht="13.5" customHeight="1">
      <c r="A189" s="2"/>
      <c r="C189" s="3"/>
      <c r="D189" s="3"/>
      <c r="E189" s="3"/>
      <c r="F189" s="3"/>
      <c r="G189" s="3"/>
      <c r="H189" s="22"/>
      <c r="I189" s="22"/>
      <c r="J189" s="22"/>
      <c r="K189" s="22"/>
      <c r="L189" s="27"/>
      <c r="M189" s="30"/>
      <c r="N189" s="27"/>
      <c r="O189" s="30"/>
      <c r="P189" s="27"/>
      <c r="Q189" s="30"/>
      <c r="R189" s="27"/>
      <c r="S189" s="30"/>
      <c r="W189" s="1"/>
      <c r="Y189" s="2"/>
      <c r="Z189" s="2"/>
      <c r="AA189" s="2"/>
      <c r="AB189" s="2"/>
      <c r="AC189" s="4"/>
    </row>
    <row r="190" spans="1:29" ht="13.5" customHeight="1">
      <c r="A190" s="2"/>
      <c r="C190" s="3"/>
      <c r="D190" s="3"/>
      <c r="E190" s="3"/>
      <c r="F190" s="3"/>
      <c r="G190" s="3"/>
      <c r="H190" s="22"/>
      <c r="I190" s="22"/>
      <c r="J190" s="22"/>
      <c r="K190" s="22"/>
      <c r="L190" s="27"/>
      <c r="M190" s="30"/>
      <c r="N190" s="27"/>
      <c r="O190" s="30"/>
      <c r="P190" s="27"/>
      <c r="Q190" s="30"/>
      <c r="R190" s="27"/>
      <c r="S190" s="30"/>
      <c r="W190" s="1"/>
      <c r="Y190" s="2"/>
      <c r="Z190" s="2"/>
      <c r="AA190" s="2"/>
      <c r="AB190" s="2"/>
      <c r="AC190" s="4"/>
    </row>
    <row r="191" spans="1:29" ht="13.5" customHeight="1">
      <c r="A191" s="2"/>
      <c r="C191" s="3"/>
      <c r="D191" s="3"/>
      <c r="E191" s="3"/>
      <c r="F191" s="3"/>
      <c r="G191" s="3"/>
      <c r="H191" s="22"/>
      <c r="I191" s="22"/>
      <c r="J191" s="22"/>
      <c r="K191" s="22"/>
      <c r="L191" s="27"/>
      <c r="M191" s="30"/>
      <c r="N191" s="27"/>
      <c r="O191" s="30"/>
      <c r="P191" s="27"/>
      <c r="Q191" s="30"/>
      <c r="R191" s="27"/>
      <c r="S191" s="30"/>
      <c r="W191" s="1"/>
      <c r="Y191" s="2"/>
      <c r="Z191" s="2"/>
      <c r="AA191" s="2"/>
      <c r="AB191" s="2"/>
      <c r="AC191" s="4"/>
    </row>
    <row r="192" spans="1:29" ht="13.5" customHeight="1">
      <c r="A192" s="2"/>
      <c r="C192" s="3"/>
      <c r="D192" s="3"/>
      <c r="E192" s="3"/>
      <c r="F192" s="3"/>
      <c r="G192" s="3"/>
      <c r="H192" s="22"/>
      <c r="I192" s="22"/>
      <c r="J192" s="22"/>
      <c r="K192" s="22"/>
      <c r="L192" s="27"/>
      <c r="M192" s="30"/>
      <c r="N192" s="27"/>
      <c r="O192" s="30"/>
      <c r="P192" s="27"/>
      <c r="Q192" s="30"/>
      <c r="R192" s="27"/>
      <c r="S192" s="30"/>
      <c r="W192" s="1"/>
      <c r="Y192" s="2"/>
      <c r="Z192" s="2"/>
      <c r="AA192" s="2"/>
      <c r="AB192" s="2"/>
      <c r="AC192" s="4"/>
    </row>
    <row r="193" spans="1:29" ht="13.5" customHeight="1">
      <c r="A193" s="2"/>
      <c r="C193" s="3"/>
      <c r="D193" s="3"/>
      <c r="E193" s="3"/>
      <c r="F193" s="3"/>
      <c r="G193" s="3"/>
      <c r="H193" s="22"/>
      <c r="I193" s="22"/>
      <c r="J193" s="22"/>
      <c r="K193" s="22"/>
      <c r="L193" s="27"/>
      <c r="M193" s="30"/>
      <c r="N193" s="27"/>
      <c r="O193" s="30"/>
      <c r="P193" s="27"/>
      <c r="Q193" s="30"/>
      <c r="R193" s="27"/>
      <c r="S193" s="30"/>
      <c r="W193" s="1"/>
      <c r="Y193" s="2"/>
      <c r="Z193" s="2"/>
      <c r="AA193" s="2"/>
      <c r="AB193" s="2"/>
      <c r="AC193" s="4"/>
    </row>
    <row r="194" spans="1:29" ht="13.5" customHeight="1">
      <c r="A194" s="2"/>
      <c r="C194" s="3"/>
      <c r="D194" s="3"/>
      <c r="E194" s="3"/>
      <c r="F194" s="3"/>
      <c r="G194" s="3"/>
      <c r="H194" s="22"/>
      <c r="I194" s="22"/>
      <c r="J194" s="22"/>
      <c r="K194" s="22"/>
      <c r="L194" s="27"/>
      <c r="M194" s="30"/>
      <c r="N194" s="27"/>
      <c r="O194" s="30"/>
      <c r="P194" s="27"/>
      <c r="Q194" s="30"/>
      <c r="R194" s="27"/>
      <c r="S194" s="30"/>
      <c r="W194" s="1"/>
      <c r="Y194" s="2"/>
      <c r="Z194" s="2"/>
      <c r="AA194" s="2"/>
      <c r="AB194" s="2"/>
      <c r="AC194" s="4"/>
    </row>
    <row r="195" spans="1:29" ht="13.5" customHeight="1">
      <c r="A195" s="2"/>
      <c r="C195" s="3"/>
      <c r="D195" s="3"/>
      <c r="E195" s="3"/>
      <c r="F195" s="3"/>
      <c r="G195" s="3"/>
      <c r="H195" s="22"/>
      <c r="I195" s="22"/>
      <c r="J195" s="22"/>
      <c r="K195" s="22"/>
      <c r="L195" s="27"/>
      <c r="M195" s="30"/>
      <c r="N195" s="27"/>
      <c r="O195" s="30"/>
      <c r="P195" s="27"/>
      <c r="Q195" s="30"/>
      <c r="R195" s="27"/>
      <c r="S195" s="30"/>
      <c r="W195" s="1"/>
      <c r="Y195" s="2"/>
      <c r="Z195" s="2"/>
      <c r="AA195" s="2"/>
      <c r="AB195" s="2"/>
      <c r="AC195" s="4"/>
    </row>
    <row r="196" spans="1:29" ht="13.5" customHeight="1">
      <c r="A196" s="2"/>
      <c r="C196" s="3"/>
      <c r="D196" s="3"/>
      <c r="E196" s="3"/>
      <c r="F196" s="3"/>
      <c r="G196" s="3"/>
      <c r="H196" s="22"/>
      <c r="I196" s="22"/>
      <c r="J196" s="22"/>
      <c r="K196" s="22"/>
      <c r="L196" s="27"/>
      <c r="M196" s="30"/>
      <c r="N196" s="27"/>
      <c r="O196" s="30"/>
      <c r="P196" s="27"/>
      <c r="Q196" s="30"/>
      <c r="R196" s="27"/>
      <c r="S196" s="30"/>
      <c r="W196" s="1"/>
      <c r="Y196" s="2"/>
      <c r="Z196" s="2"/>
      <c r="AA196" s="2"/>
      <c r="AB196" s="2"/>
      <c r="AC196" s="4"/>
    </row>
    <row r="197" spans="1:29" ht="13.5" customHeight="1">
      <c r="A197" s="2"/>
      <c r="C197" s="3"/>
      <c r="D197" s="3"/>
      <c r="E197" s="3"/>
      <c r="F197" s="3"/>
      <c r="G197" s="3"/>
      <c r="H197" s="22"/>
      <c r="I197" s="22"/>
      <c r="J197" s="22"/>
      <c r="K197" s="22"/>
      <c r="L197" s="27"/>
      <c r="M197" s="30"/>
      <c r="N197" s="27"/>
      <c r="O197" s="30"/>
      <c r="P197" s="27"/>
      <c r="Q197" s="30"/>
      <c r="R197" s="27"/>
      <c r="S197" s="30"/>
      <c r="W197" s="1"/>
      <c r="Y197" s="2"/>
      <c r="Z197" s="2"/>
      <c r="AA197" s="2"/>
      <c r="AB197" s="2"/>
      <c r="AC197" s="4"/>
    </row>
    <row r="198" spans="1:29" ht="13.5" customHeight="1">
      <c r="A198" s="2"/>
      <c r="C198" s="3"/>
      <c r="D198" s="3"/>
      <c r="E198" s="3"/>
      <c r="F198" s="3"/>
      <c r="G198" s="3"/>
      <c r="H198" s="22"/>
      <c r="I198" s="22"/>
      <c r="J198" s="22"/>
      <c r="K198" s="22"/>
      <c r="L198" s="27"/>
      <c r="M198" s="30"/>
      <c r="N198" s="27"/>
      <c r="O198" s="30"/>
      <c r="P198" s="27"/>
      <c r="Q198" s="30"/>
      <c r="R198" s="27"/>
      <c r="S198" s="30"/>
      <c r="W198" s="1"/>
      <c r="Y198" s="2"/>
      <c r="Z198" s="2"/>
      <c r="AA198" s="2"/>
      <c r="AB198" s="2"/>
      <c r="AC198" s="4"/>
    </row>
    <row r="199" spans="1:29" ht="13.5" customHeight="1">
      <c r="A199" s="2"/>
      <c r="C199" s="3"/>
      <c r="D199" s="3"/>
      <c r="E199" s="3"/>
      <c r="F199" s="3"/>
      <c r="G199" s="3"/>
      <c r="H199" s="22"/>
      <c r="I199" s="22"/>
      <c r="J199" s="22"/>
      <c r="K199" s="22"/>
      <c r="L199" s="27"/>
      <c r="M199" s="30"/>
      <c r="N199" s="27"/>
      <c r="O199" s="30"/>
      <c r="P199" s="27"/>
      <c r="Q199" s="30"/>
      <c r="R199" s="27"/>
      <c r="S199" s="30"/>
      <c r="W199" s="1"/>
      <c r="Y199" s="2"/>
      <c r="Z199" s="2"/>
      <c r="AA199" s="2"/>
      <c r="AB199" s="2"/>
      <c r="AC199" s="4"/>
    </row>
    <row r="200" spans="1:29" ht="13.5" customHeight="1">
      <c r="A200" s="2"/>
      <c r="C200" s="3"/>
      <c r="D200" s="3"/>
      <c r="E200" s="3"/>
      <c r="F200" s="3"/>
      <c r="G200" s="3"/>
      <c r="H200" s="22"/>
      <c r="I200" s="22"/>
      <c r="J200" s="22"/>
      <c r="K200" s="22"/>
      <c r="L200" s="27"/>
      <c r="M200" s="30"/>
      <c r="N200" s="27"/>
      <c r="O200" s="30"/>
      <c r="P200" s="27"/>
      <c r="Q200" s="30"/>
      <c r="R200" s="27"/>
      <c r="S200" s="30"/>
      <c r="W200" s="1"/>
      <c r="Y200" s="2"/>
      <c r="Z200" s="2"/>
      <c r="AA200" s="2"/>
      <c r="AB200" s="2"/>
      <c r="AC200" s="4"/>
    </row>
    <row r="201" spans="1:29" ht="13.5" customHeight="1">
      <c r="A201" s="2"/>
      <c r="C201" s="3"/>
      <c r="D201" s="3"/>
      <c r="E201" s="3"/>
      <c r="F201" s="3"/>
      <c r="G201" s="3"/>
      <c r="H201" s="22"/>
      <c r="I201" s="22"/>
      <c r="J201" s="22"/>
      <c r="K201" s="22"/>
      <c r="L201" s="27"/>
      <c r="M201" s="30"/>
      <c r="N201" s="27"/>
      <c r="O201" s="30"/>
      <c r="P201" s="27"/>
      <c r="Q201" s="30"/>
      <c r="R201" s="27"/>
      <c r="S201" s="30"/>
      <c r="W201" s="1"/>
      <c r="Y201" s="2"/>
      <c r="Z201" s="2"/>
      <c r="AA201" s="2"/>
      <c r="AB201" s="2"/>
      <c r="AC201" s="4"/>
    </row>
    <row r="202" spans="1:29" ht="13.5" customHeight="1">
      <c r="A202" s="2"/>
      <c r="C202" s="3"/>
      <c r="D202" s="3"/>
      <c r="E202" s="3"/>
      <c r="F202" s="3"/>
      <c r="G202" s="3"/>
      <c r="H202" s="22"/>
      <c r="I202" s="22"/>
      <c r="J202" s="22"/>
      <c r="K202" s="22"/>
      <c r="L202" s="27"/>
      <c r="M202" s="30"/>
      <c r="N202" s="27"/>
      <c r="O202" s="30"/>
      <c r="P202" s="27"/>
      <c r="Q202" s="30"/>
      <c r="R202" s="27"/>
      <c r="S202" s="30"/>
      <c r="W202" s="1"/>
      <c r="Y202" s="2"/>
      <c r="Z202" s="2"/>
      <c r="AA202" s="2"/>
      <c r="AB202" s="2"/>
      <c r="AC202" s="4"/>
    </row>
    <row r="203" spans="1:29" ht="13.5" customHeight="1">
      <c r="A203" s="2"/>
      <c r="C203" s="3"/>
      <c r="D203" s="3"/>
      <c r="E203" s="3"/>
      <c r="F203" s="3"/>
      <c r="G203" s="3"/>
      <c r="H203" s="22"/>
      <c r="I203" s="22"/>
      <c r="J203" s="22"/>
      <c r="K203" s="22"/>
      <c r="L203" s="27"/>
      <c r="M203" s="30"/>
      <c r="N203" s="27"/>
      <c r="O203" s="30"/>
      <c r="P203" s="27"/>
      <c r="Q203" s="30"/>
      <c r="R203" s="27"/>
      <c r="S203" s="30"/>
      <c r="W203" s="1"/>
      <c r="Y203" s="2"/>
      <c r="Z203" s="2"/>
      <c r="AA203" s="2"/>
      <c r="AB203" s="2"/>
      <c r="AC203" s="4"/>
    </row>
    <row r="204" spans="1:29" ht="13.5" customHeight="1">
      <c r="A204" s="2"/>
      <c r="C204" s="3"/>
      <c r="D204" s="3"/>
      <c r="E204" s="3"/>
      <c r="F204" s="3"/>
      <c r="G204" s="3"/>
      <c r="H204" s="22"/>
      <c r="I204" s="22"/>
      <c r="J204" s="22"/>
      <c r="K204" s="22"/>
      <c r="L204" s="27"/>
      <c r="M204" s="30"/>
      <c r="N204" s="27"/>
      <c r="O204" s="30"/>
      <c r="P204" s="27"/>
      <c r="Q204" s="30"/>
      <c r="R204" s="27"/>
      <c r="S204" s="30"/>
      <c r="W204" s="1"/>
      <c r="Y204" s="2"/>
      <c r="Z204" s="2"/>
      <c r="AA204" s="2"/>
      <c r="AB204" s="2"/>
      <c r="AC204" s="4"/>
    </row>
    <row r="205" spans="1:29" ht="13.5" customHeight="1">
      <c r="A205" s="2"/>
      <c r="C205" s="3"/>
      <c r="D205" s="3"/>
      <c r="E205" s="3"/>
      <c r="F205" s="3"/>
      <c r="G205" s="3"/>
      <c r="H205" s="22"/>
      <c r="I205" s="22"/>
      <c r="J205" s="22"/>
      <c r="K205" s="22"/>
      <c r="L205" s="27"/>
      <c r="M205" s="30"/>
      <c r="N205" s="27"/>
      <c r="O205" s="30"/>
      <c r="P205" s="27"/>
      <c r="Q205" s="30"/>
      <c r="R205" s="27"/>
      <c r="S205" s="30"/>
      <c r="W205" s="1"/>
      <c r="Y205" s="2"/>
      <c r="Z205" s="2"/>
      <c r="AA205" s="2"/>
      <c r="AB205" s="2"/>
      <c r="AC205" s="4"/>
    </row>
    <row r="206" spans="1:29" ht="13.5" customHeight="1">
      <c r="A206" s="2"/>
      <c r="C206" s="3"/>
      <c r="D206" s="3"/>
      <c r="E206" s="3"/>
      <c r="F206" s="3"/>
      <c r="G206" s="3"/>
      <c r="H206" s="22"/>
      <c r="I206" s="22"/>
      <c r="J206" s="22"/>
      <c r="K206" s="22"/>
      <c r="L206" s="27"/>
      <c r="M206" s="30"/>
      <c r="N206" s="27"/>
      <c r="O206" s="30"/>
      <c r="P206" s="27"/>
      <c r="Q206" s="30"/>
      <c r="R206" s="27"/>
      <c r="S206" s="30"/>
      <c r="W206" s="1"/>
      <c r="Y206" s="2"/>
      <c r="Z206" s="2"/>
      <c r="AA206" s="2"/>
      <c r="AB206" s="2"/>
      <c r="AC206" s="4"/>
    </row>
    <row r="207" spans="1:29" ht="13.5" customHeight="1">
      <c r="A207" s="2"/>
      <c r="C207" s="3"/>
      <c r="D207" s="3"/>
      <c r="E207" s="3"/>
      <c r="F207" s="3"/>
      <c r="G207" s="3"/>
      <c r="H207" s="22"/>
      <c r="I207" s="22"/>
      <c r="J207" s="22"/>
      <c r="K207" s="22"/>
      <c r="L207" s="27"/>
      <c r="M207" s="30"/>
      <c r="N207" s="27"/>
      <c r="O207" s="30"/>
      <c r="P207" s="27"/>
      <c r="Q207" s="30"/>
      <c r="R207" s="27"/>
      <c r="S207" s="30"/>
      <c r="W207" s="1"/>
      <c r="Y207" s="2"/>
      <c r="Z207" s="2"/>
      <c r="AA207" s="2"/>
      <c r="AB207" s="2"/>
      <c r="AC207" s="4"/>
    </row>
    <row r="208" spans="1:29" ht="13.5" customHeight="1">
      <c r="A208" s="2"/>
      <c r="C208" s="3"/>
      <c r="D208" s="3"/>
      <c r="E208" s="3"/>
      <c r="F208" s="3"/>
      <c r="G208" s="3"/>
      <c r="H208" s="22"/>
      <c r="I208" s="22"/>
      <c r="J208" s="22"/>
      <c r="K208" s="22"/>
      <c r="L208" s="27"/>
      <c r="M208" s="30"/>
      <c r="N208" s="27"/>
      <c r="O208" s="30"/>
      <c r="P208" s="27"/>
      <c r="Q208" s="30"/>
      <c r="R208" s="27"/>
      <c r="S208" s="30"/>
      <c r="W208" s="1"/>
      <c r="Y208" s="2"/>
      <c r="Z208" s="2"/>
      <c r="AA208" s="2"/>
      <c r="AB208" s="2"/>
      <c r="AC208" s="4"/>
    </row>
    <row r="209" spans="1:29" ht="13.5" customHeight="1">
      <c r="A209" s="2"/>
      <c r="C209" s="3"/>
      <c r="D209" s="3"/>
      <c r="E209" s="3"/>
      <c r="F209" s="3"/>
      <c r="G209" s="3"/>
      <c r="H209" s="22"/>
      <c r="I209" s="22"/>
      <c r="J209" s="22"/>
      <c r="K209" s="22"/>
      <c r="L209" s="27"/>
      <c r="M209" s="30"/>
      <c r="N209" s="27"/>
      <c r="O209" s="30"/>
      <c r="P209" s="27"/>
      <c r="Q209" s="30"/>
      <c r="R209" s="27"/>
      <c r="S209" s="30"/>
      <c r="W209" s="1"/>
      <c r="Y209" s="2"/>
      <c r="Z209" s="2"/>
      <c r="AA209" s="2"/>
      <c r="AB209" s="2"/>
      <c r="AC209" s="4"/>
    </row>
    <row r="210" spans="1:29" ht="13.5" customHeight="1">
      <c r="A210" s="2"/>
      <c r="C210" s="3"/>
      <c r="D210" s="3"/>
      <c r="E210" s="3"/>
      <c r="F210" s="3"/>
      <c r="G210" s="3"/>
      <c r="H210" s="22"/>
      <c r="I210" s="22"/>
      <c r="J210" s="22"/>
      <c r="K210" s="22"/>
      <c r="L210" s="27"/>
      <c r="M210" s="30"/>
      <c r="N210" s="27"/>
      <c r="O210" s="30"/>
      <c r="P210" s="27"/>
      <c r="Q210" s="30"/>
      <c r="R210" s="27"/>
      <c r="S210" s="30"/>
      <c r="W210" s="1"/>
      <c r="Y210" s="2"/>
      <c r="Z210" s="2"/>
      <c r="AA210" s="2"/>
      <c r="AB210" s="2"/>
      <c r="AC210" s="4"/>
    </row>
    <row r="211" spans="1:29" ht="13.5" customHeight="1">
      <c r="A211" s="2"/>
      <c r="C211" s="3"/>
      <c r="D211" s="3"/>
      <c r="E211" s="3"/>
      <c r="F211" s="3"/>
      <c r="G211" s="3"/>
      <c r="H211" s="22"/>
      <c r="I211" s="22"/>
      <c r="J211" s="22"/>
      <c r="K211" s="22"/>
      <c r="L211" s="27"/>
      <c r="M211" s="30"/>
      <c r="N211" s="27"/>
      <c r="O211" s="30"/>
      <c r="P211" s="27"/>
      <c r="Q211" s="30"/>
      <c r="R211" s="27"/>
      <c r="S211" s="30"/>
      <c r="W211" s="1"/>
      <c r="Y211" s="2"/>
      <c r="Z211" s="2"/>
      <c r="AA211" s="2"/>
      <c r="AB211" s="2"/>
      <c r="AC211" s="4"/>
    </row>
    <row r="212" spans="1:29" ht="13.5" customHeight="1">
      <c r="A212" s="2"/>
      <c r="C212" s="3"/>
      <c r="D212" s="3"/>
      <c r="E212" s="3"/>
      <c r="F212" s="3"/>
      <c r="G212" s="3"/>
      <c r="H212" s="22"/>
      <c r="I212" s="22"/>
      <c r="J212" s="22"/>
      <c r="K212" s="22"/>
      <c r="L212" s="27"/>
      <c r="M212" s="30"/>
      <c r="N212" s="27"/>
      <c r="O212" s="30"/>
      <c r="P212" s="27"/>
      <c r="Q212" s="30"/>
      <c r="R212" s="27"/>
      <c r="S212" s="30"/>
      <c r="W212" s="1"/>
      <c r="Y212" s="2"/>
      <c r="Z212" s="2"/>
      <c r="AA212" s="2"/>
      <c r="AB212" s="2"/>
      <c r="AC212" s="4"/>
    </row>
    <row r="213" spans="1:29" ht="13.5" customHeight="1">
      <c r="A213" s="2"/>
      <c r="C213" s="3"/>
      <c r="D213" s="3"/>
      <c r="E213" s="3"/>
      <c r="F213" s="3"/>
      <c r="G213" s="3"/>
      <c r="H213" s="22"/>
      <c r="I213" s="22"/>
      <c r="J213" s="22"/>
      <c r="K213" s="22"/>
      <c r="L213" s="27"/>
      <c r="M213" s="30"/>
      <c r="N213" s="27"/>
      <c r="O213" s="30"/>
      <c r="P213" s="27"/>
      <c r="Q213" s="30"/>
      <c r="R213" s="27"/>
      <c r="S213" s="30"/>
      <c r="W213" s="1"/>
      <c r="Y213" s="2"/>
      <c r="Z213" s="2"/>
      <c r="AA213" s="2"/>
      <c r="AB213" s="2"/>
      <c r="AC213" s="4"/>
    </row>
    <row r="214" spans="1:29" ht="13.5" customHeight="1">
      <c r="A214" s="2"/>
      <c r="C214" s="3"/>
      <c r="D214" s="3"/>
      <c r="E214" s="3"/>
      <c r="F214" s="3"/>
      <c r="G214" s="3"/>
      <c r="H214" s="22"/>
      <c r="I214" s="22"/>
      <c r="J214" s="22"/>
      <c r="K214" s="22"/>
      <c r="L214" s="27"/>
      <c r="M214" s="30"/>
      <c r="N214" s="27"/>
      <c r="O214" s="30"/>
      <c r="P214" s="27"/>
      <c r="Q214" s="30"/>
      <c r="R214" s="27"/>
      <c r="S214" s="30"/>
      <c r="W214" s="1"/>
      <c r="Y214" s="2"/>
      <c r="Z214" s="2"/>
      <c r="AA214" s="2"/>
      <c r="AB214" s="2"/>
      <c r="AC214" s="4"/>
    </row>
    <row r="215" spans="1:29" ht="13.5" customHeight="1">
      <c r="A215" s="2"/>
      <c r="C215" s="3"/>
      <c r="D215" s="3"/>
      <c r="E215" s="3"/>
      <c r="F215" s="3"/>
      <c r="G215" s="3"/>
      <c r="H215" s="22"/>
      <c r="I215" s="22"/>
      <c r="J215" s="22"/>
      <c r="K215" s="22"/>
      <c r="L215" s="27"/>
      <c r="M215" s="30"/>
      <c r="N215" s="27"/>
      <c r="O215" s="30"/>
      <c r="P215" s="27"/>
      <c r="Q215" s="30"/>
      <c r="R215" s="27"/>
      <c r="S215" s="30"/>
      <c r="W215" s="1"/>
      <c r="Y215" s="2"/>
      <c r="Z215" s="2"/>
      <c r="AA215" s="2"/>
      <c r="AB215" s="2"/>
      <c r="AC215" s="4"/>
    </row>
    <row r="216" spans="1:29" ht="13.5" customHeight="1">
      <c r="A216" s="2"/>
      <c r="C216" s="3"/>
      <c r="D216" s="3"/>
      <c r="E216" s="3"/>
      <c r="F216" s="3"/>
      <c r="G216" s="3"/>
      <c r="H216" s="22"/>
      <c r="I216" s="22"/>
      <c r="J216" s="22"/>
      <c r="K216" s="22"/>
      <c r="L216" s="27"/>
      <c r="M216" s="30"/>
      <c r="N216" s="27"/>
      <c r="O216" s="30"/>
      <c r="P216" s="27"/>
      <c r="Q216" s="30"/>
      <c r="R216" s="27"/>
      <c r="S216" s="30"/>
      <c r="W216" s="1"/>
      <c r="Y216" s="2"/>
      <c r="Z216" s="2"/>
      <c r="AA216" s="2"/>
      <c r="AB216" s="2"/>
      <c r="AC216" s="4"/>
    </row>
    <row r="217" spans="1:29" ht="13.5" customHeight="1">
      <c r="A217" s="2"/>
      <c r="C217" s="3"/>
      <c r="D217" s="3"/>
      <c r="E217" s="3"/>
      <c r="F217" s="3"/>
      <c r="G217" s="3"/>
      <c r="H217" s="22"/>
      <c r="I217" s="22"/>
      <c r="J217" s="22"/>
      <c r="K217" s="22"/>
      <c r="L217" s="27"/>
      <c r="M217" s="30"/>
      <c r="N217" s="27"/>
      <c r="O217" s="30"/>
      <c r="P217" s="27"/>
      <c r="Q217" s="30"/>
      <c r="R217" s="27"/>
      <c r="S217" s="30"/>
      <c r="W217" s="1"/>
      <c r="Y217" s="2"/>
      <c r="Z217" s="2"/>
      <c r="AA217" s="2"/>
      <c r="AB217" s="2"/>
      <c r="AC217" s="4"/>
    </row>
    <row r="218" spans="1:29" ht="13.5" customHeight="1">
      <c r="A218" s="2"/>
      <c r="C218" s="3"/>
      <c r="D218" s="3"/>
      <c r="E218" s="3"/>
      <c r="F218" s="3"/>
      <c r="G218" s="3"/>
      <c r="H218" s="22"/>
      <c r="I218" s="22"/>
      <c r="J218" s="22"/>
      <c r="K218" s="22"/>
      <c r="L218" s="27"/>
      <c r="M218" s="30"/>
      <c r="N218" s="27"/>
      <c r="O218" s="30"/>
      <c r="P218" s="27"/>
      <c r="Q218" s="30"/>
      <c r="R218" s="27"/>
      <c r="S218" s="30"/>
      <c r="W218" s="1"/>
      <c r="Y218" s="2"/>
      <c r="Z218" s="2"/>
      <c r="AA218" s="2"/>
      <c r="AB218" s="2"/>
      <c r="AC218" s="4"/>
    </row>
    <row r="219" spans="1:29" ht="13.5" customHeight="1">
      <c r="A219" s="2"/>
      <c r="C219" s="3"/>
      <c r="D219" s="3"/>
      <c r="E219" s="3"/>
      <c r="F219" s="3"/>
      <c r="G219" s="3"/>
      <c r="H219" s="22"/>
      <c r="I219" s="22"/>
      <c r="J219" s="22"/>
      <c r="K219" s="22"/>
      <c r="L219" s="27"/>
      <c r="M219" s="30"/>
      <c r="N219" s="27"/>
      <c r="O219" s="30"/>
      <c r="P219" s="27"/>
      <c r="Q219" s="30"/>
      <c r="R219" s="27"/>
      <c r="S219" s="30"/>
      <c r="W219" s="1"/>
      <c r="Y219" s="2"/>
      <c r="Z219" s="2"/>
      <c r="AA219" s="2"/>
      <c r="AB219" s="2"/>
      <c r="AC219" s="4"/>
    </row>
    <row r="220" spans="1:29" ht="13.5" customHeight="1">
      <c r="A220" s="2"/>
      <c r="C220" s="3"/>
      <c r="D220" s="3"/>
      <c r="E220" s="3"/>
      <c r="F220" s="3"/>
      <c r="G220" s="3"/>
      <c r="H220" s="22"/>
      <c r="I220" s="22"/>
      <c r="J220" s="22"/>
      <c r="K220" s="22"/>
      <c r="L220" s="27"/>
      <c r="M220" s="30"/>
      <c r="N220" s="27"/>
      <c r="O220" s="30"/>
      <c r="P220" s="27"/>
      <c r="Q220" s="30"/>
      <c r="R220" s="27"/>
      <c r="S220" s="30"/>
      <c r="W220" s="1"/>
      <c r="Y220" s="2"/>
      <c r="Z220" s="2"/>
      <c r="AA220" s="2"/>
      <c r="AB220" s="2"/>
      <c r="AC220" s="4"/>
    </row>
    <row r="221" spans="1:29" ht="13.5" customHeight="1">
      <c r="A221" s="2"/>
      <c r="C221" s="3"/>
      <c r="D221" s="3"/>
      <c r="E221" s="3"/>
      <c r="F221" s="3"/>
      <c r="G221" s="3"/>
      <c r="H221" s="22"/>
      <c r="I221" s="22"/>
      <c r="J221" s="22"/>
      <c r="K221" s="22"/>
      <c r="L221" s="27"/>
      <c r="M221" s="30"/>
      <c r="N221" s="27"/>
      <c r="O221" s="30"/>
      <c r="P221" s="27"/>
      <c r="Q221" s="30"/>
      <c r="R221" s="27"/>
      <c r="S221" s="30"/>
      <c r="W221" s="1"/>
      <c r="Y221" s="2"/>
      <c r="Z221" s="2"/>
      <c r="AA221" s="2"/>
      <c r="AB221" s="2"/>
      <c r="AC221" s="4"/>
    </row>
    <row r="222" spans="1:29" ht="13.5" customHeight="1">
      <c r="A222" s="2"/>
      <c r="C222" s="3"/>
      <c r="D222" s="3"/>
      <c r="E222" s="3"/>
      <c r="F222" s="3"/>
      <c r="G222" s="3"/>
      <c r="H222" s="22"/>
      <c r="I222" s="22"/>
      <c r="J222" s="22"/>
      <c r="K222" s="22"/>
      <c r="L222" s="27"/>
      <c r="M222" s="30"/>
      <c r="N222" s="27"/>
      <c r="O222" s="30"/>
      <c r="P222" s="27"/>
      <c r="Q222" s="30"/>
      <c r="R222" s="27"/>
      <c r="S222" s="30"/>
      <c r="W222" s="1"/>
      <c r="Y222" s="2"/>
      <c r="Z222" s="2"/>
      <c r="AA222" s="2"/>
      <c r="AB222" s="2"/>
      <c r="AC222" s="4"/>
    </row>
    <row r="223" spans="1:29" ht="13.5" customHeight="1">
      <c r="A223" s="2"/>
      <c r="C223" s="3"/>
      <c r="D223" s="3"/>
      <c r="E223" s="3"/>
      <c r="F223" s="3"/>
      <c r="G223" s="3"/>
      <c r="H223" s="22"/>
      <c r="I223" s="22"/>
      <c r="J223" s="22"/>
      <c r="K223" s="22"/>
      <c r="L223" s="27"/>
      <c r="M223" s="30"/>
      <c r="N223" s="27"/>
      <c r="O223" s="30"/>
      <c r="P223" s="27"/>
      <c r="Q223" s="30"/>
      <c r="R223" s="27"/>
      <c r="S223" s="30"/>
      <c r="W223" s="1"/>
      <c r="Y223" s="2"/>
      <c r="Z223" s="2"/>
      <c r="AA223" s="2"/>
      <c r="AB223" s="2"/>
      <c r="AC223" s="4"/>
    </row>
    <row r="224" spans="1:29" ht="13.5" customHeight="1">
      <c r="A224" s="2"/>
      <c r="C224" s="3"/>
      <c r="D224" s="3"/>
      <c r="E224" s="3"/>
      <c r="F224" s="3"/>
      <c r="G224" s="3"/>
      <c r="H224" s="22"/>
      <c r="I224" s="22"/>
      <c r="J224" s="22"/>
      <c r="K224" s="22"/>
      <c r="L224" s="27"/>
      <c r="M224" s="30"/>
      <c r="N224" s="27"/>
      <c r="O224" s="30"/>
      <c r="P224" s="27"/>
      <c r="Q224" s="30"/>
      <c r="R224" s="27"/>
      <c r="S224" s="30"/>
      <c r="W224" s="1"/>
      <c r="Y224" s="2"/>
      <c r="Z224" s="2"/>
      <c r="AA224" s="2"/>
      <c r="AB224" s="2"/>
      <c r="AC224" s="4"/>
    </row>
    <row r="225" spans="1:29" ht="13.5" customHeight="1">
      <c r="A225" s="2"/>
      <c r="C225" s="3"/>
      <c r="D225" s="3"/>
      <c r="E225" s="3"/>
      <c r="F225" s="3"/>
      <c r="G225" s="3"/>
      <c r="H225" s="22"/>
      <c r="I225" s="22"/>
      <c r="J225" s="22"/>
      <c r="K225" s="22"/>
      <c r="L225" s="27"/>
      <c r="M225" s="30"/>
      <c r="N225" s="27"/>
      <c r="O225" s="30"/>
      <c r="P225" s="27"/>
      <c r="Q225" s="30"/>
      <c r="R225" s="27"/>
      <c r="S225" s="30"/>
      <c r="W225" s="1"/>
      <c r="Y225" s="2"/>
      <c r="Z225" s="2"/>
      <c r="AA225" s="2"/>
      <c r="AB225" s="2"/>
      <c r="AC225" s="4"/>
    </row>
    <row r="226" spans="1:29" ht="13.5" customHeight="1">
      <c r="A226" s="2"/>
      <c r="C226" s="3"/>
      <c r="D226" s="3"/>
      <c r="E226" s="3"/>
      <c r="F226" s="3"/>
      <c r="G226" s="3"/>
      <c r="H226" s="22"/>
      <c r="I226" s="22"/>
      <c r="J226" s="22"/>
      <c r="K226" s="22"/>
      <c r="L226" s="27"/>
      <c r="M226" s="30"/>
      <c r="N226" s="27"/>
      <c r="O226" s="30"/>
      <c r="P226" s="27"/>
      <c r="Q226" s="30"/>
      <c r="R226" s="27"/>
      <c r="S226" s="30"/>
      <c r="W226" s="1"/>
      <c r="Y226" s="2"/>
      <c r="Z226" s="2"/>
      <c r="AA226" s="2"/>
      <c r="AB226" s="2"/>
      <c r="AC226" s="4"/>
    </row>
    <row r="227" spans="1:29" ht="13.5" customHeight="1">
      <c r="A227" s="2"/>
      <c r="C227" s="3"/>
      <c r="D227" s="3"/>
      <c r="E227" s="3"/>
      <c r="F227" s="3"/>
      <c r="G227" s="3"/>
      <c r="H227" s="22"/>
      <c r="I227" s="22"/>
      <c r="J227" s="22"/>
      <c r="K227" s="22"/>
      <c r="L227" s="27"/>
      <c r="M227" s="30"/>
      <c r="N227" s="27"/>
      <c r="O227" s="30"/>
      <c r="P227" s="27"/>
      <c r="Q227" s="30"/>
      <c r="R227" s="27"/>
      <c r="S227" s="30"/>
      <c r="W227" s="1"/>
      <c r="Y227" s="2"/>
      <c r="Z227" s="2"/>
      <c r="AA227" s="2"/>
      <c r="AB227" s="2"/>
      <c r="AC227" s="4"/>
    </row>
    <row r="228" spans="1:29" ht="13.5" customHeight="1">
      <c r="A228" s="2"/>
      <c r="C228" s="3"/>
      <c r="D228" s="3"/>
      <c r="E228" s="3"/>
      <c r="F228" s="3"/>
      <c r="G228" s="3"/>
      <c r="H228" s="22"/>
      <c r="I228" s="22"/>
      <c r="J228" s="22"/>
      <c r="K228" s="22"/>
      <c r="L228" s="27"/>
      <c r="M228" s="30"/>
      <c r="N228" s="27"/>
      <c r="O228" s="30"/>
      <c r="P228" s="27"/>
      <c r="Q228" s="30"/>
      <c r="R228" s="27"/>
      <c r="S228" s="30"/>
      <c r="W228" s="1"/>
      <c r="Y228" s="2"/>
      <c r="Z228" s="2"/>
      <c r="AA228" s="2"/>
      <c r="AB228" s="2"/>
      <c r="AC228" s="4"/>
    </row>
    <row r="229" spans="1:29" ht="13.5" customHeight="1">
      <c r="A229" s="2"/>
      <c r="C229" s="3"/>
      <c r="D229" s="3"/>
      <c r="E229" s="3"/>
      <c r="F229" s="3"/>
      <c r="G229" s="3"/>
      <c r="H229" s="22"/>
      <c r="I229" s="22"/>
      <c r="J229" s="22"/>
      <c r="K229" s="22"/>
      <c r="L229" s="27"/>
      <c r="M229" s="30"/>
      <c r="N229" s="27"/>
      <c r="O229" s="30"/>
      <c r="P229" s="27"/>
      <c r="Q229" s="30"/>
      <c r="R229" s="27"/>
      <c r="S229" s="30"/>
      <c r="W229" s="1"/>
      <c r="Y229" s="2"/>
      <c r="Z229" s="2"/>
      <c r="AA229" s="2"/>
      <c r="AB229" s="2"/>
      <c r="AC229" s="4"/>
    </row>
    <row r="230" spans="1:29" ht="13.5" customHeight="1">
      <c r="A230" s="2"/>
      <c r="C230" s="3"/>
      <c r="D230" s="3"/>
      <c r="E230" s="3"/>
      <c r="F230" s="3"/>
      <c r="G230" s="3"/>
      <c r="H230" s="22"/>
      <c r="I230" s="22"/>
      <c r="J230" s="22"/>
      <c r="K230" s="22"/>
      <c r="L230" s="27"/>
      <c r="M230" s="30"/>
      <c r="N230" s="27"/>
      <c r="O230" s="30"/>
      <c r="P230" s="27"/>
      <c r="Q230" s="30"/>
      <c r="R230" s="27"/>
      <c r="S230" s="30"/>
      <c r="W230" s="1"/>
      <c r="Y230" s="2"/>
      <c r="Z230" s="2"/>
      <c r="AA230" s="2"/>
      <c r="AB230" s="2"/>
      <c r="AC230" s="4"/>
    </row>
    <row r="231" spans="1:29" ht="13.5" customHeight="1">
      <c r="A231" s="2"/>
      <c r="C231" s="3"/>
      <c r="D231" s="3"/>
      <c r="E231" s="3"/>
      <c r="F231" s="3"/>
      <c r="G231" s="3"/>
      <c r="H231" s="22"/>
      <c r="I231" s="22"/>
      <c r="J231" s="22"/>
      <c r="K231" s="22"/>
      <c r="L231" s="27"/>
      <c r="M231" s="30"/>
      <c r="N231" s="27"/>
      <c r="O231" s="30"/>
      <c r="P231" s="27"/>
      <c r="Q231" s="30"/>
      <c r="R231" s="27"/>
      <c r="S231" s="30"/>
      <c r="W231" s="1"/>
      <c r="Y231" s="2"/>
      <c r="Z231" s="2"/>
      <c r="AA231" s="2"/>
      <c r="AB231" s="2"/>
      <c r="AC231" s="4"/>
    </row>
    <row r="232" spans="1:29" ht="13.5" customHeight="1">
      <c r="A232" s="2"/>
      <c r="C232" s="3"/>
      <c r="D232" s="3"/>
      <c r="E232" s="3"/>
      <c r="F232" s="3"/>
      <c r="G232" s="3"/>
      <c r="H232" s="22"/>
      <c r="I232" s="22"/>
      <c r="J232" s="22"/>
      <c r="K232" s="22"/>
      <c r="L232" s="27"/>
      <c r="M232" s="30"/>
      <c r="N232" s="27"/>
      <c r="O232" s="30"/>
      <c r="P232" s="27"/>
      <c r="Q232" s="30"/>
      <c r="R232" s="27"/>
      <c r="S232" s="30"/>
      <c r="W232" s="1"/>
      <c r="Y232" s="2"/>
      <c r="Z232" s="2"/>
      <c r="AA232" s="2"/>
      <c r="AB232" s="2"/>
      <c r="AC232" s="4"/>
    </row>
    <row r="233" spans="1:29" ht="13.5" customHeight="1">
      <c r="A233" s="2"/>
      <c r="C233" s="3"/>
      <c r="D233" s="3"/>
      <c r="E233" s="3"/>
      <c r="F233" s="3"/>
      <c r="G233" s="3"/>
      <c r="H233" s="22"/>
      <c r="I233" s="22"/>
      <c r="J233" s="22"/>
      <c r="K233" s="22"/>
      <c r="L233" s="27"/>
      <c r="M233" s="30"/>
      <c r="N233" s="27"/>
      <c r="O233" s="30"/>
      <c r="P233" s="27"/>
      <c r="Q233" s="30"/>
      <c r="R233" s="27"/>
      <c r="S233" s="30"/>
      <c r="W233" s="1"/>
      <c r="Y233" s="2"/>
      <c r="Z233" s="2"/>
      <c r="AA233" s="2"/>
      <c r="AB233" s="2"/>
      <c r="AC233" s="4"/>
    </row>
    <row r="234" spans="1:29" ht="13.5" customHeight="1">
      <c r="A234" s="2"/>
      <c r="C234" s="3"/>
      <c r="D234" s="3"/>
      <c r="E234" s="3"/>
      <c r="F234" s="3"/>
      <c r="G234" s="3"/>
      <c r="H234" s="22"/>
      <c r="I234" s="22"/>
      <c r="J234" s="22"/>
      <c r="K234" s="22"/>
      <c r="L234" s="27"/>
      <c r="M234" s="30"/>
      <c r="N234" s="27"/>
      <c r="O234" s="30"/>
      <c r="P234" s="27"/>
      <c r="Q234" s="30"/>
      <c r="R234" s="27"/>
      <c r="S234" s="30"/>
      <c r="W234" s="1"/>
      <c r="Y234" s="2"/>
      <c r="Z234" s="2"/>
      <c r="AA234" s="2"/>
      <c r="AB234" s="2"/>
      <c r="AC234" s="4"/>
    </row>
    <row r="235" spans="1:29" ht="13.5" customHeight="1">
      <c r="A235" s="2"/>
      <c r="C235" s="3"/>
      <c r="D235" s="3"/>
      <c r="E235" s="3"/>
      <c r="F235" s="3"/>
      <c r="G235" s="3"/>
      <c r="H235" s="22"/>
      <c r="I235" s="22"/>
      <c r="J235" s="22"/>
      <c r="K235" s="22"/>
      <c r="L235" s="27"/>
      <c r="M235" s="30"/>
      <c r="N235" s="27"/>
      <c r="O235" s="30"/>
      <c r="P235" s="27"/>
      <c r="Q235" s="30"/>
      <c r="R235" s="27"/>
      <c r="S235" s="30"/>
      <c r="W235" s="1"/>
      <c r="Y235" s="2"/>
      <c r="Z235" s="2"/>
      <c r="AA235" s="2"/>
      <c r="AB235" s="2"/>
      <c r="AC235" s="4"/>
    </row>
    <row r="236" spans="1:29" ht="13.5" customHeight="1">
      <c r="A236" s="2"/>
      <c r="C236" s="3"/>
      <c r="D236" s="3"/>
      <c r="E236" s="3"/>
      <c r="F236" s="3"/>
      <c r="G236" s="3"/>
      <c r="H236" s="22"/>
      <c r="I236" s="22"/>
      <c r="J236" s="22"/>
      <c r="K236" s="22"/>
      <c r="L236" s="27"/>
      <c r="M236" s="30"/>
      <c r="N236" s="27"/>
      <c r="O236" s="30"/>
      <c r="P236" s="27"/>
      <c r="Q236" s="30"/>
      <c r="R236" s="27"/>
      <c r="S236" s="30"/>
      <c r="W236" s="1"/>
      <c r="Y236" s="2"/>
      <c r="Z236" s="2"/>
      <c r="AA236" s="2"/>
      <c r="AB236" s="2"/>
      <c r="AC236" s="4"/>
    </row>
    <row r="237" spans="1:29" ht="13.5" customHeight="1">
      <c r="A237" s="2"/>
      <c r="C237" s="3"/>
      <c r="D237" s="3"/>
      <c r="E237" s="3"/>
      <c r="F237" s="3"/>
      <c r="G237" s="3"/>
      <c r="H237" s="22"/>
      <c r="I237" s="22"/>
      <c r="J237" s="22"/>
      <c r="K237" s="22"/>
      <c r="L237" s="27"/>
      <c r="M237" s="30"/>
      <c r="N237" s="27"/>
      <c r="O237" s="30"/>
      <c r="P237" s="27"/>
      <c r="Q237" s="30"/>
      <c r="R237" s="27"/>
      <c r="S237" s="30"/>
      <c r="W237" s="1"/>
      <c r="Y237" s="2"/>
      <c r="Z237" s="2"/>
      <c r="AA237" s="2"/>
      <c r="AB237" s="2"/>
      <c r="AC237" s="4"/>
    </row>
    <row r="238" spans="1:29" ht="13.5" customHeight="1">
      <c r="A238" s="2"/>
      <c r="C238" s="3"/>
      <c r="D238" s="3"/>
      <c r="E238" s="3"/>
      <c r="F238" s="3"/>
      <c r="G238" s="3"/>
      <c r="H238" s="22"/>
      <c r="I238" s="22"/>
      <c r="J238" s="22"/>
      <c r="K238" s="22"/>
      <c r="L238" s="27"/>
      <c r="M238" s="30"/>
      <c r="N238" s="27"/>
      <c r="O238" s="30"/>
      <c r="P238" s="27"/>
      <c r="Q238" s="30"/>
      <c r="R238" s="27"/>
      <c r="S238" s="30"/>
      <c r="W238" s="1"/>
      <c r="Y238" s="2"/>
      <c r="Z238" s="2"/>
      <c r="AA238" s="2"/>
      <c r="AB238" s="2"/>
      <c r="AC238" s="4"/>
    </row>
    <row r="239" spans="1:29" ht="13.5" customHeight="1">
      <c r="A239" s="2"/>
      <c r="C239" s="3"/>
      <c r="D239" s="3"/>
      <c r="E239" s="3"/>
      <c r="F239" s="3"/>
      <c r="G239" s="3"/>
      <c r="H239" s="22"/>
      <c r="I239" s="22"/>
      <c r="J239" s="22"/>
      <c r="K239" s="22"/>
      <c r="L239" s="27"/>
      <c r="M239" s="30"/>
      <c r="N239" s="27"/>
      <c r="O239" s="30"/>
      <c r="P239" s="27"/>
      <c r="Q239" s="30"/>
      <c r="R239" s="27"/>
      <c r="S239" s="30"/>
      <c r="W239" s="1"/>
      <c r="Y239" s="2"/>
      <c r="Z239" s="2"/>
      <c r="AA239" s="2"/>
      <c r="AB239" s="2"/>
      <c r="AC239" s="4"/>
    </row>
    <row r="240" spans="1:29" ht="13.5" customHeight="1">
      <c r="A240" s="2"/>
      <c r="C240" s="3"/>
      <c r="D240" s="3"/>
      <c r="E240" s="3"/>
      <c r="F240" s="3"/>
      <c r="G240" s="3"/>
      <c r="H240" s="22"/>
      <c r="I240" s="22"/>
      <c r="J240" s="22"/>
      <c r="K240" s="22"/>
      <c r="L240" s="27"/>
      <c r="M240" s="30"/>
      <c r="N240" s="27"/>
      <c r="O240" s="30"/>
      <c r="P240" s="27"/>
      <c r="Q240" s="30"/>
      <c r="R240" s="27"/>
      <c r="S240" s="30"/>
      <c r="W240" s="1"/>
      <c r="Y240" s="2"/>
      <c r="Z240" s="2"/>
      <c r="AA240" s="2"/>
      <c r="AB240" s="2"/>
      <c r="AC240" s="4"/>
    </row>
    <row r="241" spans="1:29" ht="13.5" customHeight="1">
      <c r="A241" s="2"/>
      <c r="C241" s="3"/>
      <c r="D241" s="3"/>
      <c r="E241" s="3"/>
      <c r="F241" s="3"/>
      <c r="G241" s="3"/>
      <c r="H241" s="22"/>
      <c r="I241" s="22"/>
      <c r="J241" s="22"/>
      <c r="K241" s="22"/>
      <c r="L241" s="27"/>
      <c r="M241" s="30"/>
      <c r="N241" s="27"/>
      <c r="O241" s="30"/>
      <c r="P241" s="27"/>
      <c r="Q241" s="30"/>
      <c r="R241" s="27"/>
      <c r="S241" s="30"/>
      <c r="W241" s="1"/>
      <c r="Y241" s="2"/>
      <c r="Z241" s="2"/>
      <c r="AA241" s="2"/>
      <c r="AB241" s="2"/>
      <c r="AC241" s="4"/>
    </row>
    <row r="242" spans="1:29" ht="13.5" customHeight="1">
      <c r="A242" s="2"/>
      <c r="C242" s="3"/>
      <c r="D242" s="3"/>
      <c r="E242" s="3"/>
      <c r="F242" s="3"/>
      <c r="G242" s="3"/>
      <c r="H242" s="22"/>
      <c r="I242" s="22"/>
      <c r="J242" s="22"/>
      <c r="K242" s="22"/>
      <c r="L242" s="27"/>
      <c r="M242" s="30"/>
      <c r="N242" s="27"/>
      <c r="O242" s="30"/>
      <c r="P242" s="27"/>
      <c r="Q242" s="30"/>
      <c r="R242" s="27"/>
      <c r="S242" s="30"/>
      <c r="W242" s="1"/>
      <c r="Y242" s="2"/>
      <c r="Z242" s="2"/>
      <c r="AA242" s="2"/>
      <c r="AB242" s="2"/>
      <c r="AC242" s="4"/>
    </row>
    <row r="243" spans="1:29" ht="13.5" customHeight="1">
      <c r="A243" s="2"/>
      <c r="C243" s="3"/>
      <c r="D243" s="3"/>
      <c r="E243" s="3"/>
      <c r="F243" s="3"/>
      <c r="G243" s="3"/>
      <c r="H243" s="22"/>
      <c r="I243" s="22"/>
      <c r="J243" s="22"/>
      <c r="K243" s="22"/>
      <c r="L243" s="27"/>
      <c r="M243" s="30"/>
      <c r="N243" s="27"/>
      <c r="O243" s="30"/>
      <c r="P243" s="27"/>
      <c r="Q243" s="30"/>
      <c r="R243" s="27"/>
      <c r="S243" s="30"/>
      <c r="W243" s="1"/>
      <c r="Y243" s="2"/>
      <c r="Z243" s="2"/>
      <c r="AA243" s="2"/>
      <c r="AB243" s="2"/>
      <c r="AC243" s="4"/>
    </row>
    <row r="244" spans="1:29" ht="13.5" customHeight="1">
      <c r="A244" s="2"/>
      <c r="C244" s="3"/>
      <c r="D244" s="3"/>
      <c r="E244" s="3"/>
      <c r="F244" s="3"/>
      <c r="G244" s="3"/>
      <c r="H244" s="22"/>
      <c r="I244" s="22"/>
      <c r="J244" s="22"/>
      <c r="K244" s="22"/>
      <c r="L244" s="27"/>
      <c r="M244" s="30"/>
      <c r="N244" s="27"/>
      <c r="O244" s="30"/>
      <c r="P244" s="27"/>
      <c r="Q244" s="30"/>
      <c r="R244" s="27"/>
      <c r="S244" s="30"/>
      <c r="W244" s="1"/>
      <c r="Y244" s="2"/>
      <c r="Z244" s="2"/>
      <c r="AA244" s="2"/>
      <c r="AB244" s="2"/>
      <c r="AC244" s="4"/>
    </row>
    <row r="245" spans="1:29" ht="13.5" customHeight="1">
      <c r="A245" s="2"/>
      <c r="C245" s="3"/>
      <c r="D245" s="3"/>
      <c r="E245" s="3"/>
      <c r="F245" s="3"/>
      <c r="G245" s="3"/>
      <c r="H245" s="22"/>
      <c r="I245" s="22"/>
      <c r="J245" s="22"/>
      <c r="K245" s="22"/>
      <c r="L245" s="27"/>
      <c r="M245" s="30"/>
      <c r="N245" s="27"/>
      <c r="O245" s="30"/>
      <c r="P245" s="27"/>
      <c r="Q245" s="30"/>
      <c r="R245" s="27"/>
      <c r="S245" s="30"/>
      <c r="W245" s="1"/>
      <c r="Y245" s="2"/>
      <c r="Z245" s="2"/>
      <c r="AA245" s="2"/>
      <c r="AB245" s="2"/>
      <c r="AC245" s="4"/>
    </row>
    <row r="246" spans="1:29" ht="13.5" customHeight="1">
      <c r="A246" s="2"/>
      <c r="C246" s="3"/>
      <c r="D246" s="3"/>
      <c r="E246" s="3"/>
      <c r="F246" s="3"/>
      <c r="G246" s="3"/>
      <c r="H246" s="22"/>
      <c r="I246" s="22"/>
      <c r="J246" s="22"/>
      <c r="K246" s="22"/>
      <c r="L246" s="27"/>
      <c r="M246" s="30"/>
      <c r="N246" s="27"/>
      <c r="O246" s="30"/>
      <c r="P246" s="27"/>
      <c r="Q246" s="30"/>
      <c r="R246" s="27"/>
      <c r="S246" s="30"/>
      <c r="W246" s="1"/>
      <c r="Y246" s="2"/>
      <c r="Z246" s="2"/>
      <c r="AA246" s="2"/>
      <c r="AB246" s="2"/>
      <c r="AC246" s="4"/>
    </row>
    <row r="247" spans="1:29" ht="13.5" customHeight="1">
      <c r="A247" s="2"/>
      <c r="C247" s="3"/>
      <c r="D247" s="3"/>
      <c r="E247" s="3"/>
      <c r="F247" s="3"/>
      <c r="G247" s="3"/>
      <c r="H247" s="22"/>
      <c r="I247" s="22"/>
      <c r="J247" s="22"/>
      <c r="K247" s="22"/>
      <c r="L247" s="27"/>
      <c r="M247" s="30"/>
      <c r="N247" s="27"/>
      <c r="O247" s="30"/>
      <c r="P247" s="27"/>
      <c r="Q247" s="30"/>
      <c r="R247" s="27"/>
      <c r="S247" s="30"/>
      <c r="W247" s="1"/>
      <c r="Y247" s="2"/>
      <c r="Z247" s="2"/>
      <c r="AA247" s="2"/>
      <c r="AB247" s="2"/>
      <c r="AC247" s="4"/>
    </row>
    <row r="248" spans="1:29" ht="13.5" customHeight="1">
      <c r="A248" s="2"/>
      <c r="C248" s="3"/>
      <c r="D248" s="3"/>
      <c r="E248" s="3"/>
      <c r="F248" s="3"/>
      <c r="G248" s="3"/>
      <c r="H248" s="22"/>
      <c r="I248" s="22"/>
      <c r="J248" s="22"/>
      <c r="K248" s="22"/>
      <c r="L248" s="27"/>
      <c r="M248" s="30"/>
      <c r="N248" s="27"/>
      <c r="O248" s="30"/>
      <c r="P248" s="27"/>
      <c r="Q248" s="30"/>
      <c r="R248" s="27"/>
      <c r="S248" s="30"/>
      <c r="W248" s="1"/>
      <c r="Y248" s="2"/>
      <c r="Z248" s="2"/>
      <c r="AA248" s="2"/>
      <c r="AB248" s="2"/>
      <c r="AC248" s="4"/>
    </row>
    <row r="249" spans="1:29" ht="13.5" customHeight="1">
      <c r="A249" s="2"/>
      <c r="C249" s="3"/>
      <c r="D249" s="3"/>
      <c r="E249" s="3"/>
      <c r="F249" s="3"/>
      <c r="G249" s="3"/>
      <c r="H249" s="22"/>
      <c r="I249" s="22"/>
      <c r="J249" s="22"/>
      <c r="K249" s="22"/>
      <c r="L249" s="27"/>
      <c r="M249" s="30"/>
      <c r="N249" s="27"/>
      <c r="O249" s="30"/>
      <c r="P249" s="27"/>
      <c r="Q249" s="30"/>
      <c r="R249" s="27"/>
      <c r="S249" s="30"/>
      <c r="W249" s="1"/>
      <c r="Y249" s="2"/>
      <c r="Z249" s="2"/>
      <c r="AA249" s="2"/>
      <c r="AB249" s="2"/>
      <c r="AC249" s="4"/>
    </row>
    <row r="250" spans="1:29" ht="13.5" customHeight="1">
      <c r="A250" s="2"/>
      <c r="C250" s="3"/>
      <c r="D250" s="3"/>
      <c r="E250" s="3"/>
      <c r="F250" s="3"/>
      <c r="G250" s="3"/>
      <c r="H250" s="22"/>
      <c r="I250" s="22"/>
      <c r="J250" s="22"/>
      <c r="K250" s="22"/>
      <c r="L250" s="27"/>
      <c r="M250" s="30"/>
      <c r="N250" s="27"/>
      <c r="O250" s="30"/>
      <c r="P250" s="27"/>
      <c r="Q250" s="30"/>
      <c r="R250" s="27"/>
      <c r="S250" s="30"/>
      <c r="W250" s="1"/>
      <c r="Y250" s="2"/>
      <c r="Z250" s="2"/>
      <c r="AA250" s="2"/>
      <c r="AB250" s="2"/>
      <c r="AC250" s="4"/>
    </row>
    <row r="251" spans="1:29" ht="13.5" customHeight="1">
      <c r="A251" s="2"/>
      <c r="C251" s="3"/>
      <c r="D251" s="3"/>
      <c r="E251" s="3"/>
      <c r="F251" s="3"/>
      <c r="G251" s="3"/>
      <c r="H251" s="22"/>
      <c r="I251" s="22"/>
      <c r="J251" s="22"/>
      <c r="K251" s="22"/>
      <c r="L251" s="27"/>
      <c r="M251" s="30"/>
      <c r="N251" s="27"/>
      <c r="O251" s="30"/>
      <c r="P251" s="27"/>
      <c r="Q251" s="30"/>
      <c r="R251" s="27"/>
      <c r="S251" s="30"/>
      <c r="W251" s="1"/>
      <c r="Y251" s="2"/>
      <c r="Z251" s="2"/>
      <c r="AA251" s="2"/>
      <c r="AB251" s="2"/>
      <c r="AC251" s="4"/>
    </row>
    <row r="252" spans="1:29" ht="13.5" customHeight="1">
      <c r="A252" s="2"/>
      <c r="C252" s="3"/>
      <c r="D252" s="3"/>
      <c r="E252" s="3"/>
      <c r="F252" s="3"/>
      <c r="G252" s="3"/>
      <c r="H252" s="22"/>
      <c r="I252" s="22"/>
      <c r="J252" s="22"/>
      <c r="K252" s="22"/>
      <c r="L252" s="27"/>
      <c r="M252" s="30"/>
      <c r="N252" s="27"/>
      <c r="O252" s="30"/>
      <c r="P252" s="27"/>
      <c r="Q252" s="30"/>
      <c r="R252" s="27"/>
      <c r="S252" s="30"/>
      <c r="W252" s="1"/>
      <c r="Y252" s="2"/>
      <c r="Z252" s="2"/>
      <c r="AA252" s="2"/>
      <c r="AB252" s="2"/>
      <c r="AC252" s="4"/>
    </row>
    <row r="253" spans="1:29" ht="13.5" customHeight="1">
      <c r="A253" s="2"/>
      <c r="C253" s="3"/>
      <c r="D253" s="3"/>
      <c r="E253" s="3"/>
      <c r="F253" s="3"/>
      <c r="G253" s="3"/>
      <c r="H253" s="22"/>
      <c r="I253" s="22"/>
      <c r="J253" s="22"/>
      <c r="K253" s="22"/>
      <c r="L253" s="27"/>
      <c r="M253" s="30"/>
      <c r="N253" s="27"/>
      <c r="O253" s="30"/>
      <c r="P253" s="27"/>
      <c r="Q253" s="30"/>
      <c r="R253" s="27"/>
      <c r="S253" s="30"/>
      <c r="W253" s="1"/>
      <c r="Y253" s="2"/>
      <c r="Z253" s="2"/>
      <c r="AA253" s="2"/>
      <c r="AB253" s="2"/>
      <c r="AC253" s="4"/>
    </row>
    <row r="254" spans="1:29" ht="13.5" customHeight="1">
      <c r="A254" s="2"/>
      <c r="C254" s="3"/>
      <c r="D254" s="3"/>
      <c r="E254" s="3"/>
      <c r="F254" s="3"/>
      <c r="G254" s="3"/>
      <c r="H254" s="22"/>
      <c r="I254" s="22"/>
      <c r="J254" s="22"/>
      <c r="K254" s="22"/>
      <c r="L254" s="27"/>
      <c r="M254" s="30"/>
      <c r="N254" s="27"/>
      <c r="O254" s="30"/>
      <c r="P254" s="27"/>
      <c r="Q254" s="30"/>
      <c r="R254" s="27"/>
      <c r="S254" s="30"/>
      <c r="W254" s="1"/>
      <c r="Y254" s="2"/>
      <c r="Z254" s="2"/>
      <c r="AA254" s="2"/>
      <c r="AB254" s="2"/>
      <c r="AC254" s="4"/>
    </row>
    <row r="255" spans="1:29" ht="13.5" customHeight="1">
      <c r="A255" s="2"/>
      <c r="C255" s="3"/>
      <c r="D255" s="3"/>
      <c r="E255" s="3"/>
      <c r="F255" s="3"/>
      <c r="G255" s="3"/>
      <c r="H255" s="22"/>
      <c r="I255" s="22"/>
      <c r="J255" s="22"/>
      <c r="K255" s="22"/>
      <c r="L255" s="27"/>
      <c r="M255" s="30"/>
      <c r="N255" s="27"/>
      <c r="O255" s="30"/>
      <c r="P255" s="27"/>
      <c r="Q255" s="30"/>
      <c r="R255" s="27"/>
      <c r="S255" s="30"/>
      <c r="W255" s="1"/>
      <c r="Y255" s="2"/>
      <c r="Z255" s="2"/>
      <c r="AA255" s="2"/>
      <c r="AB255" s="2"/>
      <c r="AC255" s="4"/>
    </row>
    <row r="256" spans="1:29" ht="13.5" customHeight="1">
      <c r="A256" s="2"/>
      <c r="C256" s="3"/>
      <c r="D256" s="3"/>
      <c r="E256" s="3"/>
      <c r="F256" s="3"/>
      <c r="G256" s="3"/>
      <c r="H256" s="22"/>
      <c r="I256" s="22"/>
      <c r="J256" s="22"/>
      <c r="K256" s="22"/>
      <c r="L256" s="27"/>
      <c r="M256" s="30"/>
      <c r="N256" s="27"/>
      <c r="O256" s="30"/>
      <c r="P256" s="27"/>
      <c r="Q256" s="30"/>
      <c r="R256" s="27"/>
      <c r="S256" s="30"/>
      <c r="W256" s="1"/>
      <c r="Y256" s="2"/>
      <c r="Z256" s="2"/>
      <c r="AA256" s="2"/>
      <c r="AB256" s="2"/>
      <c r="AC256" s="4"/>
    </row>
    <row r="257" spans="1:29" ht="13.5" customHeight="1">
      <c r="A257" s="2"/>
      <c r="C257" s="3"/>
      <c r="D257" s="3"/>
      <c r="E257" s="3"/>
      <c r="F257" s="3"/>
      <c r="G257" s="3"/>
      <c r="H257" s="22"/>
      <c r="I257" s="22"/>
      <c r="J257" s="22"/>
      <c r="K257" s="22"/>
      <c r="L257" s="27"/>
      <c r="M257" s="30"/>
      <c r="N257" s="27"/>
      <c r="O257" s="30"/>
      <c r="P257" s="27"/>
      <c r="Q257" s="30"/>
      <c r="R257" s="27"/>
      <c r="S257" s="30"/>
      <c r="W257" s="1"/>
      <c r="Y257" s="2"/>
      <c r="Z257" s="2"/>
      <c r="AA257" s="2"/>
      <c r="AB257" s="2"/>
      <c r="AC257" s="4"/>
    </row>
    <row r="258" spans="1:29" ht="13.5" customHeight="1">
      <c r="A258" s="2"/>
      <c r="C258" s="3"/>
      <c r="D258" s="3"/>
      <c r="E258" s="3"/>
      <c r="F258" s="3"/>
      <c r="G258" s="3"/>
      <c r="H258" s="22"/>
      <c r="I258" s="22"/>
      <c r="J258" s="22"/>
      <c r="K258" s="22"/>
      <c r="L258" s="27"/>
      <c r="M258" s="30"/>
      <c r="N258" s="27"/>
      <c r="O258" s="30"/>
      <c r="P258" s="27"/>
      <c r="Q258" s="30"/>
      <c r="R258" s="27"/>
      <c r="S258" s="30"/>
      <c r="W258" s="1"/>
      <c r="Y258" s="2"/>
      <c r="Z258" s="2"/>
      <c r="AA258" s="2"/>
      <c r="AB258" s="2"/>
      <c r="AC258" s="4"/>
    </row>
    <row r="259" spans="1:29" ht="13.5" customHeight="1">
      <c r="A259" s="2"/>
      <c r="C259" s="3"/>
      <c r="D259" s="3"/>
      <c r="E259" s="3"/>
      <c r="F259" s="3"/>
      <c r="G259" s="3"/>
      <c r="H259" s="22"/>
      <c r="I259" s="22"/>
      <c r="J259" s="22"/>
      <c r="K259" s="22"/>
      <c r="L259" s="27"/>
      <c r="M259" s="30"/>
      <c r="N259" s="27"/>
      <c r="O259" s="30"/>
      <c r="P259" s="27"/>
      <c r="Q259" s="30"/>
      <c r="R259" s="27"/>
      <c r="S259" s="30"/>
      <c r="W259" s="1"/>
      <c r="Y259" s="2"/>
      <c r="Z259" s="2"/>
      <c r="AA259" s="2"/>
      <c r="AB259" s="2"/>
      <c r="AC259" s="4"/>
    </row>
    <row r="260" spans="1:29" ht="13.5" customHeight="1">
      <c r="A260" s="2"/>
      <c r="C260" s="3"/>
      <c r="D260" s="3"/>
      <c r="E260" s="3"/>
      <c r="F260" s="3"/>
      <c r="G260" s="3"/>
      <c r="H260" s="22"/>
      <c r="I260" s="22"/>
      <c r="J260" s="22"/>
      <c r="K260" s="22"/>
      <c r="L260" s="27"/>
      <c r="M260" s="30"/>
      <c r="N260" s="27"/>
      <c r="O260" s="30"/>
      <c r="P260" s="27"/>
      <c r="Q260" s="30"/>
      <c r="R260" s="27"/>
      <c r="S260" s="30"/>
      <c r="W260" s="1"/>
      <c r="Y260" s="2"/>
      <c r="Z260" s="2"/>
      <c r="AA260" s="2"/>
      <c r="AB260" s="2"/>
      <c r="AC260" s="4"/>
    </row>
    <row r="261" spans="1:29" ht="13.5" customHeight="1">
      <c r="A261" s="2"/>
      <c r="C261" s="3"/>
      <c r="D261" s="3"/>
      <c r="E261" s="3"/>
      <c r="F261" s="3"/>
      <c r="G261" s="3"/>
      <c r="H261" s="22"/>
      <c r="I261" s="22"/>
      <c r="J261" s="22"/>
      <c r="K261" s="22"/>
      <c r="L261" s="27"/>
      <c r="M261" s="30"/>
      <c r="N261" s="27"/>
      <c r="O261" s="30"/>
      <c r="P261" s="27"/>
      <c r="Q261" s="30"/>
      <c r="R261" s="27"/>
      <c r="S261" s="30"/>
      <c r="W261" s="1"/>
      <c r="Y261" s="2"/>
      <c r="Z261" s="2"/>
      <c r="AA261" s="2"/>
      <c r="AB261" s="2"/>
      <c r="AC261" s="4"/>
    </row>
    <row r="262" spans="1:29" ht="13.5" customHeight="1">
      <c r="A262" s="2"/>
      <c r="C262" s="3"/>
      <c r="D262" s="3"/>
      <c r="E262" s="3"/>
      <c r="F262" s="3"/>
      <c r="G262" s="3"/>
      <c r="H262" s="22"/>
      <c r="I262" s="22"/>
      <c r="J262" s="22"/>
      <c r="K262" s="22"/>
      <c r="L262" s="27"/>
      <c r="M262" s="30"/>
      <c r="N262" s="27"/>
      <c r="O262" s="30"/>
      <c r="P262" s="27"/>
      <c r="Q262" s="30"/>
      <c r="R262" s="27"/>
      <c r="S262" s="30"/>
      <c r="W262" s="1"/>
      <c r="Y262" s="2"/>
      <c r="Z262" s="2"/>
      <c r="AA262" s="2"/>
      <c r="AB262" s="2"/>
      <c r="AC262" s="4"/>
    </row>
    <row r="263" spans="1:29" ht="13.5" customHeight="1">
      <c r="A263" s="2"/>
      <c r="C263" s="3"/>
      <c r="D263" s="3"/>
      <c r="E263" s="3"/>
      <c r="F263" s="3"/>
      <c r="G263" s="3"/>
      <c r="H263" s="22"/>
      <c r="I263" s="22"/>
      <c r="J263" s="22"/>
      <c r="K263" s="22"/>
      <c r="L263" s="27"/>
      <c r="M263" s="30"/>
      <c r="N263" s="27"/>
      <c r="O263" s="30"/>
      <c r="P263" s="27"/>
      <c r="Q263" s="30"/>
      <c r="R263" s="27"/>
      <c r="S263" s="30"/>
      <c r="W263" s="1"/>
      <c r="Y263" s="2"/>
      <c r="Z263" s="2"/>
      <c r="AA263" s="2"/>
      <c r="AB263" s="2"/>
      <c r="AC263" s="4"/>
    </row>
    <row r="264" spans="1:29" ht="13.5" customHeight="1">
      <c r="A264" s="2"/>
      <c r="C264" s="3"/>
      <c r="D264" s="3"/>
      <c r="E264" s="3"/>
      <c r="F264" s="3"/>
      <c r="G264" s="3"/>
      <c r="H264" s="22"/>
      <c r="I264" s="22"/>
      <c r="J264" s="22"/>
      <c r="K264" s="22"/>
      <c r="L264" s="27"/>
      <c r="M264" s="30"/>
      <c r="N264" s="27"/>
      <c r="O264" s="30"/>
      <c r="P264" s="27"/>
      <c r="Q264" s="30"/>
      <c r="R264" s="27"/>
      <c r="S264" s="30"/>
      <c r="W264" s="1"/>
      <c r="Y264" s="2"/>
      <c r="Z264" s="2"/>
      <c r="AA264" s="2"/>
      <c r="AB264" s="2"/>
      <c r="AC264" s="4"/>
    </row>
    <row r="265" spans="1:29" ht="13.5" customHeight="1">
      <c r="A265" s="2"/>
      <c r="C265" s="3"/>
      <c r="D265" s="3"/>
      <c r="E265" s="3"/>
      <c r="F265" s="3"/>
      <c r="G265" s="3"/>
      <c r="H265" s="22"/>
      <c r="I265" s="22"/>
      <c r="J265" s="22"/>
      <c r="K265" s="22"/>
      <c r="L265" s="27"/>
      <c r="M265" s="30"/>
      <c r="N265" s="27"/>
      <c r="O265" s="30"/>
      <c r="P265" s="27"/>
      <c r="Q265" s="30"/>
      <c r="R265" s="27"/>
      <c r="S265" s="30"/>
      <c r="W265" s="1"/>
      <c r="Y265" s="2"/>
      <c r="Z265" s="2"/>
      <c r="AA265" s="2"/>
      <c r="AB265" s="2"/>
      <c r="AC265" s="4"/>
    </row>
    <row r="266" spans="1:29" ht="13.5" customHeight="1">
      <c r="A266" s="2"/>
      <c r="C266" s="3"/>
      <c r="D266" s="3"/>
      <c r="E266" s="3"/>
      <c r="F266" s="3"/>
      <c r="G266" s="3"/>
      <c r="H266" s="22"/>
      <c r="I266" s="22"/>
      <c r="J266" s="22"/>
      <c r="K266" s="22"/>
      <c r="L266" s="27"/>
      <c r="M266" s="30"/>
      <c r="N266" s="27"/>
      <c r="O266" s="30"/>
      <c r="P266" s="27"/>
      <c r="Q266" s="30"/>
      <c r="R266" s="27"/>
      <c r="S266" s="30"/>
      <c r="W266" s="1"/>
      <c r="Y266" s="2"/>
      <c r="Z266" s="2"/>
      <c r="AA266" s="2"/>
      <c r="AB266" s="2"/>
      <c r="AC266" s="4"/>
    </row>
    <row r="267" spans="1:29" ht="13.5" customHeight="1">
      <c r="A267" s="2"/>
      <c r="C267" s="3"/>
      <c r="D267" s="3"/>
      <c r="E267" s="3"/>
      <c r="F267" s="3"/>
      <c r="G267" s="3"/>
      <c r="H267" s="22"/>
      <c r="I267" s="22"/>
      <c r="J267" s="22"/>
      <c r="K267" s="22"/>
      <c r="L267" s="27"/>
      <c r="M267" s="30"/>
      <c r="N267" s="27"/>
      <c r="O267" s="30"/>
      <c r="P267" s="27"/>
      <c r="Q267" s="30"/>
      <c r="R267" s="27"/>
      <c r="S267" s="30"/>
      <c r="W267" s="1"/>
      <c r="Y267" s="2"/>
      <c r="Z267" s="2"/>
      <c r="AA267" s="2"/>
      <c r="AB267" s="2"/>
      <c r="AC267" s="4"/>
    </row>
    <row r="268" spans="1:29" ht="13.5" customHeight="1">
      <c r="A268" s="2"/>
      <c r="C268" s="3"/>
      <c r="D268" s="3"/>
      <c r="E268" s="3"/>
      <c r="F268" s="3"/>
      <c r="G268" s="3"/>
      <c r="H268" s="22"/>
      <c r="I268" s="22"/>
      <c r="J268" s="22"/>
      <c r="K268" s="22"/>
      <c r="L268" s="27"/>
      <c r="M268" s="30"/>
      <c r="N268" s="27"/>
      <c r="O268" s="30"/>
      <c r="P268" s="27"/>
      <c r="Q268" s="30"/>
      <c r="R268" s="27"/>
      <c r="S268" s="30"/>
      <c r="W268" s="1"/>
      <c r="Y268" s="2"/>
      <c r="Z268" s="2"/>
      <c r="AA268" s="2"/>
      <c r="AB268" s="2"/>
      <c r="AC268" s="4"/>
    </row>
    <row r="269" spans="1:29" ht="13.5" customHeight="1">
      <c r="A269" s="2"/>
      <c r="C269" s="3"/>
      <c r="D269" s="3"/>
      <c r="E269" s="3"/>
      <c r="F269" s="3"/>
      <c r="G269" s="3"/>
      <c r="H269" s="22"/>
      <c r="I269" s="22"/>
      <c r="J269" s="22"/>
      <c r="K269" s="22"/>
      <c r="L269" s="27"/>
      <c r="M269" s="30"/>
      <c r="N269" s="27"/>
      <c r="O269" s="30"/>
      <c r="P269" s="27"/>
      <c r="Q269" s="30"/>
      <c r="R269" s="27"/>
      <c r="S269" s="30"/>
      <c r="W269" s="1"/>
      <c r="Y269" s="2"/>
      <c r="Z269" s="2"/>
      <c r="AA269" s="2"/>
      <c r="AB269" s="2"/>
      <c r="AC269" s="4"/>
    </row>
    <row r="270" spans="1:29" ht="13.5" customHeight="1">
      <c r="A270" s="2"/>
      <c r="C270" s="3"/>
      <c r="D270" s="3"/>
      <c r="E270" s="3"/>
      <c r="F270" s="3"/>
      <c r="G270" s="3"/>
      <c r="H270" s="22"/>
      <c r="I270" s="22"/>
      <c r="J270" s="22"/>
      <c r="K270" s="22"/>
      <c r="L270" s="27"/>
      <c r="M270" s="30"/>
      <c r="N270" s="27"/>
      <c r="O270" s="30"/>
      <c r="P270" s="27"/>
      <c r="Q270" s="30"/>
      <c r="R270" s="27"/>
      <c r="S270" s="30"/>
      <c r="W270" s="1"/>
      <c r="Y270" s="2"/>
      <c r="Z270" s="2"/>
      <c r="AA270" s="2"/>
      <c r="AB270" s="2"/>
      <c r="AC270" s="4"/>
    </row>
    <row r="271" spans="1:29" ht="13.5" customHeight="1">
      <c r="A271" s="2"/>
      <c r="C271" s="3"/>
      <c r="D271" s="3"/>
      <c r="E271" s="3"/>
      <c r="F271" s="3"/>
      <c r="G271" s="3"/>
      <c r="H271" s="22"/>
      <c r="I271" s="22"/>
      <c r="J271" s="22"/>
      <c r="K271" s="22"/>
      <c r="L271" s="27"/>
      <c r="M271" s="30"/>
      <c r="N271" s="27"/>
      <c r="O271" s="30"/>
      <c r="P271" s="27"/>
      <c r="Q271" s="30"/>
      <c r="R271" s="27"/>
      <c r="S271" s="30"/>
      <c r="W271" s="1"/>
      <c r="Y271" s="2"/>
      <c r="Z271" s="2"/>
      <c r="AA271" s="2"/>
      <c r="AB271" s="2"/>
      <c r="AC271" s="4"/>
    </row>
    <row r="272" spans="1:29" ht="13.5" customHeight="1">
      <c r="A272" s="2"/>
      <c r="C272" s="3"/>
      <c r="D272" s="3"/>
      <c r="E272" s="3"/>
      <c r="F272" s="3"/>
      <c r="G272" s="3"/>
      <c r="H272" s="22"/>
      <c r="I272" s="22"/>
      <c r="J272" s="22"/>
      <c r="K272" s="22"/>
      <c r="L272" s="27"/>
      <c r="M272" s="30"/>
      <c r="N272" s="27"/>
      <c r="O272" s="30"/>
      <c r="P272" s="27"/>
      <c r="Q272" s="30"/>
      <c r="R272" s="27"/>
      <c r="S272" s="30"/>
      <c r="W272" s="1"/>
      <c r="Y272" s="2"/>
      <c r="Z272" s="2"/>
      <c r="AA272" s="2"/>
      <c r="AB272" s="2"/>
      <c r="AC272" s="4"/>
    </row>
    <row r="273" spans="1:29" ht="13.5" customHeight="1">
      <c r="A273" s="2"/>
      <c r="C273" s="3"/>
      <c r="D273" s="3"/>
      <c r="E273" s="3"/>
      <c r="F273" s="3"/>
      <c r="G273" s="3"/>
      <c r="H273" s="22"/>
      <c r="I273" s="22"/>
      <c r="J273" s="22"/>
      <c r="K273" s="22"/>
      <c r="L273" s="27"/>
      <c r="M273" s="30"/>
      <c r="N273" s="27"/>
      <c r="O273" s="30"/>
      <c r="P273" s="27"/>
      <c r="Q273" s="30"/>
      <c r="R273" s="27"/>
      <c r="S273" s="30"/>
      <c r="W273" s="1"/>
      <c r="Y273" s="2"/>
      <c r="Z273" s="2"/>
      <c r="AA273" s="2"/>
      <c r="AB273" s="2"/>
      <c r="AC273" s="4"/>
    </row>
    <row r="274" spans="1:29" ht="13.5" customHeight="1">
      <c r="A274" s="2"/>
      <c r="C274" s="3"/>
      <c r="D274" s="3"/>
      <c r="E274" s="3"/>
      <c r="F274" s="3"/>
      <c r="G274" s="3"/>
      <c r="H274" s="22"/>
      <c r="I274" s="22"/>
      <c r="J274" s="22"/>
      <c r="K274" s="22"/>
      <c r="L274" s="27"/>
      <c r="M274" s="30"/>
      <c r="N274" s="27"/>
      <c r="O274" s="30"/>
      <c r="P274" s="27"/>
      <c r="Q274" s="30"/>
      <c r="R274" s="27"/>
      <c r="S274" s="30"/>
      <c r="W274" s="1"/>
      <c r="Y274" s="2"/>
      <c r="Z274" s="2"/>
      <c r="AA274" s="2"/>
      <c r="AB274" s="2"/>
      <c r="AC274" s="4"/>
    </row>
    <row r="275" spans="1:29" ht="13.5" customHeight="1">
      <c r="A275" s="2"/>
      <c r="C275" s="3"/>
      <c r="D275" s="3"/>
      <c r="E275" s="3"/>
      <c r="F275" s="3"/>
      <c r="G275" s="3"/>
      <c r="H275" s="22"/>
      <c r="I275" s="22"/>
      <c r="J275" s="22"/>
      <c r="K275" s="22"/>
      <c r="L275" s="27"/>
      <c r="M275" s="30"/>
      <c r="N275" s="27"/>
      <c r="O275" s="30"/>
      <c r="P275" s="27"/>
      <c r="Q275" s="30"/>
      <c r="R275" s="27"/>
      <c r="S275" s="30"/>
      <c r="W275" s="1"/>
      <c r="Y275" s="2"/>
      <c r="Z275" s="2"/>
      <c r="AA275" s="2"/>
      <c r="AB275" s="2"/>
      <c r="AC275" s="4"/>
    </row>
    <row r="276" spans="1:29" ht="13.5" customHeight="1">
      <c r="A276" s="2"/>
      <c r="C276" s="3"/>
      <c r="D276" s="3"/>
      <c r="E276" s="3"/>
      <c r="F276" s="3"/>
      <c r="G276" s="3"/>
      <c r="H276" s="22"/>
      <c r="I276" s="22"/>
      <c r="J276" s="22"/>
      <c r="K276" s="22"/>
      <c r="L276" s="27"/>
      <c r="M276" s="30"/>
      <c r="N276" s="27"/>
      <c r="O276" s="30"/>
      <c r="P276" s="27"/>
      <c r="Q276" s="30"/>
      <c r="R276" s="27"/>
      <c r="S276" s="30"/>
      <c r="W276" s="1"/>
      <c r="Y276" s="2"/>
      <c r="Z276" s="2"/>
      <c r="AA276" s="2"/>
      <c r="AB276" s="2"/>
      <c r="AC276" s="4"/>
    </row>
    <row r="277" spans="1:29" ht="13.5" customHeight="1">
      <c r="A277" s="2"/>
      <c r="C277" s="3"/>
      <c r="D277" s="3"/>
      <c r="E277" s="3"/>
      <c r="F277" s="3"/>
      <c r="G277" s="3"/>
      <c r="H277" s="22"/>
      <c r="I277" s="22"/>
      <c r="J277" s="22"/>
      <c r="K277" s="22"/>
      <c r="L277" s="27"/>
      <c r="M277" s="30"/>
      <c r="N277" s="27"/>
      <c r="O277" s="30"/>
      <c r="P277" s="27"/>
      <c r="Q277" s="30"/>
      <c r="R277" s="27"/>
      <c r="S277" s="30"/>
      <c r="W277" s="1"/>
      <c r="Y277" s="2"/>
      <c r="Z277" s="2"/>
      <c r="AA277" s="2"/>
      <c r="AB277" s="2"/>
      <c r="AC277" s="4"/>
    </row>
    <row r="278" spans="1:29" ht="13.5" customHeight="1">
      <c r="A278" s="2"/>
      <c r="C278" s="3"/>
      <c r="D278" s="3"/>
      <c r="E278" s="3"/>
      <c r="F278" s="3"/>
      <c r="G278" s="3"/>
      <c r="H278" s="22"/>
      <c r="I278" s="22"/>
      <c r="J278" s="22"/>
      <c r="K278" s="22"/>
      <c r="L278" s="27"/>
      <c r="M278" s="30"/>
      <c r="N278" s="27"/>
      <c r="O278" s="30"/>
      <c r="P278" s="27"/>
      <c r="Q278" s="30"/>
      <c r="R278" s="27"/>
      <c r="S278" s="30"/>
      <c r="W278" s="1"/>
      <c r="Y278" s="2"/>
      <c r="Z278" s="2"/>
      <c r="AA278" s="2"/>
      <c r="AB278" s="2"/>
      <c r="AC278" s="4"/>
    </row>
    <row r="279" spans="1:29" ht="13.5" customHeight="1">
      <c r="A279" s="2"/>
      <c r="C279" s="3"/>
      <c r="D279" s="3"/>
      <c r="E279" s="3"/>
      <c r="F279" s="3"/>
      <c r="G279" s="3"/>
      <c r="H279" s="22"/>
      <c r="I279" s="22"/>
      <c r="J279" s="22"/>
      <c r="K279" s="22"/>
      <c r="L279" s="27"/>
      <c r="M279" s="30"/>
      <c r="N279" s="27"/>
      <c r="O279" s="30"/>
      <c r="P279" s="27"/>
      <c r="Q279" s="30"/>
      <c r="R279" s="27"/>
      <c r="S279" s="30"/>
      <c r="W279" s="1"/>
      <c r="Y279" s="2"/>
      <c r="Z279" s="2"/>
      <c r="AA279" s="2"/>
      <c r="AB279" s="2"/>
      <c r="AC279" s="4"/>
    </row>
    <row r="280" spans="1:29" ht="13.5" customHeight="1">
      <c r="A280" s="2"/>
      <c r="C280" s="3"/>
      <c r="D280" s="3"/>
      <c r="E280" s="3"/>
      <c r="F280" s="3"/>
      <c r="G280" s="3"/>
      <c r="H280" s="22"/>
      <c r="I280" s="22"/>
      <c r="J280" s="22"/>
      <c r="K280" s="22"/>
      <c r="L280" s="27"/>
      <c r="M280" s="30"/>
      <c r="N280" s="27"/>
      <c r="O280" s="30"/>
      <c r="P280" s="27"/>
      <c r="Q280" s="30"/>
      <c r="R280" s="27"/>
      <c r="S280" s="30"/>
      <c r="W280" s="1"/>
      <c r="Y280" s="2"/>
      <c r="Z280" s="2"/>
      <c r="AA280" s="2"/>
      <c r="AB280" s="2"/>
      <c r="AC280" s="4"/>
    </row>
    <row r="281" spans="1:29" ht="13.5" customHeight="1">
      <c r="A281" s="2"/>
      <c r="C281" s="3"/>
      <c r="D281" s="3"/>
      <c r="E281" s="3"/>
      <c r="F281" s="3"/>
      <c r="G281" s="3"/>
      <c r="H281" s="22"/>
      <c r="I281" s="22"/>
      <c r="J281" s="22"/>
      <c r="K281" s="22"/>
      <c r="L281" s="27"/>
      <c r="M281" s="30"/>
      <c r="N281" s="27"/>
      <c r="O281" s="30"/>
      <c r="P281" s="27"/>
      <c r="Q281" s="30"/>
      <c r="R281" s="27"/>
      <c r="S281" s="30"/>
      <c r="W281" s="1"/>
      <c r="Y281" s="2"/>
      <c r="Z281" s="2"/>
      <c r="AA281" s="2"/>
      <c r="AB281" s="2"/>
      <c r="AC281" s="4"/>
    </row>
    <row r="282" spans="1:29" ht="13.5" customHeight="1">
      <c r="A282" s="2"/>
      <c r="C282" s="3"/>
      <c r="D282" s="3"/>
      <c r="E282" s="3"/>
      <c r="F282" s="3"/>
      <c r="G282" s="3"/>
      <c r="H282" s="22"/>
      <c r="I282" s="22"/>
      <c r="J282" s="22"/>
      <c r="K282" s="22"/>
      <c r="L282" s="27"/>
      <c r="M282" s="30"/>
      <c r="N282" s="27"/>
      <c r="O282" s="30"/>
      <c r="P282" s="27"/>
      <c r="Q282" s="30"/>
      <c r="R282" s="27"/>
      <c r="S282" s="30"/>
      <c r="W282" s="1"/>
      <c r="Y282" s="2"/>
      <c r="Z282" s="2"/>
      <c r="AA282" s="2"/>
      <c r="AB282" s="2"/>
      <c r="AC282" s="4"/>
    </row>
    <row r="283" spans="1:29" ht="13.5" customHeight="1">
      <c r="A283" s="2"/>
      <c r="C283" s="3"/>
      <c r="D283" s="3"/>
      <c r="E283" s="3"/>
      <c r="F283" s="3"/>
      <c r="G283" s="3"/>
      <c r="H283" s="22"/>
      <c r="I283" s="22"/>
      <c r="J283" s="22"/>
      <c r="K283" s="22"/>
      <c r="L283" s="27"/>
      <c r="M283" s="30"/>
      <c r="N283" s="27"/>
      <c r="O283" s="30"/>
      <c r="P283" s="27"/>
      <c r="Q283" s="30"/>
      <c r="R283" s="27"/>
      <c r="S283" s="30"/>
      <c r="W283" s="1"/>
      <c r="Y283" s="2"/>
      <c r="Z283" s="2"/>
      <c r="AA283" s="2"/>
      <c r="AB283" s="2"/>
      <c r="AC283" s="4"/>
    </row>
    <row r="284" spans="1:29" ht="13.5" customHeight="1">
      <c r="A284" s="2"/>
      <c r="C284" s="3"/>
      <c r="D284" s="3"/>
      <c r="E284" s="3"/>
      <c r="F284" s="3"/>
      <c r="G284" s="3"/>
      <c r="H284" s="22"/>
      <c r="I284" s="22"/>
      <c r="J284" s="22"/>
      <c r="K284" s="22"/>
      <c r="L284" s="27"/>
      <c r="M284" s="30"/>
      <c r="N284" s="27"/>
      <c r="O284" s="30"/>
      <c r="P284" s="27"/>
      <c r="Q284" s="30"/>
      <c r="R284" s="27"/>
      <c r="S284" s="30"/>
      <c r="W284" s="1"/>
      <c r="Y284" s="2"/>
      <c r="Z284" s="2"/>
      <c r="AA284" s="2"/>
      <c r="AB284" s="2"/>
      <c r="AC284" s="4"/>
    </row>
    <row r="285" spans="1:29" ht="13.5" customHeight="1">
      <c r="A285" s="2"/>
      <c r="C285" s="3"/>
      <c r="D285" s="3"/>
      <c r="E285" s="3"/>
      <c r="F285" s="3"/>
      <c r="G285" s="3"/>
      <c r="H285" s="22"/>
      <c r="I285" s="22"/>
      <c r="J285" s="22"/>
      <c r="K285" s="22"/>
      <c r="L285" s="27"/>
      <c r="M285" s="30"/>
      <c r="N285" s="27"/>
      <c r="O285" s="30"/>
      <c r="P285" s="27"/>
      <c r="Q285" s="30"/>
      <c r="R285" s="27"/>
      <c r="S285" s="30"/>
      <c r="W285" s="1"/>
      <c r="Y285" s="2"/>
      <c r="Z285" s="2"/>
      <c r="AA285" s="2"/>
      <c r="AB285" s="2"/>
      <c r="AC285" s="4"/>
    </row>
    <row r="286" spans="1:29" ht="13.5" customHeight="1">
      <c r="A286" s="2"/>
      <c r="C286" s="3"/>
      <c r="D286" s="3"/>
      <c r="E286" s="3"/>
      <c r="F286" s="3"/>
      <c r="G286" s="3"/>
      <c r="H286" s="22"/>
      <c r="I286" s="22"/>
      <c r="J286" s="22"/>
      <c r="K286" s="22"/>
      <c r="L286" s="27"/>
      <c r="M286" s="30"/>
      <c r="N286" s="27"/>
      <c r="O286" s="30"/>
      <c r="P286" s="27"/>
      <c r="Q286" s="30"/>
      <c r="R286" s="27"/>
      <c r="S286" s="30"/>
      <c r="W286" s="1"/>
      <c r="Y286" s="2"/>
      <c r="Z286" s="2"/>
      <c r="AA286" s="2"/>
      <c r="AB286" s="2"/>
      <c r="AC286" s="4"/>
    </row>
    <row r="287" spans="1:29" ht="13.5" customHeight="1">
      <c r="A287" s="2"/>
      <c r="C287" s="3"/>
      <c r="D287" s="3"/>
      <c r="E287" s="3"/>
      <c r="F287" s="3"/>
      <c r="G287" s="3"/>
      <c r="H287" s="22"/>
      <c r="I287" s="22"/>
      <c r="J287" s="22"/>
      <c r="K287" s="22"/>
      <c r="L287" s="27"/>
      <c r="M287" s="30"/>
      <c r="N287" s="27"/>
      <c r="O287" s="30"/>
      <c r="P287" s="27"/>
      <c r="Q287" s="30"/>
      <c r="R287" s="27"/>
      <c r="S287" s="30"/>
      <c r="W287" s="1"/>
      <c r="Y287" s="2"/>
      <c r="Z287" s="2"/>
      <c r="AA287" s="2"/>
      <c r="AB287" s="2"/>
      <c r="AC287" s="4"/>
    </row>
    <row r="288" spans="1:29" ht="13.5" customHeight="1">
      <c r="A288" s="2"/>
      <c r="C288" s="3"/>
      <c r="D288" s="3"/>
      <c r="E288" s="3"/>
      <c r="F288" s="3"/>
      <c r="G288" s="3"/>
      <c r="H288" s="22"/>
      <c r="I288" s="22"/>
      <c r="J288" s="22"/>
      <c r="K288" s="22"/>
      <c r="L288" s="27"/>
      <c r="M288" s="30"/>
      <c r="N288" s="27"/>
      <c r="O288" s="30"/>
      <c r="P288" s="27"/>
      <c r="Q288" s="30"/>
      <c r="R288" s="27"/>
      <c r="S288" s="30"/>
      <c r="W288" s="1"/>
      <c r="Y288" s="2"/>
      <c r="Z288" s="2"/>
      <c r="AA288" s="2"/>
      <c r="AB288" s="2"/>
      <c r="AC288" s="4"/>
    </row>
    <row r="289" spans="1:29" ht="13.5" customHeight="1">
      <c r="A289" s="2"/>
      <c r="C289" s="3"/>
      <c r="D289" s="3"/>
      <c r="E289" s="3"/>
      <c r="F289" s="3"/>
      <c r="G289" s="3"/>
      <c r="H289" s="22"/>
      <c r="I289" s="22"/>
      <c r="J289" s="22"/>
      <c r="K289" s="22"/>
      <c r="L289" s="27"/>
      <c r="M289" s="30"/>
      <c r="N289" s="27"/>
      <c r="O289" s="30"/>
      <c r="P289" s="27"/>
      <c r="Q289" s="30"/>
      <c r="R289" s="27"/>
      <c r="S289" s="30"/>
      <c r="W289" s="1"/>
      <c r="Y289" s="2"/>
      <c r="Z289" s="2"/>
      <c r="AA289" s="2"/>
      <c r="AB289" s="2"/>
      <c r="AC289" s="4"/>
    </row>
    <row r="290" spans="1:29" ht="13.5" customHeight="1">
      <c r="A290" s="2"/>
      <c r="C290" s="3"/>
      <c r="D290" s="3"/>
      <c r="E290" s="3"/>
      <c r="F290" s="3"/>
      <c r="G290" s="3"/>
      <c r="H290" s="22"/>
      <c r="I290" s="22"/>
      <c r="J290" s="22"/>
      <c r="K290" s="22"/>
      <c r="L290" s="27"/>
      <c r="M290" s="30"/>
      <c r="N290" s="27"/>
      <c r="O290" s="30"/>
      <c r="P290" s="27"/>
      <c r="Q290" s="30"/>
      <c r="R290" s="27"/>
      <c r="S290" s="30"/>
      <c r="W290" s="1"/>
      <c r="Y290" s="2"/>
      <c r="Z290" s="2"/>
      <c r="AA290" s="2"/>
      <c r="AB290" s="2"/>
      <c r="AC290" s="4"/>
    </row>
    <row r="291" spans="1:29" ht="13.5" customHeight="1">
      <c r="A291" s="2"/>
      <c r="C291" s="3"/>
      <c r="D291" s="3"/>
      <c r="E291" s="3"/>
      <c r="F291" s="3"/>
      <c r="G291" s="3"/>
      <c r="H291" s="22"/>
      <c r="I291" s="22"/>
      <c r="J291" s="22"/>
      <c r="K291" s="22"/>
      <c r="L291" s="27"/>
      <c r="M291" s="30"/>
      <c r="N291" s="27"/>
      <c r="O291" s="30"/>
      <c r="P291" s="27"/>
      <c r="Q291" s="30"/>
      <c r="R291" s="27"/>
      <c r="S291" s="30"/>
      <c r="W291" s="1"/>
      <c r="Y291" s="2"/>
      <c r="Z291" s="2"/>
      <c r="AA291" s="2"/>
      <c r="AB291" s="2"/>
      <c r="AC291" s="4"/>
    </row>
    <row r="292" spans="1:29" ht="13.5" customHeight="1">
      <c r="A292" s="2"/>
      <c r="C292" s="3"/>
      <c r="D292" s="3"/>
      <c r="E292" s="3"/>
      <c r="F292" s="3"/>
      <c r="G292" s="3"/>
      <c r="H292" s="22"/>
      <c r="I292" s="22"/>
      <c r="J292" s="22"/>
      <c r="K292" s="22"/>
      <c r="L292" s="27"/>
      <c r="M292" s="30"/>
      <c r="N292" s="27"/>
      <c r="O292" s="30"/>
      <c r="P292" s="27"/>
      <c r="Q292" s="30"/>
      <c r="R292" s="27"/>
      <c r="S292" s="30"/>
      <c r="W292" s="1"/>
      <c r="Y292" s="2"/>
      <c r="Z292" s="2"/>
      <c r="AA292" s="2"/>
      <c r="AB292" s="2"/>
      <c r="AC292" s="4"/>
    </row>
    <row r="293" spans="1:29" ht="13.5" customHeight="1">
      <c r="A293" s="2"/>
      <c r="C293" s="3"/>
      <c r="D293" s="3"/>
      <c r="E293" s="3"/>
      <c r="F293" s="3"/>
      <c r="G293" s="3"/>
      <c r="H293" s="22"/>
      <c r="I293" s="22"/>
      <c r="J293" s="22"/>
      <c r="K293" s="22"/>
      <c r="L293" s="27"/>
      <c r="M293" s="30"/>
      <c r="N293" s="27"/>
      <c r="O293" s="30"/>
      <c r="P293" s="27"/>
      <c r="Q293" s="30"/>
      <c r="R293" s="27"/>
      <c r="S293" s="30"/>
      <c r="W293" s="1"/>
      <c r="Y293" s="2"/>
      <c r="Z293" s="2"/>
      <c r="AA293" s="2"/>
      <c r="AB293" s="2"/>
      <c r="AC293" s="4"/>
    </row>
    <row r="294" spans="1:29" ht="13.5" customHeight="1">
      <c r="A294" s="2"/>
      <c r="C294" s="3"/>
      <c r="D294" s="3"/>
      <c r="E294" s="3"/>
      <c r="F294" s="3"/>
      <c r="G294" s="3"/>
      <c r="H294" s="22"/>
      <c r="I294" s="22"/>
      <c r="J294" s="22"/>
      <c r="K294" s="22"/>
      <c r="L294" s="27"/>
      <c r="M294" s="30"/>
      <c r="N294" s="27"/>
      <c r="O294" s="30"/>
      <c r="P294" s="27"/>
      <c r="Q294" s="30"/>
      <c r="R294" s="27"/>
      <c r="S294" s="30"/>
      <c r="W294" s="1"/>
      <c r="Y294" s="2"/>
      <c r="Z294" s="2"/>
      <c r="AA294" s="2"/>
      <c r="AB294" s="2"/>
      <c r="AC294" s="4"/>
    </row>
    <row r="295" spans="1:29" ht="13.5" customHeight="1">
      <c r="A295" s="2"/>
      <c r="C295" s="3"/>
      <c r="D295" s="3"/>
      <c r="E295" s="3"/>
      <c r="F295" s="3"/>
      <c r="G295" s="3"/>
      <c r="H295" s="22"/>
      <c r="I295" s="22"/>
      <c r="J295" s="22"/>
      <c r="K295" s="22"/>
      <c r="L295" s="27"/>
      <c r="M295" s="30"/>
      <c r="N295" s="27"/>
      <c r="O295" s="30"/>
      <c r="P295" s="27"/>
      <c r="Q295" s="30"/>
      <c r="R295" s="27"/>
      <c r="S295" s="30"/>
      <c r="W295" s="1"/>
      <c r="Y295" s="2"/>
      <c r="Z295" s="2"/>
      <c r="AA295" s="2"/>
      <c r="AB295" s="2"/>
      <c r="AC295" s="4"/>
    </row>
    <row r="296" spans="1:29" ht="13.5" customHeight="1">
      <c r="A296" s="2"/>
      <c r="C296" s="3"/>
      <c r="D296" s="3"/>
      <c r="E296" s="3"/>
      <c r="F296" s="3"/>
      <c r="G296" s="3"/>
      <c r="H296" s="22"/>
      <c r="I296" s="22"/>
      <c r="J296" s="22"/>
      <c r="K296" s="22"/>
      <c r="L296" s="27"/>
      <c r="M296" s="30"/>
      <c r="N296" s="27"/>
      <c r="O296" s="30"/>
      <c r="P296" s="27"/>
      <c r="Q296" s="30"/>
      <c r="R296" s="27"/>
      <c r="S296" s="30"/>
      <c r="W296" s="1"/>
      <c r="Y296" s="2"/>
      <c r="Z296" s="2"/>
      <c r="AA296" s="2"/>
      <c r="AB296" s="2"/>
      <c r="AC296" s="4"/>
    </row>
    <row r="297" spans="1:29" ht="13.5" customHeight="1">
      <c r="A297" s="2"/>
      <c r="C297" s="3"/>
      <c r="D297" s="3"/>
      <c r="E297" s="3"/>
      <c r="F297" s="3"/>
      <c r="G297" s="3"/>
      <c r="H297" s="22"/>
      <c r="I297" s="22"/>
      <c r="J297" s="22"/>
      <c r="K297" s="22"/>
      <c r="L297" s="27"/>
      <c r="M297" s="30"/>
      <c r="N297" s="27"/>
      <c r="O297" s="30"/>
      <c r="P297" s="27"/>
      <c r="Q297" s="30"/>
      <c r="R297" s="27"/>
      <c r="S297" s="30"/>
      <c r="W297" s="1"/>
      <c r="Y297" s="2"/>
      <c r="Z297" s="2"/>
      <c r="AA297" s="2"/>
      <c r="AB297" s="2"/>
      <c r="AC297" s="4"/>
    </row>
    <row r="298" spans="1:29" ht="13.5" customHeight="1">
      <c r="A298" s="2"/>
      <c r="C298" s="3"/>
      <c r="D298" s="3"/>
      <c r="E298" s="3"/>
      <c r="F298" s="3"/>
      <c r="G298" s="3"/>
      <c r="H298" s="22"/>
      <c r="I298" s="22"/>
      <c r="J298" s="22"/>
      <c r="K298" s="22"/>
      <c r="L298" s="27"/>
      <c r="M298" s="30"/>
      <c r="N298" s="27"/>
      <c r="O298" s="30"/>
      <c r="P298" s="27"/>
      <c r="Q298" s="30"/>
      <c r="R298" s="27"/>
      <c r="S298" s="30"/>
      <c r="W298" s="1"/>
      <c r="Y298" s="2"/>
      <c r="Z298" s="2"/>
      <c r="AA298" s="2"/>
      <c r="AB298" s="2"/>
      <c r="AC298" s="4"/>
    </row>
    <row r="299" spans="1:29" ht="13.5" customHeight="1">
      <c r="A299" s="2"/>
      <c r="C299" s="3"/>
      <c r="D299" s="3"/>
      <c r="E299" s="3"/>
      <c r="F299" s="3"/>
      <c r="G299" s="3"/>
      <c r="H299" s="22"/>
      <c r="I299" s="22"/>
      <c r="J299" s="22"/>
      <c r="K299" s="22"/>
      <c r="L299" s="27"/>
      <c r="M299" s="30"/>
      <c r="N299" s="27"/>
      <c r="O299" s="30"/>
      <c r="P299" s="27"/>
      <c r="Q299" s="30"/>
      <c r="R299" s="27"/>
      <c r="S299" s="30"/>
      <c r="W299" s="1"/>
      <c r="Y299" s="2"/>
      <c r="Z299" s="2"/>
      <c r="AA299" s="2"/>
      <c r="AB299" s="2"/>
      <c r="AC299" s="4"/>
    </row>
    <row r="300" spans="1:29" ht="13.5" customHeight="1">
      <c r="A300" s="2"/>
      <c r="C300" s="3"/>
      <c r="D300" s="3"/>
      <c r="E300" s="3"/>
      <c r="F300" s="3"/>
      <c r="G300" s="3"/>
      <c r="H300" s="22"/>
      <c r="I300" s="22"/>
      <c r="J300" s="22"/>
      <c r="K300" s="22"/>
      <c r="L300" s="27"/>
      <c r="M300" s="30"/>
      <c r="N300" s="27"/>
      <c r="O300" s="30"/>
      <c r="P300" s="27"/>
      <c r="Q300" s="30"/>
      <c r="R300" s="27"/>
      <c r="S300" s="30"/>
      <c r="W300" s="1"/>
      <c r="Y300" s="2"/>
      <c r="Z300" s="2"/>
      <c r="AA300" s="2"/>
      <c r="AB300" s="2"/>
      <c r="AC300" s="4"/>
    </row>
    <row r="301" spans="1:29" ht="13.5" customHeight="1">
      <c r="A301" s="2"/>
      <c r="C301" s="3"/>
      <c r="D301" s="3"/>
      <c r="E301" s="3"/>
      <c r="F301" s="3"/>
      <c r="G301" s="3"/>
      <c r="H301" s="22"/>
      <c r="I301" s="22"/>
      <c r="J301" s="22"/>
      <c r="K301" s="22"/>
      <c r="L301" s="27"/>
      <c r="M301" s="30"/>
      <c r="N301" s="27"/>
      <c r="O301" s="30"/>
      <c r="P301" s="27"/>
      <c r="Q301" s="30"/>
      <c r="R301" s="27"/>
      <c r="S301" s="30"/>
      <c r="W301" s="1"/>
      <c r="Y301" s="2"/>
      <c r="Z301" s="2"/>
      <c r="AA301" s="2"/>
      <c r="AB301" s="2"/>
      <c r="AC301" s="4"/>
    </row>
    <row r="302" spans="1:29" ht="13.5" customHeight="1">
      <c r="A302" s="2"/>
      <c r="C302" s="3"/>
      <c r="D302" s="3"/>
      <c r="E302" s="3"/>
      <c r="F302" s="3"/>
      <c r="G302" s="3"/>
      <c r="H302" s="22"/>
      <c r="I302" s="22"/>
      <c r="J302" s="22"/>
      <c r="K302" s="22"/>
      <c r="L302" s="27"/>
      <c r="M302" s="30"/>
      <c r="N302" s="27"/>
      <c r="O302" s="30"/>
      <c r="P302" s="27"/>
      <c r="Q302" s="30"/>
      <c r="R302" s="27"/>
      <c r="S302" s="30"/>
      <c r="W302" s="1"/>
      <c r="Y302" s="2"/>
      <c r="Z302" s="2"/>
      <c r="AA302" s="2"/>
      <c r="AB302" s="2"/>
      <c r="AC302" s="4"/>
    </row>
    <row r="303" spans="1:29" ht="13.5" customHeight="1">
      <c r="A303" s="2"/>
      <c r="C303" s="3"/>
      <c r="D303" s="3"/>
      <c r="E303" s="3"/>
      <c r="F303" s="3"/>
      <c r="G303" s="3"/>
      <c r="H303" s="22"/>
      <c r="I303" s="22"/>
      <c r="J303" s="22"/>
      <c r="K303" s="22"/>
      <c r="L303" s="27"/>
      <c r="M303" s="30"/>
      <c r="N303" s="27"/>
      <c r="O303" s="30"/>
      <c r="P303" s="27"/>
      <c r="Q303" s="30"/>
      <c r="R303" s="27"/>
      <c r="S303" s="30"/>
      <c r="W303" s="1"/>
      <c r="Y303" s="2"/>
      <c r="Z303" s="2"/>
      <c r="AA303" s="2"/>
      <c r="AB303" s="2"/>
      <c r="AC303" s="4"/>
    </row>
    <row r="304" spans="1:29" ht="13.5" customHeight="1">
      <c r="A304" s="2"/>
      <c r="C304" s="3"/>
      <c r="D304" s="3"/>
      <c r="E304" s="3"/>
      <c r="F304" s="3"/>
      <c r="G304" s="3"/>
      <c r="H304" s="22"/>
      <c r="I304" s="22"/>
      <c r="J304" s="22"/>
      <c r="K304" s="22"/>
      <c r="L304" s="27"/>
      <c r="M304" s="30"/>
      <c r="N304" s="27"/>
      <c r="O304" s="30"/>
      <c r="P304" s="27"/>
      <c r="Q304" s="30"/>
      <c r="R304" s="27"/>
      <c r="S304" s="30"/>
      <c r="W304" s="1"/>
      <c r="Y304" s="2"/>
      <c r="Z304" s="2"/>
      <c r="AA304" s="2"/>
      <c r="AB304" s="2"/>
      <c r="AC304" s="4"/>
    </row>
    <row r="305" spans="1:29" ht="13.5" customHeight="1">
      <c r="A305" s="2"/>
      <c r="C305" s="3"/>
      <c r="D305" s="3"/>
      <c r="E305" s="3"/>
      <c r="F305" s="3"/>
      <c r="G305" s="3"/>
      <c r="H305" s="22"/>
      <c r="I305" s="22"/>
      <c r="J305" s="22"/>
      <c r="K305" s="22"/>
      <c r="L305" s="27"/>
      <c r="M305" s="30"/>
      <c r="N305" s="27"/>
      <c r="O305" s="30"/>
      <c r="P305" s="27"/>
      <c r="Q305" s="30"/>
      <c r="R305" s="27"/>
      <c r="S305" s="30"/>
      <c r="W305" s="1"/>
      <c r="Y305" s="2"/>
      <c r="Z305" s="2"/>
      <c r="AA305" s="2"/>
      <c r="AB305" s="2"/>
      <c r="AC305" s="4"/>
    </row>
    <row r="306" spans="1:29" ht="13.5" customHeight="1">
      <c r="A306" s="2"/>
      <c r="C306" s="3"/>
      <c r="D306" s="3"/>
      <c r="E306" s="3"/>
      <c r="F306" s="3"/>
      <c r="G306" s="3"/>
      <c r="H306" s="22"/>
      <c r="I306" s="22"/>
      <c r="J306" s="22"/>
      <c r="K306" s="22"/>
      <c r="L306" s="27"/>
      <c r="M306" s="30"/>
      <c r="N306" s="27"/>
      <c r="O306" s="30"/>
      <c r="P306" s="27"/>
      <c r="Q306" s="30"/>
      <c r="R306" s="27"/>
      <c r="S306" s="30"/>
      <c r="W306" s="1"/>
      <c r="Y306" s="2"/>
      <c r="Z306" s="2"/>
      <c r="AA306" s="2"/>
      <c r="AB306" s="2"/>
      <c r="AC306" s="4"/>
    </row>
    <row r="307" spans="1:29" ht="13.5" customHeight="1">
      <c r="A307" s="2"/>
      <c r="C307" s="3"/>
      <c r="D307" s="3"/>
      <c r="E307" s="3"/>
      <c r="F307" s="3"/>
      <c r="G307" s="3"/>
      <c r="H307" s="22"/>
      <c r="I307" s="22"/>
      <c r="J307" s="22"/>
      <c r="K307" s="22"/>
      <c r="L307" s="27"/>
      <c r="M307" s="30"/>
      <c r="N307" s="27"/>
      <c r="O307" s="30"/>
      <c r="P307" s="27"/>
      <c r="Q307" s="30"/>
      <c r="R307" s="27"/>
      <c r="S307" s="30"/>
      <c r="W307" s="1"/>
      <c r="Y307" s="2"/>
      <c r="Z307" s="2"/>
      <c r="AA307" s="2"/>
      <c r="AB307" s="2"/>
      <c r="AC307" s="4"/>
    </row>
    <row r="308" spans="1:29" ht="13.5" customHeight="1">
      <c r="A308" s="2"/>
      <c r="C308" s="3"/>
      <c r="D308" s="3"/>
      <c r="E308" s="3"/>
      <c r="F308" s="3"/>
      <c r="G308" s="3"/>
      <c r="H308" s="22"/>
      <c r="I308" s="22"/>
      <c r="J308" s="22"/>
      <c r="K308" s="22"/>
      <c r="L308" s="27"/>
      <c r="M308" s="30"/>
      <c r="N308" s="27"/>
      <c r="O308" s="30"/>
      <c r="P308" s="27"/>
      <c r="Q308" s="30"/>
      <c r="R308" s="27"/>
      <c r="S308" s="30"/>
      <c r="W308" s="1"/>
      <c r="Y308" s="2"/>
      <c r="Z308" s="2"/>
      <c r="AA308" s="2"/>
      <c r="AB308" s="2"/>
      <c r="AC308" s="4"/>
    </row>
    <row r="309" spans="1:29" ht="13.5" customHeight="1">
      <c r="A309" s="2"/>
      <c r="C309" s="3"/>
      <c r="D309" s="3"/>
      <c r="E309" s="3"/>
      <c r="F309" s="3"/>
      <c r="G309" s="3"/>
      <c r="H309" s="22"/>
      <c r="I309" s="22"/>
      <c r="J309" s="22"/>
      <c r="K309" s="22"/>
      <c r="L309" s="27"/>
      <c r="M309" s="30"/>
      <c r="N309" s="27"/>
      <c r="O309" s="30"/>
      <c r="P309" s="27"/>
      <c r="Q309" s="30"/>
      <c r="R309" s="27"/>
      <c r="S309" s="30"/>
      <c r="W309" s="1"/>
      <c r="Y309" s="2"/>
      <c r="Z309" s="2"/>
      <c r="AA309" s="2"/>
      <c r="AB309" s="2"/>
      <c r="AC309" s="4"/>
    </row>
    <row r="310" spans="1:29" ht="13.5" customHeight="1">
      <c r="A310" s="2"/>
      <c r="C310" s="3"/>
      <c r="D310" s="3"/>
      <c r="E310" s="3"/>
      <c r="F310" s="3"/>
      <c r="G310" s="3"/>
      <c r="H310" s="22"/>
      <c r="I310" s="22"/>
      <c r="J310" s="22"/>
      <c r="K310" s="22"/>
      <c r="L310" s="27"/>
      <c r="M310" s="30"/>
      <c r="N310" s="27"/>
      <c r="O310" s="30"/>
      <c r="P310" s="27"/>
      <c r="Q310" s="30"/>
      <c r="R310" s="27"/>
      <c r="S310" s="30"/>
      <c r="W310" s="1"/>
      <c r="Y310" s="2"/>
      <c r="Z310" s="2"/>
      <c r="AA310" s="2"/>
      <c r="AB310" s="2"/>
      <c r="AC310" s="4"/>
    </row>
    <row r="311" spans="1:29" ht="13.5" customHeight="1">
      <c r="A311" s="2"/>
      <c r="C311" s="3"/>
      <c r="D311" s="3"/>
      <c r="E311" s="3"/>
      <c r="F311" s="3"/>
      <c r="G311" s="3"/>
      <c r="H311" s="22"/>
      <c r="I311" s="22"/>
      <c r="J311" s="22"/>
      <c r="K311" s="22"/>
      <c r="L311" s="27"/>
      <c r="M311" s="30"/>
      <c r="N311" s="27"/>
      <c r="O311" s="30"/>
      <c r="P311" s="27"/>
      <c r="Q311" s="30"/>
      <c r="R311" s="27"/>
      <c r="S311" s="30"/>
      <c r="W311" s="1"/>
      <c r="Y311" s="2"/>
      <c r="Z311" s="2"/>
      <c r="AA311" s="2"/>
      <c r="AB311" s="2"/>
      <c r="AC311" s="4"/>
    </row>
    <row r="312" spans="1:29" ht="13.5" customHeight="1">
      <c r="A312" s="2"/>
      <c r="C312" s="3"/>
      <c r="D312" s="3"/>
      <c r="E312" s="3"/>
      <c r="F312" s="3"/>
      <c r="G312" s="3"/>
      <c r="H312" s="22"/>
      <c r="I312" s="22"/>
      <c r="J312" s="22"/>
      <c r="K312" s="22"/>
      <c r="L312" s="27"/>
      <c r="M312" s="30"/>
      <c r="N312" s="27"/>
      <c r="O312" s="30"/>
      <c r="P312" s="27"/>
      <c r="Q312" s="30"/>
      <c r="R312" s="27"/>
      <c r="S312" s="30"/>
      <c r="W312" s="1"/>
      <c r="Y312" s="2"/>
      <c r="Z312" s="2"/>
      <c r="AA312" s="2"/>
      <c r="AB312" s="2"/>
      <c r="AC312" s="4"/>
    </row>
    <row r="313" spans="1:29" ht="13.5" customHeight="1">
      <c r="A313" s="2"/>
      <c r="C313" s="3"/>
      <c r="D313" s="3"/>
      <c r="E313" s="3"/>
      <c r="F313" s="3"/>
      <c r="G313" s="3"/>
      <c r="H313" s="22"/>
      <c r="I313" s="22"/>
      <c r="J313" s="22"/>
      <c r="K313" s="22"/>
      <c r="L313" s="27"/>
      <c r="M313" s="30"/>
      <c r="N313" s="27"/>
      <c r="O313" s="30"/>
      <c r="P313" s="27"/>
      <c r="Q313" s="30"/>
      <c r="R313" s="27"/>
      <c r="S313" s="30"/>
      <c r="W313" s="1"/>
      <c r="Y313" s="2"/>
      <c r="Z313" s="2"/>
      <c r="AA313" s="2"/>
      <c r="AB313" s="2"/>
      <c r="AC313" s="4"/>
    </row>
    <row r="314" spans="1:29" ht="13.5" customHeight="1">
      <c r="A314" s="2"/>
      <c r="C314" s="3"/>
      <c r="D314" s="3"/>
      <c r="E314" s="3"/>
      <c r="F314" s="3"/>
      <c r="G314" s="3"/>
      <c r="H314" s="22"/>
      <c r="I314" s="22"/>
      <c r="J314" s="22"/>
      <c r="K314" s="22"/>
      <c r="L314" s="27"/>
      <c r="M314" s="30"/>
      <c r="N314" s="27"/>
      <c r="O314" s="30"/>
      <c r="P314" s="27"/>
      <c r="Q314" s="30"/>
      <c r="R314" s="27"/>
      <c r="S314" s="30"/>
      <c r="W314" s="1"/>
      <c r="Y314" s="2"/>
      <c r="Z314" s="2"/>
      <c r="AA314" s="2"/>
      <c r="AB314" s="2"/>
      <c r="AC314" s="4"/>
    </row>
    <row r="315" spans="1:29" ht="13.5" customHeight="1">
      <c r="A315" s="2"/>
      <c r="C315" s="3"/>
      <c r="D315" s="3"/>
      <c r="E315" s="3"/>
      <c r="F315" s="3"/>
      <c r="G315" s="3"/>
      <c r="H315" s="22"/>
      <c r="I315" s="22"/>
      <c r="J315" s="22"/>
      <c r="K315" s="22"/>
      <c r="L315" s="27"/>
      <c r="M315" s="30"/>
      <c r="N315" s="27"/>
      <c r="O315" s="30"/>
      <c r="P315" s="27"/>
      <c r="Q315" s="30"/>
      <c r="R315" s="27"/>
      <c r="S315" s="30"/>
      <c r="W315" s="1"/>
      <c r="Y315" s="2"/>
      <c r="Z315" s="2"/>
      <c r="AA315" s="2"/>
      <c r="AB315" s="2"/>
      <c r="AC315" s="4"/>
    </row>
    <row r="316" spans="1:29" ht="13.5" customHeight="1">
      <c r="A316" s="2"/>
      <c r="C316" s="3"/>
      <c r="D316" s="3"/>
      <c r="E316" s="3"/>
      <c r="F316" s="3"/>
      <c r="G316" s="3"/>
      <c r="H316" s="22"/>
      <c r="I316" s="22"/>
      <c r="J316" s="22"/>
      <c r="K316" s="22"/>
      <c r="L316" s="27"/>
      <c r="M316" s="30"/>
      <c r="N316" s="27"/>
      <c r="O316" s="30"/>
      <c r="P316" s="27"/>
      <c r="Q316" s="30"/>
      <c r="R316" s="27"/>
      <c r="S316" s="30"/>
      <c r="W316" s="1"/>
      <c r="Y316" s="2"/>
      <c r="Z316" s="2"/>
      <c r="AA316" s="2"/>
      <c r="AB316" s="2"/>
      <c r="AC316" s="4"/>
    </row>
    <row r="317" spans="1:29" ht="13.5" customHeight="1">
      <c r="A317" s="2"/>
      <c r="C317" s="3"/>
      <c r="D317" s="3"/>
      <c r="E317" s="3"/>
      <c r="F317" s="3"/>
      <c r="G317" s="3"/>
      <c r="H317" s="22"/>
      <c r="I317" s="22"/>
      <c r="J317" s="22"/>
      <c r="K317" s="22"/>
      <c r="L317" s="27"/>
      <c r="M317" s="30"/>
      <c r="N317" s="27"/>
      <c r="O317" s="30"/>
      <c r="P317" s="27"/>
      <c r="Q317" s="30"/>
      <c r="R317" s="27"/>
      <c r="S317" s="30"/>
      <c r="W317" s="1"/>
      <c r="Y317" s="2"/>
      <c r="Z317" s="2"/>
      <c r="AA317" s="2"/>
      <c r="AB317" s="2"/>
      <c r="AC317" s="4"/>
    </row>
    <row r="318" spans="1:29" ht="13.5" customHeight="1">
      <c r="A318" s="2"/>
      <c r="C318" s="3"/>
      <c r="D318" s="3"/>
      <c r="E318" s="3"/>
      <c r="F318" s="3"/>
      <c r="G318" s="3"/>
      <c r="H318" s="22"/>
      <c r="I318" s="22"/>
      <c r="J318" s="22"/>
      <c r="K318" s="22"/>
      <c r="L318" s="27"/>
      <c r="M318" s="30"/>
      <c r="N318" s="27"/>
      <c r="O318" s="30"/>
      <c r="P318" s="27"/>
      <c r="Q318" s="30"/>
      <c r="R318" s="27"/>
      <c r="S318" s="30"/>
      <c r="W318" s="1"/>
      <c r="Y318" s="2"/>
      <c r="Z318" s="2"/>
      <c r="AA318" s="2"/>
      <c r="AB318" s="2"/>
      <c r="AC318" s="4"/>
    </row>
    <row r="319" spans="1:29" ht="13.5" customHeight="1">
      <c r="A319" s="2"/>
      <c r="C319" s="3"/>
      <c r="D319" s="3"/>
      <c r="E319" s="3"/>
      <c r="F319" s="3"/>
      <c r="G319" s="3"/>
      <c r="H319" s="22"/>
      <c r="I319" s="22"/>
      <c r="J319" s="22"/>
      <c r="K319" s="22"/>
      <c r="L319" s="27"/>
      <c r="M319" s="30"/>
      <c r="N319" s="27"/>
      <c r="O319" s="30"/>
      <c r="P319" s="27"/>
      <c r="Q319" s="30"/>
      <c r="R319" s="27"/>
      <c r="S319" s="30"/>
      <c r="W319" s="1"/>
      <c r="Y319" s="2"/>
      <c r="Z319" s="2"/>
      <c r="AA319" s="2"/>
      <c r="AB319" s="2"/>
      <c r="AC319" s="4"/>
    </row>
    <row r="320" spans="1:29" ht="13.5" customHeight="1">
      <c r="A320" s="2"/>
      <c r="C320" s="3"/>
      <c r="D320" s="3"/>
      <c r="E320" s="3"/>
      <c r="F320" s="3"/>
      <c r="G320" s="3"/>
      <c r="H320" s="22"/>
      <c r="I320" s="22"/>
      <c r="J320" s="22"/>
      <c r="K320" s="22"/>
      <c r="L320" s="27"/>
      <c r="M320" s="30"/>
      <c r="N320" s="27"/>
      <c r="O320" s="30"/>
      <c r="P320" s="27"/>
      <c r="Q320" s="30"/>
      <c r="R320" s="27"/>
      <c r="S320" s="30"/>
      <c r="W320" s="1"/>
      <c r="Y320" s="2"/>
      <c r="Z320" s="2"/>
      <c r="AA320" s="2"/>
      <c r="AB320" s="2"/>
      <c r="AC320" s="4"/>
    </row>
    <row r="321" spans="1:29" ht="13.5" customHeight="1">
      <c r="A321" s="2"/>
      <c r="C321" s="3"/>
      <c r="D321" s="3"/>
      <c r="E321" s="3"/>
      <c r="F321" s="3"/>
      <c r="G321" s="3"/>
      <c r="H321" s="22"/>
      <c r="I321" s="22"/>
      <c r="J321" s="22"/>
      <c r="K321" s="22"/>
      <c r="L321" s="27"/>
      <c r="M321" s="30"/>
      <c r="N321" s="27"/>
      <c r="O321" s="30"/>
      <c r="P321" s="27"/>
      <c r="Q321" s="30"/>
      <c r="R321" s="27"/>
      <c r="S321" s="30"/>
      <c r="W321" s="1"/>
      <c r="Y321" s="2"/>
      <c r="Z321" s="2"/>
      <c r="AA321" s="2"/>
      <c r="AB321" s="2"/>
      <c r="AC321" s="4"/>
    </row>
    <row r="322" spans="1:29" ht="13.5" customHeight="1">
      <c r="A322" s="2"/>
      <c r="C322" s="3"/>
      <c r="D322" s="3"/>
      <c r="E322" s="3"/>
      <c r="F322" s="3"/>
      <c r="G322" s="3"/>
      <c r="H322" s="22"/>
      <c r="I322" s="22"/>
      <c r="J322" s="22"/>
      <c r="K322" s="22"/>
      <c r="L322" s="27"/>
      <c r="M322" s="30"/>
      <c r="N322" s="27"/>
      <c r="O322" s="30"/>
      <c r="P322" s="27"/>
      <c r="Q322" s="30"/>
      <c r="R322" s="27"/>
      <c r="S322" s="30"/>
      <c r="W322" s="1"/>
      <c r="Y322" s="2"/>
      <c r="Z322" s="2"/>
      <c r="AA322" s="2"/>
      <c r="AB322" s="2"/>
      <c r="AC322" s="4"/>
    </row>
    <row r="323" spans="1:29" ht="13.5" customHeight="1">
      <c r="A323" s="2"/>
      <c r="C323" s="3"/>
      <c r="D323" s="3"/>
      <c r="E323" s="3"/>
      <c r="F323" s="3"/>
      <c r="G323" s="3"/>
      <c r="H323" s="22"/>
      <c r="I323" s="22"/>
      <c r="J323" s="22"/>
      <c r="K323" s="22"/>
      <c r="L323" s="27"/>
      <c r="M323" s="30"/>
      <c r="N323" s="27"/>
      <c r="O323" s="30"/>
      <c r="P323" s="27"/>
      <c r="Q323" s="30"/>
      <c r="R323" s="27"/>
      <c r="S323" s="30"/>
      <c r="W323" s="1"/>
      <c r="Y323" s="2"/>
      <c r="Z323" s="2"/>
      <c r="AA323" s="2"/>
      <c r="AB323" s="2"/>
      <c r="AC323" s="4"/>
    </row>
    <row r="324" spans="1:29" ht="13.5" customHeight="1">
      <c r="A324" s="2"/>
      <c r="C324" s="3"/>
      <c r="D324" s="3"/>
      <c r="E324" s="3"/>
      <c r="F324" s="3"/>
      <c r="G324" s="3"/>
      <c r="H324" s="22"/>
      <c r="I324" s="22"/>
      <c r="J324" s="22"/>
      <c r="K324" s="22"/>
      <c r="L324" s="27"/>
      <c r="M324" s="30"/>
      <c r="N324" s="27"/>
      <c r="O324" s="30"/>
      <c r="P324" s="27"/>
      <c r="Q324" s="30"/>
      <c r="R324" s="27"/>
      <c r="S324" s="30"/>
      <c r="W324" s="1"/>
      <c r="Y324" s="2"/>
      <c r="Z324" s="2"/>
      <c r="AA324" s="2"/>
      <c r="AB324" s="2"/>
      <c r="AC324" s="4"/>
    </row>
    <row r="325" spans="1:29" ht="13.5" customHeight="1">
      <c r="A325" s="2"/>
      <c r="C325" s="3"/>
      <c r="D325" s="3"/>
      <c r="E325" s="3"/>
      <c r="F325" s="3"/>
      <c r="G325" s="3"/>
      <c r="H325" s="22"/>
      <c r="I325" s="22"/>
      <c r="J325" s="22"/>
      <c r="K325" s="22"/>
      <c r="L325" s="27"/>
      <c r="M325" s="30"/>
      <c r="N325" s="27"/>
      <c r="O325" s="30"/>
      <c r="P325" s="27"/>
      <c r="Q325" s="30"/>
      <c r="R325" s="27"/>
      <c r="S325" s="30"/>
      <c r="W325" s="1"/>
      <c r="Y325" s="2"/>
      <c r="Z325" s="2"/>
      <c r="AA325" s="2"/>
      <c r="AB325" s="2"/>
      <c r="AC325" s="4"/>
    </row>
    <row r="326" spans="1:29" ht="13.5" customHeight="1">
      <c r="A326" s="2"/>
      <c r="C326" s="3"/>
      <c r="D326" s="3"/>
      <c r="E326" s="3"/>
      <c r="F326" s="3"/>
      <c r="G326" s="3"/>
      <c r="H326" s="22"/>
      <c r="I326" s="22"/>
      <c r="J326" s="22"/>
      <c r="K326" s="22"/>
      <c r="L326" s="27"/>
      <c r="M326" s="30"/>
      <c r="N326" s="27"/>
      <c r="O326" s="30"/>
      <c r="P326" s="27"/>
      <c r="Q326" s="30"/>
      <c r="R326" s="27"/>
      <c r="S326" s="30"/>
      <c r="W326" s="1"/>
      <c r="Y326" s="2"/>
      <c r="Z326" s="2"/>
      <c r="AA326" s="2"/>
      <c r="AB326" s="2"/>
      <c r="AC326" s="4"/>
    </row>
    <row r="327" spans="1:29" ht="13.5" customHeight="1">
      <c r="A327" s="2"/>
      <c r="C327" s="3"/>
      <c r="D327" s="3"/>
      <c r="E327" s="3"/>
      <c r="F327" s="3"/>
      <c r="G327" s="3"/>
      <c r="H327" s="22"/>
      <c r="I327" s="22"/>
      <c r="J327" s="22"/>
      <c r="K327" s="22"/>
      <c r="L327" s="27"/>
      <c r="M327" s="30"/>
      <c r="N327" s="27"/>
      <c r="O327" s="30"/>
      <c r="P327" s="27"/>
      <c r="Q327" s="30"/>
      <c r="R327" s="27"/>
      <c r="S327" s="30"/>
      <c r="W327" s="1"/>
      <c r="Y327" s="2"/>
      <c r="Z327" s="2"/>
      <c r="AA327" s="2"/>
      <c r="AB327" s="2"/>
      <c r="AC327" s="4"/>
    </row>
    <row r="328" spans="1:29" ht="13.5" customHeight="1">
      <c r="A328" s="2"/>
      <c r="C328" s="3"/>
      <c r="D328" s="3"/>
      <c r="E328" s="3"/>
      <c r="F328" s="3"/>
      <c r="G328" s="3"/>
      <c r="H328" s="22"/>
      <c r="I328" s="22"/>
      <c r="J328" s="22"/>
      <c r="K328" s="22"/>
      <c r="L328" s="27"/>
      <c r="M328" s="30"/>
      <c r="N328" s="27"/>
      <c r="O328" s="30"/>
      <c r="P328" s="27"/>
      <c r="Q328" s="30"/>
      <c r="R328" s="27"/>
      <c r="S328" s="30"/>
      <c r="W328" s="1"/>
      <c r="Y328" s="2"/>
      <c r="Z328" s="2"/>
      <c r="AA328" s="2"/>
      <c r="AB328" s="2"/>
      <c r="AC328" s="4"/>
    </row>
    <row r="329" spans="1:29" ht="13.5" customHeight="1">
      <c r="A329" s="2"/>
      <c r="C329" s="3"/>
      <c r="D329" s="3"/>
      <c r="E329" s="3"/>
      <c r="F329" s="3"/>
      <c r="G329" s="3"/>
      <c r="H329" s="22"/>
      <c r="I329" s="22"/>
      <c r="J329" s="22"/>
      <c r="K329" s="22"/>
      <c r="L329" s="27"/>
      <c r="M329" s="30"/>
      <c r="N329" s="27"/>
      <c r="O329" s="30"/>
      <c r="P329" s="27"/>
      <c r="Q329" s="30"/>
      <c r="R329" s="27"/>
      <c r="S329" s="30"/>
      <c r="W329" s="1"/>
      <c r="Y329" s="2"/>
      <c r="Z329" s="2"/>
      <c r="AA329" s="2"/>
      <c r="AB329" s="2"/>
      <c r="AC329" s="4"/>
    </row>
    <row r="330" spans="1:29" ht="13.5" customHeight="1">
      <c r="A330" s="2"/>
      <c r="C330" s="3"/>
      <c r="D330" s="3"/>
      <c r="E330" s="3"/>
      <c r="F330" s="3"/>
      <c r="G330" s="3"/>
      <c r="H330" s="22"/>
      <c r="I330" s="22"/>
      <c r="J330" s="22"/>
      <c r="K330" s="22"/>
      <c r="L330" s="27"/>
      <c r="M330" s="30"/>
      <c r="N330" s="27"/>
      <c r="O330" s="30"/>
      <c r="P330" s="27"/>
      <c r="Q330" s="30"/>
      <c r="R330" s="27"/>
      <c r="S330" s="30"/>
      <c r="W330" s="1"/>
      <c r="Y330" s="2"/>
      <c r="Z330" s="2"/>
      <c r="AA330" s="2"/>
      <c r="AB330" s="2"/>
      <c r="AC330" s="4"/>
    </row>
    <row r="331" spans="1:29" ht="13.5" customHeight="1">
      <c r="A331" s="2"/>
      <c r="C331" s="3"/>
      <c r="D331" s="3"/>
      <c r="E331" s="3"/>
      <c r="F331" s="3"/>
      <c r="G331" s="3"/>
      <c r="H331" s="22"/>
      <c r="I331" s="22"/>
      <c r="J331" s="22"/>
      <c r="K331" s="22"/>
      <c r="L331" s="27"/>
      <c r="M331" s="30"/>
      <c r="N331" s="27"/>
      <c r="O331" s="30"/>
      <c r="P331" s="27"/>
      <c r="Q331" s="30"/>
      <c r="R331" s="27"/>
      <c r="S331" s="30"/>
      <c r="W331" s="1"/>
      <c r="Y331" s="2"/>
      <c r="Z331" s="2"/>
      <c r="AA331" s="2"/>
      <c r="AB331" s="2"/>
      <c r="AC331" s="4"/>
    </row>
    <row r="332" spans="1:29" ht="13.5" customHeight="1">
      <c r="A332" s="2"/>
      <c r="C332" s="3"/>
      <c r="D332" s="3"/>
      <c r="E332" s="3"/>
      <c r="F332" s="3"/>
      <c r="G332" s="3"/>
      <c r="H332" s="22"/>
      <c r="I332" s="22"/>
      <c r="J332" s="22"/>
      <c r="K332" s="22"/>
      <c r="L332" s="27"/>
      <c r="M332" s="30"/>
      <c r="N332" s="27"/>
      <c r="O332" s="30"/>
      <c r="P332" s="27"/>
      <c r="Q332" s="30"/>
      <c r="R332" s="27"/>
      <c r="S332" s="30"/>
      <c r="W332" s="1"/>
      <c r="Y332" s="2"/>
      <c r="Z332" s="2"/>
      <c r="AA332" s="2"/>
      <c r="AB332" s="2"/>
      <c r="AC332" s="4"/>
    </row>
    <row r="333" spans="1:29" ht="13.5" customHeight="1">
      <c r="A333" s="2"/>
      <c r="C333" s="3"/>
      <c r="D333" s="3"/>
      <c r="E333" s="3"/>
      <c r="F333" s="3"/>
      <c r="G333" s="3"/>
      <c r="H333" s="22"/>
      <c r="I333" s="22"/>
      <c r="J333" s="22"/>
      <c r="K333" s="22"/>
      <c r="L333" s="27"/>
      <c r="M333" s="30"/>
      <c r="N333" s="27"/>
      <c r="O333" s="30"/>
      <c r="P333" s="27"/>
      <c r="Q333" s="30"/>
      <c r="R333" s="27"/>
      <c r="S333" s="30"/>
      <c r="W333" s="1"/>
      <c r="Y333" s="2"/>
      <c r="Z333" s="2"/>
      <c r="AA333" s="2"/>
      <c r="AB333" s="2"/>
      <c r="AC333" s="4"/>
    </row>
    <row r="334" spans="1:29" ht="13.5" customHeight="1">
      <c r="A334" s="2"/>
      <c r="C334" s="3"/>
      <c r="D334" s="3"/>
      <c r="E334" s="3"/>
      <c r="F334" s="3"/>
      <c r="G334" s="3"/>
      <c r="H334" s="22"/>
      <c r="I334" s="22"/>
      <c r="J334" s="22"/>
      <c r="K334" s="22"/>
      <c r="L334" s="27"/>
      <c r="M334" s="30"/>
      <c r="N334" s="27"/>
      <c r="O334" s="30"/>
      <c r="P334" s="27"/>
      <c r="Q334" s="30"/>
      <c r="R334" s="27"/>
      <c r="S334" s="30"/>
      <c r="W334" s="1"/>
      <c r="Y334" s="2"/>
      <c r="Z334" s="2"/>
      <c r="AA334" s="2"/>
      <c r="AB334" s="2"/>
      <c r="AC334" s="4"/>
    </row>
    <row r="335" spans="1:29" ht="13.5" customHeight="1">
      <c r="A335" s="2"/>
      <c r="C335" s="3"/>
      <c r="D335" s="3"/>
      <c r="E335" s="3"/>
      <c r="F335" s="3"/>
      <c r="G335" s="3"/>
      <c r="H335" s="22"/>
      <c r="I335" s="22"/>
      <c r="J335" s="22"/>
      <c r="K335" s="22"/>
      <c r="L335" s="27"/>
      <c r="M335" s="30"/>
      <c r="N335" s="27"/>
      <c r="O335" s="30"/>
      <c r="P335" s="27"/>
      <c r="Q335" s="30"/>
      <c r="R335" s="27"/>
      <c r="S335" s="30"/>
      <c r="W335" s="1"/>
      <c r="Y335" s="2"/>
      <c r="Z335" s="2"/>
      <c r="AA335" s="2"/>
      <c r="AB335" s="2"/>
      <c r="AC335" s="4"/>
    </row>
    <row r="336" spans="1:29" ht="13.5" customHeight="1">
      <c r="A336" s="2"/>
      <c r="C336" s="3"/>
      <c r="D336" s="3"/>
      <c r="E336" s="3"/>
      <c r="F336" s="3"/>
      <c r="G336" s="3"/>
      <c r="H336" s="22"/>
      <c r="I336" s="22"/>
      <c r="J336" s="22"/>
      <c r="K336" s="22"/>
      <c r="L336" s="27"/>
      <c r="M336" s="30"/>
      <c r="N336" s="27"/>
      <c r="O336" s="30"/>
      <c r="P336" s="27"/>
      <c r="Q336" s="30"/>
      <c r="R336" s="27"/>
      <c r="S336" s="30"/>
      <c r="W336" s="1"/>
      <c r="Y336" s="2"/>
      <c r="Z336" s="2"/>
      <c r="AA336" s="2"/>
      <c r="AB336" s="2"/>
      <c r="AC336" s="4"/>
    </row>
    <row r="337" spans="1:29" ht="13.5" customHeight="1">
      <c r="A337" s="2"/>
      <c r="C337" s="3"/>
      <c r="D337" s="3"/>
      <c r="E337" s="3"/>
      <c r="F337" s="3"/>
      <c r="G337" s="3"/>
      <c r="H337" s="22"/>
      <c r="I337" s="22"/>
      <c r="J337" s="22"/>
      <c r="K337" s="22"/>
      <c r="L337" s="27"/>
      <c r="M337" s="30"/>
      <c r="N337" s="27"/>
      <c r="O337" s="30"/>
      <c r="P337" s="27"/>
      <c r="Q337" s="30"/>
      <c r="R337" s="27"/>
      <c r="S337" s="30"/>
      <c r="W337" s="1"/>
      <c r="Y337" s="2"/>
      <c r="Z337" s="2"/>
      <c r="AA337" s="2"/>
      <c r="AB337" s="2"/>
      <c r="AC337" s="4"/>
    </row>
    <row r="338" spans="1:29" ht="13.5" customHeight="1">
      <c r="A338" s="2"/>
      <c r="C338" s="3"/>
      <c r="D338" s="3"/>
      <c r="E338" s="3"/>
      <c r="F338" s="3"/>
      <c r="G338" s="3"/>
      <c r="H338" s="22"/>
      <c r="I338" s="22"/>
      <c r="J338" s="22"/>
      <c r="K338" s="22"/>
      <c r="L338" s="27"/>
      <c r="M338" s="30"/>
      <c r="N338" s="27"/>
      <c r="O338" s="30"/>
      <c r="P338" s="27"/>
      <c r="Q338" s="30"/>
      <c r="R338" s="27"/>
      <c r="S338" s="30"/>
      <c r="W338" s="1"/>
      <c r="Y338" s="2"/>
      <c r="Z338" s="2"/>
      <c r="AA338" s="2"/>
      <c r="AB338" s="2"/>
      <c r="AC338" s="4"/>
    </row>
    <row r="339" spans="1:29" ht="13.5" customHeight="1">
      <c r="A339" s="2"/>
      <c r="C339" s="3"/>
      <c r="D339" s="3"/>
      <c r="E339" s="3"/>
      <c r="F339" s="3"/>
      <c r="G339" s="3"/>
      <c r="H339" s="22"/>
      <c r="I339" s="22"/>
      <c r="J339" s="22"/>
      <c r="K339" s="22"/>
      <c r="L339" s="27"/>
      <c r="M339" s="30"/>
      <c r="N339" s="27"/>
      <c r="O339" s="30"/>
      <c r="P339" s="27"/>
      <c r="Q339" s="30"/>
      <c r="R339" s="27"/>
      <c r="S339" s="30"/>
      <c r="W339" s="1"/>
      <c r="Y339" s="2"/>
      <c r="Z339" s="2"/>
      <c r="AA339" s="2"/>
      <c r="AB339" s="2"/>
      <c r="AC339" s="4"/>
    </row>
    <row r="340" spans="1:29" ht="13.5" customHeight="1">
      <c r="A340" s="2"/>
      <c r="C340" s="3"/>
      <c r="D340" s="3"/>
      <c r="E340" s="3"/>
      <c r="F340" s="3"/>
      <c r="G340" s="3"/>
      <c r="H340" s="22"/>
      <c r="I340" s="22"/>
      <c r="J340" s="22"/>
      <c r="K340" s="22"/>
      <c r="L340" s="27"/>
      <c r="M340" s="30"/>
      <c r="N340" s="27"/>
      <c r="O340" s="30"/>
      <c r="P340" s="27"/>
      <c r="Q340" s="30"/>
      <c r="R340" s="27"/>
      <c r="S340" s="30"/>
      <c r="W340" s="1"/>
      <c r="Y340" s="2"/>
      <c r="Z340" s="2"/>
      <c r="AA340" s="2"/>
      <c r="AB340" s="2"/>
      <c r="AC340" s="4"/>
    </row>
    <row r="341" spans="1:29" ht="13.5" customHeight="1">
      <c r="A341" s="2"/>
      <c r="C341" s="3"/>
      <c r="D341" s="3"/>
      <c r="E341" s="3"/>
      <c r="F341" s="3"/>
      <c r="G341" s="3"/>
      <c r="H341" s="22"/>
      <c r="I341" s="22"/>
      <c r="J341" s="22"/>
      <c r="K341" s="22"/>
      <c r="L341" s="27"/>
      <c r="M341" s="30"/>
      <c r="N341" s="27"/>
      <c r="O341" s="30"/>
      <c r="P341" s="27"/>
      <c r="Q341" s="30"/>
      <c r="R341" s="27"/>
      <c r="S341" s="30"/>
      <c r="W341" s="1"/>
      <c r="Y341" s="2"/>
      <c r="Z341" s="2"/>
      <c r="AA341" s="2"/>
      <c r="AB341" s="2"/>
      <c r="AC341" s="4"/>
    </row>
    <row r="342" spans="1:29" ht="13.5" customHeight="1">
      <c r="A342" s="2"/>
      <c r="C342" s="3"/>
      <c r="D342" s="3"/>
      <c r="E342" s="3"/>
      <c r="F342" s="3"/>
      <c r="G342" s="3"/>
      <c r="H342" s="22"/>
      <c r="I342" s="22"/>
      <c r="J342" s="22"/>
      <c r="K342" s="22"/>
      <c r="L342" s="27"/>
      <c r="M342" s="30"/>
      <c r="N342" s="27"/>
      <c r="O342" s="30"/>
      <c r="P342" s="27"/>
      <c r="Q342" s="30"/>
      <c r="R342" s="27"/>
      <c r="S342" s="30"/>
      <c r="W342" s="1"/>
      <c r="Y342" s="2"/>
      <c r="Z342" s="2"/>
      <c r="AA342" s="2"/>
      <c r="AB342" s="2"/>
      <c r="AC342" s="4"/>
    </row>
    <row r="343" spans="1:29" ht="13.5" customHeight="1">
      <c r="A343" s="2"/>
      <c r="C343" s="3"/>
      <c r="D343" s="3"/>
      <c r="E343" s="3"/>
      <c r="F343" s="3"/>
      <c r="G343" s="3"/>
      <c r="H343" s="22"/>
      <c r="I343" s="22"/>
      <c r="J343" s="22"/>
      <c r="K343" s="22"/>
      <c r="L343" s="27"/>
      <c r="M343" s="30"/>
      <c r="N343" s="27"/>
      <c r="O343" s="30"/>
      <c r="P343" s="27"/>
      <c r="Q343" s="30"/>
      <c r="R343" s="27"/>
      <c r="S343" s="30"/>
      <c r="W343" s="1"/>
      <c r="Y343" s="2"/>
      <c r="Z343" s="2"/>
      <c r="AA343" s="2"/>
      <c r="AB343" s="2"/>
      <c r="AC343" s="4"/>
    </row>
    <row r="344" spans="1:29" ht="13.5" customHeight="1">
      <c r="A344" s="2"/>
      <c r="C344" s="3"/>
      <c r="D344" s="3"/>
      <c r="E344" s="3"/>
      <c r="F344" s="3"/>
      <c r="G344" s="3"/>
      <c r="H344" s="22"/>
      <c r="I344" s="22"/>
      <c r="J344" s="22"/>
      <c r="K344" s="22"/>
      <c r="L344" s="27"/>
      <c r="M344" s="30"/>
      <c r="N344" s="27"/>
      <c r="O344" s="30"/>
      <c r="P344" s="27"/>
      <c r="Q344" s="30"/>
      <c r="R344" s="27"/>
      <c r="S344" s="30"/>
      <c r="W344" s="1"/>
      <c r="Y344" s="2"/>
      <c r="Z344" s="2"/>
      <c r="AA344" s="2"/>
      <c r="AB344" s="2"/>
      <c r="AC344" s="4"/>
    </row>
    <row r="345" spans="1:29" ht="13.5" customHeight="1">
      <c r="A345" s="2"/>
      <c r="C345" s="3"/>
      <c r="D345" s="3"/>
      <c r="E345" s="3"/>
      <c r="F345" s="3"/>
      <c r="G345" s="3"/>
      <c r="H345" s="22"/>
      <c r="I345" s="22"/>
      <c r="J345" s="22"/>
      <c r="K345" s="22"/>
      <c r="L345" s="27"/>
      <c r="M345" s="30"/>
      <c r="N345" s="27"/>
      <c r="O345" s="30"/>
      <c r="P345" s="27"/>
      <c r="Q345" s="30"/>
      <c r="R345" s="27"/>
      <c r="S345" s="30"/>
      <c r="W345" s="1"/>
      <c r="Y345" s="2"/>
      <c r="Z345" s="2"/>
      <c r="AA345" s="2"/>
      <c r="AB345" s="2"/>
      <c r="AC345" s="4"/>
    </row>
    <row r="346" spans="1:29" ht="13.5" customHeight="1">
      <c r="A346" s="2"/>
      <c r="C346" s="3"/>
      <c r="D346" s="3"/>
      <c r="E346" s="3"/>
      <c r="F346" s="3"/>
      <c r="G346" s="3"/>
      <c r="H346" s="22"/>
      <c r="I346" s="22"/>
      <c r="J346" s="22"/>
      <c r="K346" s="22"/>
      <c r="L346" s="27"/>
      <c r="M346" s="30"/>
      <c r="N346" s="27"/>
      <c r="O346" s="30"/>
      <c r="P346" s="27"/>
      <c r="Q346" s="30"/>
      <c r="R346" s="27"/>
      <c r="S346" s="30"/>
      <c r="W346" s="1"/>
      <c r="Y346" s="2"/>
      <c r="Z346" s="2"/>
      <c r="AA346" s="2"/>
      <c r="AB346" s="2"/>
      <c r="AC346" s="4"/>
    </row>
    <row r="347" spans="1:29" ht="13.5" customHeight="1">
      <c r="A347" s="2"/>
      <c r="C347" s="3"/>
      <c r="D347" s="3"/>
      <c r="E347" s="3"/>
      <c r="F347" s="3"/>
      <c r="G347" s="3"/>
      <c r="H347" s="22"/>
      <c r="I347" s="22"/>
      <c r="J347" s="22"/>
      <c r="K347" s="22"/>
      <c r="L347" s="27"/>
      <c r="M347" s="30"/>
      <c r="N347" s="27"/>
      <c r="O347" s="30"/>
      <c r="P347" s="27"/>
      <c r="Q347" s="30"/>
      <c r="R347" s="27"/>
      <c r="S347" s="30"/>
      <c r="W347" s="1"/>
      <c r="Y347" s="2"/>
      <c r="Z347" s="2"/>
      <c r="AA347" s="2"/>
      <c r="AB347" s="2"/>
      <c r="AC347" s="4"/>
    </row>
    <row r="348" spans="1:29" ht="13.5" customHeight="1">
      <c r="A348" s="2"/>
      <c r="C348" s="3"/>
      <c r="D348" s="3"/>
      <c r="E348" s="3"/>
      <c r="F348" s="3"/>
      <c r="G348" s="3"/>
      <c r="H348" s="22"/>
      <c r="I348" s="22"/>
      <c r="J348" s="22"/>
      <c r="K348" s="22"/>
      <c r="L348" s="27"/>
      <c r="M348" s="30"/>
      <c r="N348" s="27"/>
      <c r="O348" s="30"/>
      <c r="P348" s="27"/>
      <c r="Q348" s="30"/>
      <c r="R348" s="27"/>
      <c r="S348" s="30"/>
      <c r="W348" s="1"/>
      <c r="Y348" s="2"/>
      <c r="Z348" s="2"/>
      <c r="AA348" s="2"/>
      <c r="AB348" s="2"/>
      <c r="AC348" s="4"/>
    </row>
    <row r="349" spans="1:29" ht="13.5" customHeight="1">
      <c r="A349" s="2"/>
      <c r="C349" s="3"/>
      <c r="D349" s="3"/>
      <c r="E349" s="3"/>
      <c r="F349" s="3"/>
      <c r="G349" s="3"/>
      <c r="H349" s="22"/>
      <c r="I349" s="22"/>
      <c r="J349" s="22"/>
      <c r="K349" s="22"/>
      <c r="L349" s="27"/>
      <c r="M349" s="30"/>
      <c r="N349" s="27"/>
      <c r="O349" s="30"/>
      <c r="P349" s="27"/>
      <c r="Q349" s="30"/>
      <c r="R349" s="27"/>
      <c r="S349" s="30"/>
      <c r="W349" s="1"/>
      <c r="Y349" s="2"/>
      <c r="Z349" s="2"/>
      <c r="AA349" s="2"/>
      <c r="AB349" s="2"/>
      <c r="AC349" s="4"/>
    </row>
    <row r="350" spans="1:29" ht="13.5" customHeight="1">
      <c r="A350" s="2"/>
      <c r="C350" s="3"/>
      <c r="D350" s="3"/>
      <c r="E350" s="3"/>
      <c r="F350" s="3"/>
      <c r="G350" s="3"/>
      <c r="H350" s="22"/>
      <c r="I350" s="22"/>
      <c r="J350" s="22"/>
      <c r="K350" s="22"/>
      <c r="L350" s="27"/>
      <c r="M350" s="30"/>
      <c r="N350" s="27"/>
      <c r="O350" s="30"/>
      <c r="P350" s="27"/>
      <c r="Q350" s="30"/>
      <c r="R350" s="27"/>
      <c r="S350" s="30"/>
      <c r="W350" s="1"/>
      <c r="Y350" s="2"/>
      <c r="Z350" s="2"/>
      <c r="AA350" s="2"/>
      <c r="AB350" s="2"/>
      <c r="AC350" s="4"/>
    </row>
    <row r="351" spans="1:29" ht="13.5" customHeight="1">
      <c r="A351" s="2"/>
      <c r="C351" s="3"/>
      <c r="D351" s="3"/>
      <c r="E351" s="3"/>
      <c r="F351" s="3"/>
      <c r="G351" s="3"/>
      <c r="H351" s="22"/>
      <c r="I351" s="22"/>
      <c r="J351" s="22"/>
      <c r="K351" s="22"/>
      <c r="L351" s="27"/>
      <c r="M351" s="30"/>
      <c r="N351" s="27"/>
      <c r="O351" s="30"/>
      <c r="P351" s="27"/>
      <c r="Q351" s="30"/>
      <c r="R351" s="27"/>
      <c r="S351" s="30"/>
      <c r="W351" s="1"/>
      <c r="Y351" s="2"/>
      <c r="Z351" s="2"/>
      <c r="AA351" s="2"/>
      <c r="AB351" s="2"/>
      <c r="AC351" s="4"/>
    </row>
    <row r="352" spans="1:29" ht="13.5" customHeight="1">
      <c r="A352" s="2"/>
      <c r="C352" s="3"/>
      <c r="D352" s="3"/>
      <c r="E352" s="3"/>
      <c r="F352" s="3"/>
      <c r="G352" s="3"/>
      <c r="H352" s="22"/>
      <c r="I352" s="22"/>
      <c r="J352" s="22"/>
      <c r="K352" s="22"/>
      <c r="L352" s="27"/>
      <c r="M352" s="30"/>
      <c r="N352" s="27"/>
      <c r="O352" s="30"/>
      <c r="P352" s="27"/>
      <c r="Q352" s="30"/>
      <c r="R352" s="27"/>
      <c r="S352" s="30"/>
      <c r="W352" s="1"/>
      <c r="Y352" s="2"/>
      <c r="Z352" s="2"/>
      <c r="AA352" s="2"/>
      <c r="AB352" s="2"/>
      <c r="AC352" s="4"/>
    </row>
    <row r="353" spans="1:29" ht="13.5" customHeight="1">
      <c r="A353" s="2"/>
      <c r="C353" s="3"/>
      <c r="D353" s="3"/>
      <c r="E353" s="3"/>
      <c r="F353" s="3"/>
      <c r="G353" s="3"/>
      <c r="H353" s="22"/>
      <c r="I353" s="22"/>
      <c r="J353" s="22"/>
      <c r="K353" s="22"/>
      <c r="L353" s="27"/>
      <c r="M353" s="30"/>
      <c r="N353" s="27"/>
      <c r="O353" s="30"/>
      <c r="P353" s="27"/>
      <c r="Q353" s="30"/>
      <c r="R353" s="27"/>
      <c r="S353" s="30"/>
      <c r="W353" s="1"/>
      <c r="Y353" s="2"/>
      <c r="Z353" s="2"/>
      <c r="AA353" s="2"/>
      <c r="AB353" s="2"/>
      <c r="AC353" s="4"/>
    </row>
    <row r="354" spans="1:29" ht="13.5" customHeight="1">
      <c r="A354" s="2"/>
      <c r="C354" s="3"/>
      <c r="D354" s="3"/>
      <c r="E354" s="3"/>
      <c r="F354" s="3"/>
      <c r="G354" s="3"/>
      <c r="H354" s="22"/>
      <c r="I354" s="22"/>
      <c r="J354" s="22"/>
      <c r="K354" s="22"/>
      <c r="L354" s="27"/>
      <c r="M354" s="30"/>
      <c r="N354" s="27"/>
      <c r="O354" s="30"/>
      <c r="P354" s="27"/>
      <c r="Q354" s="30"/>
      <c r="R354" s="27"/>
      <c r="S354" s="30"/>
      <c r="W354" s="1"/>
      <c r="Y354" s="2"/>
      <c r="Z354" s="2"/>
      <c r="AA354" s="2"/>
      <c r="AB354" s="2"/>
      <c r="AC354" s="4"/>
    </row>
    <row r="355" spans="1:29" ht="13.5" customHeight="1">
      <c r="A355" s="2"/>
      <c r="C355" s="3"/>
      <c r="D355" s="3"/>
      <c r="E355" s="3"/>
      <c r="F355" s="3"/>
      <c r="G355" s="3"/>
      <c r="H355" s="22"/>
      <c r="I355" s="22"/>
      <c r="J355" s="22"/>
      <c r="K355" s="22"/>
      <c r="L355" s="27"/>
      <c r="M355" s="30"/>
      <c r="N355" s="27"/>
      <c r="O355" s="30"/>
      <c r="P355" s="27"/>
      <c r="Q355" s="30"/>
      <c r="R355" s="27"/>
      <c r="S355" s="30"/>
      <c r="W355" s="1"/>
      <c r="Y355" s="2"/>
      <c r="Z355" s="2"/>
      <c r="AA355" s="2"/>
      <c r="AB355" s="2"/>
      <c r="AC355" s="4"/>
    </row>
    <row r="356" spans="1:29" ht="13.5" customHeight="1">
      <c r="A356" s="2"/>
      <c r="C356" s="3"/>
      <c r="D356" s="3"/>
      <c r="E356" s="3"/>
      <c r="F356" s="3"/>
      <c r="G356" s="3"/>
      <c r="H356" s="22"/>
      <c r="I356" s="22"/>
      <c r="J356" s="22"/>
      <c r="K356" s="22"/>
      <c r="L356" s="27"/>
      <c r="M356" s="30"/>
      <c r="N356" s="27"/>
      <c r="O356" s="30"/>
      <c r="P356" s="27"/>
      <c r="Q356" s="30"/>
      <c r="R356" s="27"/>
      <c r="S356" s="30"/>
      <c r="W356" s="1"/>
      <c r="Y356" s="2"/>
      <c r="Z356" s="2"/>
      <c r="AA356" s="2"/>
      <c r="AB356" s="2"/>
      <c r="AC356" s="4"/>
    </row>
    <row r="357" spans="1:29" ht="13.5" customHeight="1">
      <c r="A357" s="2"/>
      <c r="C357" s="3"/>
      <c r="D357" s="3"/>
      <c r="E357" s="3"/>
      <c r="F357" s="3"/>
      <c r="G357" s="3"/>
      <c r="H357" s="22"/>
      <c r="I357" s="22"/>
      <c r="J357" s="22"/>
      <c r="K357" s="22"/>
      <c r="L357" s="27"/>
      <c r="M357" s="30"/>
      <c r="N357" s="27"/>
      <c r="O357" s="30"/>
      <c r="P357" s="27"/>
      <c r="Q357" s="30"/>
      <c r="R357" s="27"/>
      <c r="S357" s="30"/>
      <c r="W357" s="1"/>
      <c r="Y357" s="2"/>
      <c r="Z357" s="2"/>
      <c r="AA357" s="2"/>
      <c r="AB357" s="2"/>
      <c r="AC357" s="4"/>
    </row>
    <row r="358" spans="1:29" ht="13.5" customHeight="1">
      <c r="A358" s="2"/>
      <c r="C358" s="3"/>
      <c r="D358" s="3"/>
      <c r="E358" s="3"/>
      <c r="F358" s="3"/>
      <c r="G358" s="3"/>
      <c r="H358" s="22"/>
      <c r="I358" s="22"/>
      <c r="J358" s="22"/>
      <c r="K358" s="22"/>
      <c r="L358" s="27"/>
      <c r="M358" s="30"/>
      <c r="N358" s="27"/>
      <c r="O358" s="30"/>
      <c r="P358" s="27"/>
      <c r="Q358" s="30"/>
      <c r="R358" s="27"/>
      <c r="S358" s="30"/>
      <c r="W358" s="1"/>
      <c r="Y358" s="2"/>
      <c r="Z358" s="2"/>
      <c r="AA358" s="2"/>
      <c r="AB358" s="2"/>
      <c r="AC358" s="4"/>
    </row>
    <row r="359" spans="1:29" ht="13.5" customHeight="1">
      <c r="A359" s="2"/>
      <c r="C359" s="3"/>
      <c r="D359" s="3"/>
      <c r="E359" s="3"/>
      <c r="F359" s="3"/>
      <c r="G359" s="3"/>
      <c r="H359" s="22"/>
      <c r="I359" s="22"/>
      <c r="J359" s="22"/>
      <c r="K359" s="22"/>
      <c r="L359" s="27"/>
      <c r="M359" s="30"/>
      <c r="N359" s="27"/>
      <c r="O359" s="30"/>
      <c r="P359" s="27"/>
      <c r="Q359" s="30"/>
      <c r="R359" s="27"/>
      <c r="S359" s="30"/>
      <c r="W359" s="1"/>
      <c r="Y359" s="2"/>
      <c r="Z359" s="2"/>
      <c r="AA359" s="2"/>
      <c r="AB359" s="2"/>
      <c r="AC359" s="4"/>
    </row>
    <row r="360" spans="1:29" ht="13.5" customHeight="1">
      <c r="A360" s="2"/>
      <c r="C360" s="3"/>
      <c r="D360" s="3"/>
      <c r="E360" s="3"/>
      <c r="F360" s="3"/>
      <c r="G360" s="3"/>
      <c r="H360" s="22"/>
      <c r="I360" s="22"/>
      <c r="J360" s="22"/>
      <c r="K360" s="22"/>
      <c r="L360" s="27"/>
      <c r="M360" s="30"/>
      <c r="N360" s="27"/>
      <c r="O360" s="30"/>
      <c r="P360" s="27"/>
      <c r="Q360" s="30"/>
      <c r="R360" s="27"/>
      <c r="S360" s="30"/>
      <c r="W360" s="1"/>
      <c r="Y360" s="2"/>
      <c r="Z360" s="2"/>
      <c r="AA360" s="2"/>
      <c r="AB360" s="2"/>
      <c r="AC360" s="4"/>
    </row>
    <row r="361" spans="1:29" ht="13.5" customHeight="1">
      <c r="A361" s="2"/>
      <c r="C361" s="3"/>
      <c r="D361" s="3"/>
      <c r="E361" s="3"/>
      <c r="F361" s="3"/>
      <c r="G361" s="3"/>
      <c r="H361" s="22"/>
      <c r="I361" s="22"/>
      <c r="J361" s="22"/>
      <c r="K361" s="22"/>
      <c r="L361" s="27"/>
      <c r="M361" s="30"/>
      <c r="N361" s="27"/>
      <c r="O361" s="30"/>
      <c r="P361" s="27"/>
      <c r="Q361" s="30"/>
      <c r="R361" s="27"/>
      <c r="S361" s="30"/>
      <c r="W361" s="1"/>
      <c r="Y361" s="2"/>
      <c r="Z361" s="2"/>
      <c r="AA361" s="2"/>
      <c r="AB361" s="2"/>
      <c r="AC361" s="4"/>
    </row>
    <row r="362" spans="1:29" ht="13.5" customHeight="1">
      <c r="A362" s="2"/>
      <c r="C362" s="3"/>
      <c r="D362" s="3"/>
      <c r="E362" s="3"/>
      <c r="F362" s="3"/>
      <c r="G362" s="3"/>
      <c r="H362" s="22"/>
      <c r="I362" s="22"/>
      <c r="J362" s="22"/>
      <c r="K362" s="22"/>
      <c r="L362" s="27"/>
      <c r="M362" s="30"/>
      <c r="N362" s="27"/>
      <c r="O362" s="30"/>
      <c r="P362" s="27"/>
      <c r="Q362" s="30"/>
      <c r="R362" s="27"/>
      <c r="S362" s="30"/>
      <c r="W362" s="1"/>
      <c r="Y362" s="2"/>
      <c r="Z362" s="2"/>
      <c r="AA362" s="2"/>
      <c r="AB362" s="2"/>
      <c r="AC362" s="4"/>
    </row>
    <row r="363" spans="1:29" ht="13.5" customHeight="1">
      <c r="A363" s="2"/>
      <c r="C363" s="3"/>
      <c r="D363" s="3"/>
      <c r="E363" s="3"/>
      <c r="F363" s="3"/>
      <c r="G363" s="3"/>
      <c r="H363" s="22"/>
      <c r="I363" s="22"/>
      <c r="J363" s="22"/>
      <c r="K363" s="22"/>
      <c r="L363" s="27"/>
      <c r="M363" s="30"/>
      <c r="N363" s="27"/>
      <c r="O363" s="30"/>
      <c r="P363" s="27"/>
      <c r="Q363" s="30"/>
      <c r="R363" s="27"/>
      <c r="S363" s="30"/>
      <c r="W363" s="1"/>
      <c r="Y363" s="2"/>
      <c r="Z363" s="2"/>
      <c r="AA363" s="2"/>
      <c r="AB363" s="2"/>
      <c r="AC363" s="4"/>
    </row>
    <row r="364" spans="1:29" ht="13.5" customHeight="1">
      <c r="A364" s="2"/>
      <c r="C364" s="3"/>
      <c r="D364" s="3"/>
      <c r="E364" s="3"/>
      <c r="F364" s="3"/>
      <c r="G364" s="3"/>
      <c r="H364" s="22"/>
      <c r="I364" s="22"/>
      <c r="J364" s="22"/>
      <c r="K364" s="22"/>
      <c r="L364" s="27"/>
      <c r="M364" s="30"/>
      <c r="N364" s="27"/>
      <c r="O364" s="30"/>
      <c r="P364" s="27"/>
      <c r="Q364" s="30"/>
      <c r="R364" s="27"/>
      <c r="S364" s="30"/>
      <c r="W364" s="1"/>
      <c r="Y364" s="2"/>
      <c r="Z364" s="2"/>
      <c r="AA364" s="2"/>
      <c r="AB364" s="2"/>
      <c r="AC364" s="4"/>
    </row>
    <row r="365" spans="1:29" ht="13.5" customHeight="1">
      <c r="A365" s="2"/>
      <c r="C365" s="3"/>
      <c r="D365" s="3"/>
      <c r="E365" s="3"/>
      <c r="F365" s="3"/>
      <c r="G365" s="3"/>
      <c r="H365" s="22"/>
      <c r="I365" s="22"/>
      <c r="J365" s="22"/>
      <c r="K365" s="22"/>
      <c r="L365" s="27"/>
      <c r="M365" s="30"/>
      <c r="N365" s="27"/>
      <c r="O365" s="30"/>
      <c r="P365" s="27"/>
      <c r="Q365" s="30"/>
      <c r="R365" s="27"/>
      <c r="S365" s="30"/>
      <c r="W365" s="1"/>
      <c r="Y365" s="2"/>
      <c r="Z365" s="2"/>
      <c r="AA365" s="2"/>
      <c r="AB365" s="2"/>
      <c r="AC365" s="4"/>
    </row>
    <row r="366" spans="1:29" ht="13.5" customHeight="1">
      <c r="A366" s="2"/>
      <c r="C366" s="3"/>
      <c r="D366" s="3"/>
      <c r="E366" s="3"/>
      <c r="F366" s="3"/>
      <c r="G366" s="3"/>
      <c r="H366" s="22"/>
      <c r="I366" s="22"/>
      <c r="J366" s="22"/>
      <c r="K366" s="22"/>
      <c r="L366" s="27"/>
      <c r="M366" s="30"/>
      <c r="N366" s="27"/>
      <c r="O366" s="30"/>
      <c r="P366" s="27"/>
      <c r="Q366" s="30"/>
      <c r="R366" s="27"/>
      <c r="S366" s="30"/>
      <c r="W366" s="1"/>
      <c r="Y366" s="2"/>
      <c r="Z366" s="2"/>
      <c r="AA366" s="2"/>
      <c r="AB366" s="2"/>
      <c r="AC366" s="4"/>
    </row>
    <row r="367" spans="1:29" ht="13.5" customHeight="1">
      <c r="A367" s="2"/>
      <c r="C367" s="3"/>
      <c r="D367" s="3"/>
      <c r="E367" s="3"/>
      <c r="F367" s="3"/>
      <c r="G367" s="3"/>
      <c r="H367" s="22"/>
      <c r="I367" s="22"/>
      <c r="J367" s="22"/>
      <c r="K367" s="22"/>
      <c r="L367" s="27"/>
      <c r="M367" s="30"/>
      <c r="N367" s="27"/>
      <c r="O367" s="30"/>
      <c r="P367" s="27"/>
      <c r="Q367" s="30"/>
      <c r="R367" s="27"/>
      <c r="S367" s="30"/>
      <c r="W367" s="1"/>
      <c r="Y367" s="2"/>
      <c r="Z367" s="2"/>
      <c r="AA367" s="2"/>
      <c r="AB367" s="2"/>
      <c r="AC367" s="4"/>
    </row>
    <row r="368" spans="1:29" ht="13.5" customHeight="1">
      <c r="A368" s="2"/>
      <c r="C368" s="3"/>
      <c r="D368" s="3"/>
      <c r="E368" s="3"/>
      <c r="F368" s="3"/>
      <c r="G368" s="3"/>
      <c r="H368" s="22"/>
      <c r="I368" s="22"/>
      <c r="J368" s="22"/>
      <c r="K368" s="22"/>
      <c r="L368" s="27"/>
      <c r="M368" s="30"/>
      <c r="N368" s="27"/>
      <c r="O368" s="30"/>
      <c r="P368" s="27"/>
      <c r="Q368" s="30"/>
      <c r="R368" s="27"/>
      <c r="S368" s="30"/>
      <c r="W368" s="1"/>
      <c r="Y368" s="2"/>
      <c r="Z368" s="2"/>
      <c r="AA368" s="2"/>
      <c r="AB368" s="2"/>
      <c r="AC368" s="4"/>
    </row>
    <row r="369" spans="1:29" ht="13.5" customHeight="1">
      <c r="A369" s="2"/>
      <c r="C369" s="3"/>
      <c r="D369" s="3"/>
      <c r="E369" s="3"/>
      <c r="F369" s="3"/>
      <c r="G369" s="3"/>
      <c r="H369" s="22"/>
      <c r="I369" s="22"/>
      <c r="J369" s="22"/>
      <c r="K369" s="22"/>
      <c r="L369" s="27"/>
      <c r="M369" s="30"/>
      <c r="N369" s="27"/>
      <c r="O369" s="30"/>
      <c r="P369" s="27"/>
      <c r="Q369" s="30"/>
      <c r="R369" s="27"/>
      <c r="S369" s="30"/>
      <c r="W369" s="1"/>
      <c r="Y369" s="2"/>
      <c r="Z369" s="2"/>
      <c r="AA369" s="2"/>
      <c r="AB369" s="2"/>
      <c r="AC369" s="4"/>
    </row>
    <row r="370" spans="1:29" ht="13.5" customHeight="1">
      <c r="A370" s="2"/>
      <c r="C370" s="3"/>
      <c r="D370" s="3"/>
      <c r="E370" s="3"/>
      <c r="F370" s="3"/>
      <c r="G370" s="3"/>
      <c r="H370" s="22"/>
      <c r="I370" s="22"/>
      <c r="J370" s="22"/>
      <c r="K370" s="22"/>
      <c r="L370" s="27"/>
      <c r="M370" s="30"/>
      <c r="N370" s="27"/>
      <c r="O370" s="30"/>
      <c r="P370" s="27"/>
      <c r="Q370" s="30"/>
      <c r="R370" s="27"/>
      <c r="S370" s="30"/>
      <c r="W370" s="1"/>
      <c r="Y370" s="2"/>
      <c r="Z370" s="2"/>
      <c r="AA370" s="2"/>
      <c r="AB370" s="2"/>
      <c r="AC370" s="4"/>
    </row>
    <row r="371" spans="1:29" ht="13.5" customHeight="1">
      <c r="A371" s="2"/>
      <c r="C371" s="3"/>
      <c r="D371" s="3"/>
      <c r="E371" s="3"/>
      <c r="F371" s="3"/>
      <c r="G371" s="3"/>
      <c r="H371" s="22"/>
      <c r="I371" s="22"/>
      <c r="J371" s="22"/>
      <c r="K371" s="22"/>
      <c r="L371" s="27"/>
      <c r="M371" s="30"/>
      <c r="N371" s="27"/>
      <c r="O371" s="30"/>
      <c r="P371" s="27"/>
      <c r="Q371" s="30"/>
      <c r="R371" s="27"/>
      <c r="S371" s="30"/>
      <c r="W371" s="1"/>
      <c r="Y371" s="2"/>
      <c r="Z371" s="2"/>
      <c r="AA371" s="2"/>
      <c r="AB371" s="2"/>
      <c r="AC371" s="4"/>
    </row>
    <row r="372" spans="1:29" ht="13.5" customHeight="1">
      <c r="A372" s="2"/>
      <c r="C372" s="3"/>
      <c r="D372" s="3"/>
      <c r="E372" s="3"/>
      <c r="F372" s="3"/>
      <c r="G372" s="3"/>
      <c r="H372" s="22"/>
      <c r="I372" s="22"/>
      <c r="J372" s="22"/>
      <c r="K372" s="22"/>
      <c r="L372" s="27"/>
      <c r="M372" s="30"/>
      <c r="N372" s="27"/>
      <c r="O372" s="30"/>
      <c r="P372" s="27"/>
      <c r="Q372" s="30"/>
      <c r="R372" s="27"/>
      <c r="S372" s="30"/>
      <c r="W372" s="1"/>
      <c r="Y372" s="2"/>
      <c r="Z372" s="2"/>
      <c r="AA372" s="2"/>
      <c r="AB372" s="2"/>
      <c r="AC372" s="4"/>
    </row>
    <row r="373" spans="1:29" ht="13.5" customHeight="1">
      <c r="A373" s="2"/>
      <c r="C373" s="3"/>
      <c r="D373" s="3"/>
      <c r="E373" s="3"/>
      <c r="F373" s="3"/>
      <c r="G373" s="3"/>
      <c r="H373" s="22"/>
      <c r="I373" s="22"/>
      <c r="J373" s="22"/>
      <c r="K373" s="22"/>
      <c r="L373" s="27"/>
      <c r="M373" s="30"/>
      <c r="N373" s="27"/>
      <c r="O373" s="30"/>
      <c r="P373" s="27"/>
      <c r="Q373" s="30"/>
      <c r="R373" s="27"/>
      <c r="S373" s="30"/>
      <c r="W373" s="1"/>
      <c r="Y373" s="2"/>
      <c r="Z373" s="2"/>
      <c r="AA373" s="2"/>
      <c r="AB373" s="2"/>
      <c r="AC373" s="4"/>
    </row>
    <row r="374" spans="1:29" ht="13.5" customHeight="1">
      <c r="A374" s="2"/>
      <c r="C374" s="3"/>
      <c r="D374" s="3"/>
      <c r="E374" s="3"/>
      <c r="F374" s="3"/>
      <c r="G374" s="3"/>
      <c r="H374" s="22"/>
      <c r="I374" s="22"/>
      <c r="J374" s="22"/>
      <c r="K374" s="22"/>
      <c r="L374" s="27"/>
      <c r="M374" s="30"/>
      <c r="N374" s="27"/>
      <c r="O374" s="30"/>
      <c r="P374" s="27"/>
      <c r="Q374" s="30"/>
      <c r="R374" s="27"/>
      <c r="S374" s="30"/>
      <c r="W374" s="1"/>
      <c r="Y374" s="2"/>
      <c r="Z374" s="2"/>
      <c r="AA374" s="2"/>
      <c r="AB374" s="2"/>
      <c r="AC374" s="4"/>
    </row>
    <row r="375" spans="1:29" ht="13.5" customHeight="1">
      <c r="A375" s="2"/>
      <c r="C375" s="3"/>
      <c r="D375" s="3"/>
      <c r="E375" s="3"/>
      <c r="F375" s="3"/>
      <c r="G375" s="3"/>
      <c r="H375" s="22"/>
      <c r="I375" s="22"/>
      <c r="J375" s="22"/>
      <c r="K375" s="22"/>
      <c r="L375" s="27"/>
      <c r="M375" s="30"/>
      <c r="N375" s="27"/>
      <c r="O375" s="30"/>
      <c r="P375" s="27"/>
      <c r="Q375" s="30"/>
      <c r="R375" s="27"/>
      <c r="S375" s="30"/>
      <c r="W375" s="1"/>
      <c r="Y375" s="2"/>
      <c r="Z375" s="2"/>
      <c r="AA375" s="2"/>
      <c r="AB375" s="2"/>
      <c r="AC375" s="4"/>
    </row>
    <row r="376" spans="1:29" ht="13.5" customHeight="1">
      <c r="A376" s="2"/>
      <c r="C376" s="3"/>
      <c r="D376" s="3"/>
      <c r="E376" s="3"/>
      <c r="F376" s="3"/>
      <c r="G376" s="3"/>
      <c r="H376" s="22"/>
      <c r="I376" s="22"/>
      <c r="J376" s="22"/>
      <c r="K376" s="22"/>
      <c r="L376" s="27"/>
      <c r="M376" s="30"/>
      <c r="N376" s="27"/>
      <c r="O376" s="30"/>
      <c r="P376" s="27"/>
      <c r="Q376" s="30"/>
      <c r="R376" s="27"/>
      <c r="S376" s="30"/>
      <c r="W376" s="1"/>
      <c r="Y376" s="2"/>
      <c r="Z376" s="2"/>
      <c r="AA376" s="2"/>
      <c r="AB376" s="2"/>
      <c r="AC376" s="4"/>
    </row>
    <row r="377" spans="1:29" ht="13.5" customHeight="1">
      <c r="A377" s="2"/>
      <c r="C377" s="3"/>
      <c r="D377" s="3"/>
      <c r="E377" s="3"/>
      <c r="F377" s="3"/>
      <c r="G377" s="3"/>
      <c r="H377" s="22"/>
      <c r="I377" s="22"/>
      <c r="J377" s="22"/>
      <c r="K377" s="22"/>
      <c r="L377" s="27"/>
      <c r="M377" s="30"/>
      <c r="N377" s="27"/>
      <c r="O377" s="30"/>
      <c r="P377" s="27"/>
      <c r="Q377" s="30"/>
      <c r="R377" s="27"/>
      <c r="S377" s="30"/>
      <c r="W377" s="1"/>
      <c r="Y377" s="2"/>
      <c r="Z377" s="2"/>
      <c r="AA377" s="2"/>
      <c r="AB377" s="2"/>
      <c r="AC377" s="4"/>
    </row>
    <row r="378" spans="1:29" ht="13.5" customHeight="1">
      <c r="A378" s="2"/>
      <c r="C378" s="3"/>
      <c r="D378" s="3"/>
      <c r="E378" s="3"/>
      <c r="F378" s="3"/>
      <c r="G378" s="3"/>
      <c r="H378" s="22"/>
      <c r="I378" s="22"/>
      <c r="J378" s="22"/>
      <c r="K378" s="22"/>
      <c r="L378" s="27"/>
      <c r="M378" s="30"/>
      <c r="N378" s="27"/>
      <c r="O378" s="30"/>
      <c r="P378" s="27"/>
      <c r="Q378" s="30"/>
      <c r="R378" s="27"/>
      <c r="S378" s="30"/>
      <c r="W378" s="1"/>
      <c r="Y378" s="2"/>
      <c r="Z378" s="2"/>
      <c r="AA378" s="2"/>
      <c r="AB378" s="2"/>
      <c r="AC378" s="4"/>
    </row>
    <row r="379" spans="1:29" ht="13.5" customHeight="1">
      <c r="A379" s="2"/>
      <c r="C379" s="3"/>
      <c r="D379" s="3"/>
      <c r="E379" s="3"/>
      <c r="F379" s="3"/>
      <c r="G379" s="3"/>
      <c r="H379" s="22"/>
      <c r="I379" s="22"/>
      <c r="J379" s="22"/>
      <c r="K379" s="22"/>
      <c r="L379" s="27"/>
      <c r="M379" s="30"/>
      <c r="N379" s="27"/>
      <c r="O379" s="30"/>
      <c r="P379" s="27"/>
      <c r="Q379" s="30"/>
      <c r="R379" s="27"/>
      <c r="S379" s="30"/>
      <c r="W379" s="1"/>
      <c r="Y379" s="2"/>
      <c r="Z379" s="2"/>
      <c r="AA379" s="2"/>
      <c r="AB379" s="2"/>
      <c r="AC379" s="4"/>
    </row>
    <row r="380" spans="1:29" ht="13.5" customHeight="1">
      <c r="A380" s="2"/>
      <c r="C380" s="3"/>
      <c r="D380" s="3"/>
      <c r="E380" s="3"/>
      <c r="F380" s="3"/>
      <c r="G380" s="3"/>
      <c r="H380" s="22"/>
      <c r="I380" s="22"/>
      <c r="J380" s="22"/>
      <c r="K380" s="22"/>
      <c r="L380" s="27"/>
      <c r="M380" s="30"/>
      <c r="N380" s="27"/>
      <c r="O380" s="30"/>
      <c r="P380" s="27"/>
      <c r="Q380" s="30"/>
      <c r="R380" s="27"/>
      <c r="S380" s="30"/>
      <c r="W380" s="1"/>
      <c r="Y380" s="2"/>
      <c r="Z380" s="2"/>
      <c r="AA380" s="2"/>
      <c r="AB380" s="2"/>
      <c r="AC380" s="4"/>
    </row>
    <row r="381" spans="1:29" ht="13.5" customHeight="1">
      <c r="A381" s="2"/>
      <c r="C381" s="3"/>
      <c r="D381" s="3"/>
      <c r="E381" s="3"/>
      <c r="F381" s="3"/>
      <c r="G381" s="3"/>
      <c r="H381" s="22"/>
      <c r="I381" s="22"/>
      <c r="J381" s="22"/>
      <c r="K381" s="22"/>
      <c r="L381" s="27"/>
      <c r="M381" s="30"/>
      <c r="N381" s="27"/>
      <c r="O381" s="30"/>
      <c r="P381" s="27"/>
      <c r="Q381" s="30"/>
      <c r="R381" s="27"/>
      <c r="S381" s="30"/>
      <c r="W381" s="1"/>
      <c r="Y381" s="2"/>
      <c r="Z381" s="2"/>
      <c r="AA381" s="2"/>
      <c r="AB381" s="2"/>
      <c r="AC381" s="4"/>
    </row>
    <row r="382" spans="1:29" ht="13.5" customHeight="1">
      <c r="A382" s="2"/>
      <c r="C382" s="3"/>
      <c r="D382" s="3"/>
      <c r="E382" s="3"/>
      <c r="F382" s="3"/>
      <c r="G382" s="3"/>
      <c r="H382" s="22"/>
      <c r="I382" s="22"/>
      <c r="J382" s="22"/>
      <c r="K382" s="22"/>
      <c r="L382" s="27"/>
      <c r="M382" s="30"/>
      <c r="N382" s="27"/>
      <c r="O382" s="30"/>
      <c r="P382" s="27"/>
      <c r="Q382" s="30"/>
      <c r="R382" s="27"/>
      <c r="S382" s="30"/>
      <c r="W382" s="1"/>
      <c r="Y382" s="2"/>
      <c r="Z382" s="2"/>
      <c r="AA382" s="2"/>
      <c r="AB382" s="2"/>
      <c r="AC382" s="4"/>
    </row>
    <row r="383" spans="1:29" ht="13.5" customHeight="1">
      <c r="A383" s="2"/>
      <c r="C383" s="3"/>
      <c r="D383" s="3"/>
      <c r="E383" s="3"/>
      <c r="F383" s="3"/>
      <c r="G383" s="3"/>
      <c r="H383" s="22"/>
      <c r="I383" s="22"/>
      <c r="J383" s="22"/>
      <c r="K383" s="22"/>
      <c r="L383" s="27"/>
      <c r="M383" s="30"/>
      <c r="N383" s="27"/>
      <c r="O383" s="30"/>
      <c r="P383" s="27"/>
      <c r="Q383" s="30"/>
      <c r="R383" s="27"/>
      <c r="S383" s="30"/>
      <c r="W383" s="1"/>
      <c r="Y383" s="2"/>
      <c r="Z383" s="2"/>
      <c r="AA383" s="2"/>
      <c r="AB383" s="2"/>
      <c r="AC383" s="4"/>
    </row>
    <row r="384" spans="1:29" ht="13.5" customHeight="1">
      <c r="A384" s="2"/>
      <c r="C384" s="3"/>
      <c r="D384" s="3"/>
      <c r="E384" s="3"/>
      <c r="F384" s="3"/>
      <c r="G384" s="3"/>
      <c r="H384" s="22"/>
      <c r="I384" s="22"/>
      <c r="J384" s="22"/>
      <c r="K384" s="22"/>
      <c r="L384" s="27"/>
      <c r="M384" s="30"/>
      <c r="N384" s="27"/>
      <c r="O384" s="30"/>
      <c r="P384" s="27"/>
      <c r="Q384" s="30"/>
      <c r="R384" s="27"/>
      <c r="S384" s="30"/>
      <c r="W384" s="1"/>
      <c r="Y384" s="2"/>
      <c r="Z384" s="2"/>
      <c r="AA384" s="2"/>
      <c r="AB384" s="2"/>
      <c r="AC384" s="4"/>
    </row>
    <row r="385" spans="1:29" ht="13.5" customHeight="1">
      <c r="A385" s="2"/>
      <c r="C385" s="3"/>
      <c r="D385" s="3"/>
      <c r="E385" s="3"/>
      <c r="F385" s="3"/>
      <c r="G385" s="3"/>
      <c r="H385" s="22"/>
      <c r="I385" s="22"/>
      <c r="J385" s="22"/>
      <c r="K385" s="22"/>
      <c r="L385" s="27"/>
      <c r="M385" s="30"/>
      <c r="N385" s="27"/>
      <c r="O385" s="30"/>
      <c r="P385" s="27"/>
      <c r="Q385" s="30"/>
      <c r="R385" s="27"/>
      <c r="S385" s="30"/>
      <c r="W385" s="1"/>
      <c r="Y385" s="2"/>
      <c r="Z385" s="2"/>
      <c r="AA385" s="2"/>
      <c r="AB385" s="2"/>
      <c r="AC385" s="4"/>
    </row>
    <row r="386" spans="1:29" ht="13.5" customHeight="1">
      <c r="A386" s="2"/>
      <c r="C386" s="3"/>
      <c r="D386" s="3"/>
      <c r="E386" s="3"/>
      <c r="F386" s="3"/>
      <c r="G386" s="3"/>
      <c r="H386" s="22"/>
      <c r="I386" s="22"/>
      <c r="J386" s="22"/>
      <c r="K386" s="22"/>
      <c r="L386" s="27"/>
      <c r="M386" s="30"/>
      <c r="N386" s="27"/>
      <c r="O386" s="30"/>
      <c r="P386" s="27"/>
      <c r="Q386" s="30"/>
      <c r="R386" s="27"/>
      <c r="S386" s="30"/>
      <c r="W386" s="1"/>
      <c r="Y386" s="2"/>
      <c r="Z386" s="2"/>
      <c r="AA386" s="2"/>
      <c r="AB386" s="2"/>
      <c r="AC386" s="4"/>
    </row>
    <row r="387" spans="1:29" ht="13.5" customHeight="1">
      <c r="A387" s="2"/>
      <c r="C387" s="3"/>
      <c r="D387" s="3"/>
      <c r="E387" s="3"/>
      <c r="F387" s="3"/>
      <c r="G387" s="3"/>
      <c r="H387" s="22"/>
      <c r="I387" s="22"/>
      <c r="J387" s="22"/>
      <c r="K387" s="22"/>
      <c r="L387" s="27"/>
      <c r="M387" s="30"/>
      <c r="N387" s="27"/>
      <c r="O387" s="30"/>
      <c r="P387" s="27"/>
      <c r="Q387" s="30"/>
      <c r="R387" s="27"/>
      <c r="S387" s="30"/>
      <c r="W387" s="1"/>
      <c r="Y387" s="2"/>
      <c r="Z387" s="2"/>
      <c r="AA387" s="2"/>
      <c r="AB387" s="2"/>
      <c r="AC387" s="4"/>
    </row>
    <row r="388" spans="1:29" ht="13.5" customHeight="1">
      <c r="A388" s="2"/>
      <c r="C388" s="3"/>
      <c r="D388" s="3"/>
      <c r="E388" s="3"/>
      <c r="F388" s="3"/>
      <c r="G388" s="3"/>
      <c r="H388" s="22"/>
      <c r="I388" s="22"/>
      <c r="J388" s="22"/>
      <c r="K388" s="22"/>
      <c r="L388" s="27"/>
      <c r="M388" s="30"/>
      <c r="N388" s="27"/>
      <c r="O388" s="30"/>
      <c r="P388" s="27"/>
      <c r="Q388" s="30"/>
      <c r="R388" s="27"/>
      <c r="S388" s="30"/>
      <c r="W388" s="1"/>
      <c r="Y388" s="2"/>
      <c r="Z388" s="2"/>
      <c r="AA388" s="2"/>
      <c r="AB388" s="2"/>
      <c r="AC388" s="4"/>
    </row>
    <row r="389" spans="1:29" ht="13.5" customHeight="1">
      <c r="A389" s="2"/>
      <c r="C389" s="3"/>
      <c r="D389" s="3"/>
      <c r="E389" s="3"/>
      <c r="F389" s="3"/>
      <c r="G389" s="3"/>
      <c r="H389" s="22"/>
      <c r="I389" s="22"/>
      <c r="J389" s="22"/>
      <c r="K389" s="22"/>
      <c r="L389" s="27"/>
      <c r="M389" s="30"/>
      <c r="N389" s="27"/>
      <c r="O389" s="30"/>
      <c r="P389" s="27"/>
      <c r="Q389" s="30"/>
      <c r="R389" s="27"/>
      <c r="S389" s="30"/>
      <c r="W389" s="1"/>
      <c r="Y389" s="2"/>
      <c r="Z389" s="2"/>
      <c r="AA389" s="2"/>
      <c r="AB389" s="2"/>
      <c r="AC389" s="4"/>
    </row>
    <row r="390" spans="1:29" ht="13.5" customHeight="1">
      <c r="A390" s="2"/>
      <c r="C390" s="3"/>
      <c r="D390" s="3"/>
      <c r="E390" s="3"/>
      <c r="F390" s="3"/>
      <c r="G390" s="3"/>
      <c r="H390" s="22"/>
      <c r="I390" s="22"/>
      <c r="J390" s="22"/>
      <c r="K390" s="22"/>
      <c r="L390" s="27"/>
      <c r="M390" s="30"/>
      <c r="N390" s="27"/>
      <c r="O390" s="30"/>
      <c r="P390" s="27"/>
      <c r="Q390" s="30"/>
      <c r="R390" s="27"/>
      <c r="S390" s="30"/>
      <c r="W390" s="1"/>
      <c r="Y390" s="2"/>
      <c r="Z390" s="2"/>
      <c r="AA390" s="2"/>
      <c r="AB390" s="2"/>
      <c r="AC390" s="4"/>
    </row>
    <row r="391" spans="1:29" ht="13.5" customHeight="1">
      <c r="A391" s="2"/>
      <c r="C391" s="3"/>
      <c r="D391" s="3"/>
      <c r="E391" s="3"/>
      <c r="F391" s="3"/>
      <c r="G391" s="3"/>
      <c r="H391" s="22"/>
      <c r="I391" s="22"/>
      <c r="J391" s="22"/>
      <c r="K391" s="22"/>
      <c r="L391" s="27"/>
      <c r="M391" s="30"/>
      <c r="N391" s="27"/>
      <c r="O391" s="30"/>
      <c r="P391" s="27"/>
      <c r="Q391" s="30"/>
      <c r="R391" s="27"/>
      <c r="S391" s="30"/>
      <c r="W391" s="1"/>
      <c r="Y391" s="2"/>
      <c r="Z391" s="2"/>
      <c r="AA391" s="2"/>
      <c r="AB391" s="2"/>
      <c r="AC391" s="4"/>
    </row>
    <row r="392" spans="1:29" ht="13.5" customHeight="1">
      <c r="A392" s="2"/>
      <c r="C392" s="3"/>
      <c r="D392" s="3"/>
      <c r="E392" s="3"/>
      <c r="F392" s="3"/>
      <c r="G392" s="3"/>
      <c r="H392" s="22"/>
      <c r="I392" s="22"/>
      <c r="J392" s="22"/>
      <c r="K392" s="22"/>
      <c r="L392" s="27"/>
      <c r="M392" s="30"/>
      <c r="N392" s="27"/>
      <c r="O392" s="30"/>
      <c r="P392" s="27"/>
      <c r="Q392" s="30"/>
      <c r="R392" s="27"/>
      <c r="S392" s="30"/>
      <c r="W392" s="1"/>
      <c r="Y392" s="2"/>
      <c r="Z392" s="2"/>
      <c r="AA392" s="2"/>
      <c r="AB392" s="2"/>
      <c r="AC392" s="4"/>
    </row>
    <row r="393" spans="1:29" ht="13.5" customHeight="1">
      <c r="A393" s="2"/>
      <c r="C393" s="3"/>
      <c r="D393" s="3"/>
      <c r="E393" s="3"/>
      <c r="F393" s="3"/>
      <c r="G393" s="3"/>
      <c r="H393" s="22"/>
      <c r="I393" s="22"/>
      <c r="J393" s="22"/>
      <c r="K393" s="22"/>
      <c r="L393" s="27"/>
      <c r="M393" s="30"/>
      <c r="N393" s="27"/>
      <c r="O393" s="30"/>
      <c r="P393" s="27"/>
      <c r="Q393" s="30"/>
      <c r="R393" s="27"/>
      <c r="S393" s="30"/>
      <c r="W393" s="1"/>
      <c r="Y393" s="2"/>
      <c r="Z393" s="2"/>
      <c r="AA393" s="2"/>
      <c r="AB393" s="2"/>
      <c r="AC393" s="4"/>
    </row>
    <row r="394" spans="1:29" ht="13.5" customHeight="1">
      <c r="A394" s="2"/>
      <c r="C394" s="3"/>
      <c r="D394" s="3"/>
      <c r="E394" s="3"/>
      <c r="F394" s="3"/>
      <c r="G394" s="3"/>
      <c r="H394" s="22"/>
      <c r="I394" s="22"/>
      <c r="J394" s="22"/>
      <c r="K394" s="22"/>
      <c r="L394" s="27"/>
      <c r="M394" s="30"/>
      <c r="N394" s="27"/>
      <c r="O394" s="30"/>
      <c r="P394" s="27"/>
      <c r="Q394" s="30"/>
      <c r="R394" s="27"/>
      <c r="S394" s="30"/>
      <c r="W394" s="1"/>
      <c r="Y394" s="2"/>
      <c r="Z394" s="2"/>
      <c r="AA394" s="2"/>
      <c r="AB394" s="2"/>
      <c r="AC394" s="4"/>
    </row>
    <row r="395" spans="1:29" ht="13.5" customHeight="1">
      <c r="A395" s="2"/>
      <c r="C395" s="3"/>
      <c r="D395" s="3"/>
      <c r="E395" s="3"/>
      <c r="F395" s="3"/>
      <c r="G395" s="3"/>
      <c r="H395" s="22"/>
      <c r="I395" s="22"/>
      <c r="J395" s="22"/>
      <c r="K395" s="22"/>
      <c r="L395" s="27"/>
      <c r="M395" s="30"/>
      <c r="N395" s="27"/>
      <c r="O395" s="30"/>
      <c r="P395" s="27"/>
      <c r="Q395" s="30"/>
      <c r="R395" s="27"/>
      <c r="S395" s="30"/>
      <c r="W395" s="1"/>
      <c r="Y395" s="2"/>
      <c r="Z395" s="2"/>
      <c r="AA395" s="2"/>
      <c r="AB395" s="2"/>
      <c r="AC395" s="4"/>
    </row>
    <row r="396" spans="1:29" ht="13.5" customHeight="1">
      <c r="A396" s="2"/>
      <c r="C396" s="3"/>
      <c r="D396" s="3"/>
      <c r="E396" s="3"/>
      <c r="F396" s="3"/>
      <c r="G396" s="3"/>
      <c r="H396" s="22"/>
      <c r="I396" s="22"/>
      <c r="J396" s="22"/>
      <c r="K396" s="22"/>
      <c r="L396" s="27"/>
      <c r="M396" s="30"/>
      <c r="N396" s="27"/>
      <c r="O396" s="30"/>
      <c r="P396" s="27"/>
      <c r="Q396" s="30"/>
      <c r="R396" s="27"/>
      <c r="S396" s="30"/>
      <c r="W396" s="1"/>
      <c r="Y396" s="2"/>
      <c r="Z396" s="2"/>
      <c r="AA396" s="2"/>
      <c r="AB396" s="2"/>
      <c r="AC396" s="4"/>
    </row>
    <row r="397" spans="1:29" ht="13.5" customHeight="1">
      <c r="A397" s="2"/>
      <c r="C397" s="3"/>
      <c r="D397" s="3"/>
      <c r="E397" s="3"/>
      <c r="F397" s="3"/>
      <c r="G397" s="3"/>
      <c r="H397" s="22"/>
      <c r="I397" s="22"/>
      <c r="J397" s="22"/>
      <c r="K397" s="22"/>
      <c r="L397" s="27"/>
      <c r="M397" s="30"/>
      <c r="N397" s="27"/>
      <c r="O397" s="30"/>
      <c r="P397" s="27"/>
      <c r="Q397" s="30"/>
      <c r="R397" s="27"/>
      <c r="S397" s="30"/>
      <c r="W397" s="1"/>
      <c r="Y397" s="2"/>
      <c r="Z397" s="2"/>
      <c r="AA397" s="2"/>
      <c r="AB397" s="2"/>
      <c r="AC397" s="4"/>
    </row>
    <row r="398" spans="1:29" ht="13.5" customHeight="1">
      <c r="A398" s="2"/>
      <c r="C398" s="3"/>
      <c r="D398" s="3"/>
      <c r="E398" s="3"/>
      <c r="F398" s="3"/>
      <c r="G398" s="3"/>
      <c r="H398" s="22"/>
      <c r="I398" s="22"/>
      <c r="J398" s="22"/>
      <c r="K398" s="22"/>
      <c r="L398" s="27"/>
      <c r="M398" s="30"/>
      <c r="N398" s="27"/>
      <c r="O398" s="30"/>
      <c r="P398" s="27"/>
      <c r="Q398" s="30"/>
      <c r="R398" s="27"/>
      <c r="S398" s="30"/>
      <c r="W398" s="1"/>
      <c r="Y398" s="2"/>
      <c r="Z398" s="2"/>
      <c r="AA398" s="2"/>
      <c r="AB398" s="2"/>
      <c r="AC398" s="4"/>
    </row>
    <row r="399" spans="1:29" ht="13.5" customHeight="1">
      <c r="A399" s="2"/>
      <c r="C399" s="3"/>
      <c r="D399" s="3"/>
      <c r="E399" s="3"/>
      <c r="F399" s="3"/>
      <c r="G399" s="3"/>
      <c r="H399" s="22"/>
      <c r="I399" s="22"/>
      <c r="J399" s="22"/>
      <c r="K399" s="22"/>
      <c r="L399" s="27"/>
      <c r="M399" s="30"/>
      <c r="N399" s="27"/>
      <c r="O399" s="30"/>
      <c r="P399" s="27"/>
      <c r="Q399" s="30"/>
      <c r="R399" s="27"/>
      <c r="S399" s="30"/>
      <c r="W399" s="1"/>
      <c r="Y399" s="2"/>
      <c r="Z399" s="2"/>
      <c r="AA399" s="2"/>
      <c r="AB399" s="2"/>
      <c r="AC399" s="4"/>
    </row>
    <row r="400" spans="1:29" ht="13.5" customHeight="1">
      <c r="A400" s="2"/>
      <c r="C400" s="3"/>
      <c r="D400" s="3"/>
      <c r="E400" s="3"/>
      <c r="F400" s="3"/>
      <c r="G400" s="3"/>
      <c r="H400" s="22"/>
      <c r="I400" s="22"/>
      <c r="J400" s="22"/>
      <c r="K400" s="22"/>
      <c r="L400" s="27"/>
      <c r="M400" s="30"/>
      <c r="N400" s="27"/>
      <c r="O400" s="30"/>
      <c r="P400" s="27"/>
      <c r="Q400" s="30"/>
      <c r="R400" s="27"/>
      <c r="S400" s="30"/>
      <c r="W400" s="1"/>
      <c r="Y400" s="2"/>
      <c r="Z400" s="2"/>
      <c r="AA400" s="2"/>
      <c r="AB400" s="2"/>
      <c r="AC400" s="4"/>
    </row>
    <row r="401" spans="1:29" ht="13.5" customHeight="1">
      <c r="A401" s="2"/>
      <c r="C401" s="3"/>
      <c r="D401" s="3"/>
      <c r="E401" s="3"/>
      <c r="F401" s="3"/>
      <c r="G401" s="3"/>
      <c r="H401" s="22"/>
      <c r="I401" s="22"/>
      <c r="J401" s="22"/>
      <c r="K401" s="22"/>
      <c r="L401" s="27"/>
      <c r="M401" s="30"/>
      <c r="N401" s="27"/>
      <c r="O401" s="30"/>
      <c r="P401" s="27"/>
      <c r="Q401" s="30"/>
      <c r="R401" s="27"/>
      <c r="S401" s="30"/>
      <c r="W401" s="1"/>
      <c r="Y401" s="2"/>
      <c r="Z401" s="2"/>
      <c r="AA401" s="2"/>
      <c r="AB401" s="2"/>
      <c r="AC401" s="4"/>
    </row>
    <row r="402" spans="1:29" ht="13.5" customHeight="1">
      <c r="A402" s="2"/>
      <c r="C402" s="3"/>
      <c r="D402" s="3"/>
      <c r="E402" s="3"/>
      <c r="F402" s="3"/>
      <c r="G402" s="3"/>
      <c r="H402" s="22"/>
      <c r="I402" s="22"/>
      <c r="J402" s="22"/>
      <c r="K402" s="22"/>
      <c r="L402" s="27"/>
      <c r="M402" s="30"/>
      <c r="N402" s="27"/>
      <c r="O402" s="30"/>
      <c r="P402" s="27"/>
      <c r="Q402" s="30"/>
      <c r="R402" s="27"/>
      <c r="S402" s="30"/>
      <c r="W402" s="1"/>
      <c r="Y402" s="2"/>
      <c r="Z402" s="2"/>
      <c r="AA402" s="2"/>
      <c r="AB402" s="2"/>
      <c r="AC402" s="4"/>
    </row>
    <row r="403" spans="1:29" ht="13.5" customHeight="1">
      <c r="A403" s="2"/>
      <c r="C403" s="3"/>
      <c r="D403" s="3"/>
      <c r="E403" s="3"/>
      <c r="F403" s="3"/>
      <c r="G403" s="3"/>
      <c r="H403" s="22"/>
      <c r="I403" s="22"/>
      <c r="J403" s="22"/>
      <c r="K403" s="22"/>
      <c r="L403" s="27"/>
      <c r="M403" s="30"/>
      <c r="N403" s="27"/>
      <c r="O403" s="30"/>
      <c r="P403" s="27"/>
      <c r="Q403" s="30"/>
      <c r="R403" s="27"/>
      <c r="S403" s="30"/>
      <c r="W403" s="1"/>
      <c r="Y403" s="2"/>
      <c r="Z403" s="2"/>
      <c r="AA403" s="2"/>
      <c r="AB403" s="2"/>
      <c r="AC403" s="4"/>
    </row>
    <row r="404" spans="1:29" ht="13.5" customHeight="1">
      <c r="A404" s="2"/>
      <c r="C404" s="3"/>
      <c r="D404" s="3"/>
      <c r="E404" s="3"/>
      <c r="F404" s="3"/>
      <c r="G404" s="3"/>
      <c r="H404" s="22"/>
      <c r="I404" s="22"/>
      <c r="J404" s="22"/>
      <c r="K404" s="22"/>
      <c r="L404" s="27"/>
      <c r="M404" s="30"/>
      <c r="N404" s="27"/>
      <c r="O404" s="30"/>
      <c r="P404" s="27"/>
      <c r="Q404" s="30"/>
      <c r="R404" s="27"/>
      <c r="S404" s="30"/>
      <c r="W404" s="1"/>
      <c r="Y404" s="2"/>
      <c r="Z404" s="2"/>
      <c r="AA404" s="2"/>
      <c r="AB404" s="2"/>
      <c r="AC404" s="4"/>
    </row>
    <row r="405" spans="1:29" ht="13.5" customHeight="1">
      <c r="A405" s="2"/>
      <c r="C405" s="3"/>
      <c r="D405" s="3"/>
      <c r="E405" s="3"/>
      <c r="F405" s="3"/>
      <c r="G405" s="3"/>
      <c r="H405" s="22"/>
      <c r="I405" s="22"/>
      <c r="J405" s="22"/>
      <c r="K405" s="22"/>
      <c r="L405" s="27"/>
      <c r="M405" s="30"/>
      <c r="N405" s="27"/>
      <c r="O405" s="30"/>
      <c r="P405" s="27"/>
      <c r="Q405" s="30"/>
      <c r="R405" s="27"/>
      <c r="S405" s="30"/>
      <c r="W405" s="1"/>
      <c r="Y405" s="2"/>
      <c r="Z405" s="2"/>
      <c r="AA405" s="2"/>
      <c r="AB405" s="2"/>
      <c r="AC405" s="4"/>
    </row>
    <row r="406" spans="1:29" ht="13.5" customHeight="1">
      <c r="A406" s="2"/>
      <c r="C406" s="3"/>
      <c r="D406" s="3"/>
      <c r="E406" s="3"/>
      <c r="F406" s="3"/>
      <c r="G406" s="3"/>
      <c r="H406" s="22"/>
      <c r="I406" s="22"/>
      <c r="J406" s="22"/>
      <c r="K406" s="22"/>
      <c r="L406" s="27"/>
      <c r="M406" s="30"/>
      <c r="N406" s="27"/>
      <c r="O406" s="30"/>
      <c r="P406" s="27"/>
      <c r="Q406" s="30"/>
      <c r="R406" s="27"/>
      <c r="S406" s="30"/>
      <c r="W406" s="1"/>
      <c r="Y406" s="2"/>
      <c r="Z406" s="2"/>
      <c r="AA406" s="2"/>
      <c r="AB406" s="2"/>
      <c r="AC406" s="4"/>
    </row>
    <row r="407" spans="1:29" ht="13.5" customHeight="1">
      <c r="A407" s="2"/>
      <c r="C407" s="3"/>
      <c r="D407" s="3"/>
      <c r="E407" s="3"/>
      <c r="F407" s="3"/>
      <c r="G407" s="3"/>
      <c r="H407" s="22"/>
      <c r="I407" s="22"/>
      <c r="J407" s="22"/>
      <c r="K407" s="22"/>
      <c r="L407" s="27"/>
      <c r="M407" s="30"/>
      <c r="N407" s="27"/>
      <c r="O407" s="30"/>
      <c r="P407" s="27"/>
      <c r="Q407" s="30"/>
      <c r="R407" s="27"/>
      <c r="S407" s="30"/>
      <c r="W407" s="1"/>
      <c r="Y407" s="2"/>
      <c r="Z407" s="2"/>
      <c r="AA407" s="2"/>
      <c r="AB407" s="2"/>
      <c r="AC407" s="4"/>
    </row>
    <row r="408" spans="1:29" ht="13.5" customHeight="1">
      <c r="A408" s="2"/>
      <c r="C408" s="3"/>
      <c r="D408" s="3"/>
      <c r="E408" s="3"/>
      <c r="F408" s="3"/>
      <c r="G408" s="3"/>
      <c r="H408" s="22"/>
      <c r="I408" s="22"/>
      <c r="J408" s="22"/>
      <c r="K408" s="22"/>
      <c r="L408" s="27"/>
      <c r="M408" s="30"/>
      <c r="N408" s="27"/>
      <c r="O408" s="30"/>
      <c r="P408" s="27"/>
      <c r="Q408" s="30"/>
      <c r="R408" s="27"/>
      <c r="S408" s="30"/>
      <c r="W408" s="1"/>
      <c r="Y408" s="2"/>
      <c r="Z408" s="2"/>
      <c r="AA408" s="2"/>
      <c r="AB408" s="2"/>
      <c r="AC408" s="4"/>
    </row>
    <row r="409" spans="1:29" ht="13.5" customHeight="1">
      <c r="A409" s="2"/>
      <c r="C409" s="3"/>
      <c r="D409" s="3"/>
      <c r="E409" s="3"/>
      <c r="F409" s="3"/>
      <c r="G409" s="3"/>
      <c r="H409" s="22"/>
      <c r="I409" s="22"/>
      <c r="J409" s="22"/>
      <c r="K409" s="22"/>
      <c r="L409" s="27"/>
      <c r="M409" s="30"/>
      <c r="N409" s="27"/>
      <c r="O409" s="30"/>
      <c r="P409" s="27"/>
      <c r="Q409" s="30"/>
      <c r="R409" s="27"/>
      <c r="S409" s="30"/>
      <c r="W409" s="1"/>
      <c r="Y409" s="2"/>
      <c r="Z409" s="2"/>
      <c r="AA409" s="2"/>
      <c r="AB409" s="2"/>
      <c r="AC409" s="4"/>
    </row>
    <row r="410" spans="1:29" ht="13.5" customHeight="1">
      <c r="A410" s="2"/>
      <c r="C410" s="3"/>
      <c r="D410" s="3"/>
      <c r="E410" s="3"/>
      <c r="F410" s="3"/>
      <c r="G410" s="3"/>
      <c r="H410" s="22"/>
      <c r="I410" s="22"/>
      <c r="J410" s="22"/>
      <c r="K410" s="22"/>
      <c r="L410" s="27"/>
      <c r="M410" s="30"/>
      <c r="N410" s="27"/>
      <c r="O410" s="30"/>
      <c r="P410" s="27"/>
      <c r="Q410" s="30"/>
      <c r="R410" s="27"/>
      <c r="S410" s="30"/>
      <c r="W410" s="1"/>
      <c r="Y410" s="2"/>
      <c r="Z410" s="2"/>
      <c r="AA410" s="2"/>
      <c r="AB410" s="2"/>
      <c r="AC410" s="4"/>
    </row>
    <row r="411" spans="1:29" ht="13.5" customHeight="1">
      <c r="A411" s="2"/>
      <c r="C411" s="3"/>
      <c r="D411" s="3"/>
      <c r="E411" s="3"/>
      <c r="F411" s="3"/>
      <c r="G411" s="3"/>
      <c r="H411" s="22"/>
      <c r="I411" s="22"/>
      <c r="J411" s="22"/>
      <c r="K411" s="22"/>
      <c r="L411" s="27"/>
      <c r="M411" s="30"/>
      <c r="N411" s="27"/>
      <c r="O411" s="30"/>
      <c r="P411" s="27"/>
      <c r="Q411" s="30"/>
      <c r="R411" s="27"/>
      <c r="S411" s="30"/>
      <c r="W411" s="1"/>
      <c r="Y411" s="2"/>
      <c r="Z411" s="2"/>
      <c r="AA411" s="2"/>
      <c r="AB411" s="2"/>
      <c r="AC411" s="4"/>
    </row>
    <row r="412" spans="1:29" ht="13.5" customHeight="1">
      <c r="A412" s="2"/>
      <c r="C412" s="3"/>
      <c r="D412" s="3"/>
      <c r="E412" s="3"/>
      <c r="F412" s="3"/>
      <c r="G412" s="3"/>
      <c r="H412" s="22"/>
      <c r="I412" s="22"/>
      <c r="J412" s="22"/>
      <c r="K412" s="22"/>
      <c r="L412" s="27"/>
      <c r="M412" s="30"/>
      <c r="N412" s="27"/>
      <c r="O412" s="30"/>
      <c r="P412" s="27"/>
      <c r="Q412" s="30"/>
      <c r="R412" s="27"/>
      <c r="S412" s="30"/>
      <c r="W412" s="1"/>
      <c r="Y412" s="2"/>
      <c r="Z412" s="2"/>
      <c r="AA412" s="2"/>
      <c r="AB412" s="2"/>
      <c r="AC412" s="4"/>
    </row>
    <row r="413" spans="1:29" ht="13.5" customHeight="1">
      <c r="A413" s="2"/>
      <c r="C413" s="3"/>
      <c r="D413" s="3"/>
      <c r="E413" s="3"/>
      <c r="F413" s="3"/>
      <c r="G413" s="3"/>
      <c r="H413" s="22"/>
      <c r="I413" s="22"/>
      <c r="J413" s="22"/>
      <c r="K413" s="22"/>
      <c r="L413" s="27"/>
      <c r="M413" s="30"/>
      <c r="N413" s="27"/>
      <c r="O413" s="30"/>
      <c r="P413" s="27"/>
      <c r="Q413" s="30"/>
      <c r="R413" s="27"/>
      <c r="S413" s="30"/>
      <c r="W413" s="1"/>
      <c r="Y413" s="2"/>
      <c r="Z413" s="2"/>
      <c r="AA413" s="2"/>
      <c r="AB413" s="2"/>
      <c r="AC413" s="4"/>
    </row>
    <row r="414" spans="1:29" ht="13.5" customHeight="1">
      <c r="A414" s="2"/>
      <c r="C414" s="3"/>
      <c r="D414" s="3"/>
      <c r="E414" s="3"/>
      <c r="F414" s="3"/>
      <c r="G414" s="3"/>
      <c r="H414" s="22"/>
      <c r="I414" s="22"/>
      <c r="J414" s="22"/>
      <c r="K414" s="22"/>
      <c r="L414" s="27"/>
      <c r="M414" s="30"/>
      <c r="N414" s="27"/>
      <c r="O414" s="30"/>
      <c r="P414" s="27"/>
      <c r="Q414" s="30"/>
      <c r="R414" s="27"/>
      <c r="S414" s="30"/>
      <c r="W414" s="1"/>
      <c r="Y414" s="2"/>
      <c r="Z414" s="2"/>
      <c r="AA414" s="2"/>
      <c r="AB414" s="2"/>
      <c r="AC414" s="4"/>
    </row>
    <row r="415" spans="1:29" ht="13.5" customHeight="1">
      <c r="A415" s="2"/>
      <c r="C415" s="3"/>
      <c r="D415" s="3"/>
      <c r="E415" s="3"/>
      <c r="F415" s="3"/>
      <c r="G415" s="3"/>
      <c r="H415" s="22"/>
      <c r="I415" s="22"/>
      <c r="J415" s="22"/>
      <c r="K415" s="22"/>
      <c r="L415" s="27"/>
      <c r="M415" s="30"/>
      <c r="N415" s="27"/>
      <c r="O415" s="30"/>
      <c r="P415" s="27"/>
      <c r="Q415" s="30"/>
      <c r="R415" s="27"/>
      <c r="S415" s="30"/>
      <c r="W415" s="1"/>
      <c r="Y415" s="2"/>
      <c r="Z415" s="2"/>
      <c r="AA415" s="2"/>
      <c r="AB415" s="2"/>
      <c r="AC415" s="4"/>
    </row>
    <row r="416" spans="1:29" ht="13.5" customHeight="1">
      <c r="A416" s="2"/>
      <c r="C416" s="3"/>
      <c r="D416" s="3"/>
      <c r="E416" s="3"/>
      <c r="F416" s="3"/>
      <c r="G416" s="3"/>
      <c r="H416" s="22"/>
      <c r="I416" s="22"/>
      <c r="J416" s="22"/>
      <c r="K416" s="22"/>
      <c r="L416" s="27"/>
      <c r="M416" s="30"/>
      <c r="N416" s="27"/>
      <c r="O416" s="30"/>
      <c r="P416" s="27"/>
      <c r="Q416" s="30"/>
      <c r="R416" s="27"/>
      <c r="S416" s="30"/>
      <c r="W416" s="1"/>
      <c r="Y416" s="2"/>
      <c r="Z416" s="2"/>
      <c r="AA416" s="2"/>
      <c r="AB416" s="2"/>
      <c r="AC416" s="4"/>
    </row>
    <row r="417" spans="1:29" ht="13.5" customHeight="1">
      <c r="A417" s="2"/>
      <c r="C417" s="3"/>
      <c r="D417" s="3"/>
      <c r="E417" s="3"/>
      <c r="F417" s="3"/>
      <c r="G417" s="3"/>
      <c r="H417" s="22"/>
      <c r="I417" s="22"/>
      <c r="J417" s="22"/>
      <c r="K417" s="22"/>
      <c r="L417" s="27"/>
      <c r="M417" s="30"/>
      <c r="N417" s="27"/>
      <c r="O417" s="30"/>
      <c r="P417" s="27"/>
      <c r="Q417" s="30"/>
      <c r="R417" s="27"/>
      <c r="S417" s="30"/>
      <c r="W417" s="1"/>
      <c r="Y417" s="2"/>
      <c r="Z417" s="2"/>
      <c r="AA417" s="2"/>
      <c r="AB417" s="2"/>
      <c r="AC417" s="4"/>
    </row>
    <row r="418" spans="1:29" ht="13.5" customHeight="1">
      <c r="A418" s="2"/>
      <c r="C418" s="3"/>
      <c r="D418" s="3"/>
      <c r="E418" s="3"/>
      <c r="F418" s="3"/>
      <c r="G418" s="3"/>
      <c r="H418" s="22"/>
      <c r="I418" s="22"/>
      <c r="J418" s="22"/>
      <c r="K418" s="22"/>
      <c r="L418" s="27"/>
      <c r="M418" s="30"/>
      <c r="N418" s="27"/>
      <c r="O418" s="30"/>
      <c r="P418" s="27"/>
      <c r="Q418" s="30"/>
      <c r="R418" s="27"/>
      <c r="S418" s="30"/>
      <c r="W418" s="1"/>
      <c r="Y418" s="2"/>
      <c r="Z418" s="2"/>
      <c r="AA418" s="2"/>
      <c r="AB418" s="2"/>
      <c r="AC418" s="4"/>
    </row>
    <row r="419" spans="1:29" ht="13.5" customHeight="1">
      <c r="A419" s="2"/>
      <c r="C419" s="3"/>
      <c r="D419" s="3"/>
      <c r="E419" s="3"/>
      <c r="F419" s="3"/>
      <c r="G419" s="3"/>
      <c r="H419" s="22"/>
      <c r="I419" s="22"/>
      <c r="J419" s="22"/>
      <c r="K419" s="22"/>
      <c r="L419" s="27"/>
      <c r="M419" s="30"/>
      <c r="N419" s="27"/>
      <c r="O419" s="30"/>
      <c r="P419" s="27"/>
      <c r="Q419" s="30"/>
      <c r="R419" s="27"/>
      <c r="S419" s="30"/>
      <c r="W419" s="1"/>
      <c r="Y419" s="2"/>
      <c r="Z419" s="2"/>
      <c r="AA419" s="2"/>
      <c r="AB419" s="2"/>
      <c r="AC419" s="4"/>
    </row>
    <row r="420" spans="1:29" ht="13.5" customHeight="1">
      <c r="A420" s="2"/>
      <c r="C420" s="3"/>
      <c r="D420" s="3"/>
      <c r="E420" s="3"/>
      <c r="F420" s="3"/>
      <c r="G420" s="3"/>
      <c r="H420" s="22"/>
      <c r="I420" s="22"/>
      <c r="J420" s="22"/>
      <c r="K420" s="22"/>
      <c r="L420" s="27"/>
      <c r="M420" s="30"/>
      <c r="N420" s="27"/>
      <c r="O420" s="30"/>
      <c r="P420" s="27"/>
      <c r="Q420" s="30"/>
      <c r="R420" s="27"/>
      <c r="S420" s="30"/>
      <c r="W420" s="1"/>
      <c r="Y420" s="2"/>
      <c r="Z420" s="2"/>
      <c r="AA420" s="2"/>
      <c r="AB420" s="2"/>
      <c r="AC420" s="4"/>
    </row>
    <row r="421" spans="1:29" ht="13.5" customHeight="1">
      <c r="A421" s="2"/>
      <c r="C421" s="3"/>
      <c r="D421" s="3"/>
      <c r="E421" s="3"/>
      <c r="F421" s="3"/>
      <c r="G421" s="3"/>
      <c r="H421" s="22"/>
      <c r="I421" s="22"/>
      <c r="J421" s="22"/>
      <c r="K421" s="22"/>
      <c r="L421" s="27"/>
      <c r="M421" s="30"/>
      <c r="N421" s="27"/>
      <c r="O421" s="30"/>
      <c r="P421" s="27"/>
      <c r="Q421" s="30"/>
      <c r="R421" s="27"/>
      <c r="S421" s="30"/>
      <c r="W421" s="1"/>
      <c r="Y421" s="2"/>
      <c r="Z421" s="2"/>
      <c r="AA421" s="2"/>
      <c r="AB421" s="2"/>
      <c r="AC421" s="4"/>
    </row>
    <row r="422" spans="1:29" ht="13.5" customHeight="1">
      <c r="A422" s="2"/>
      <c r="C422" s="3"/>
      <c r="D422" s="3"/>
      <c r="E422" s="3"/>
      <c r="F422" s="3"/>
      <c r="G422" s="3"/>
      <c r="H422" s="22"/>
      <c r="I422" s="22"/>
      <c r="J422" s="22"/>
      <c r="K422" s="22"/>
      <c r="L422" s="27"/>
      <c r="M422" s="30"/>
      <c r="N422" s="27"/>
      <c r="O422" s="30"/>
      <c r="P422" s="27"/>
      <c r="Q422" s="30"/>
      <c r="R422" s="27"/>
      <c r="S422" s="30"/>
      <c r="W422" s="1"/>
      <c r="Y422" s="2"/>
      <c r="Z422" s="2"/>
      <c r="AA422" s="2"/>
      <c r="AB422" s="2"/>
      <c r="AC422" s="4"/>
    </row>
    <row r="423" spans="1:29" ht="13.5" customHeight="1">
      <c r="A423" s="2"/>
      <c r="C423" s="3"/>
      <c r="D423" s="3"/>
      <c r="E423" s="3"/>
      <c r="F423" s="3"/>
      <c r="G423" s="3"/>
      <c r="H423" s="22"/>
      <c r="I423" s="22"/>
      <c r="J423" s="22"/>
      <c r="K423" s="22"/>
      <c r="L423" s="27"/>
      <c r="M423" s="30"/>
      <c r="N423" s="27"/>
      <c r="O423" s="30"/>
      <c r="P423" s="27"/>
      <c r="Q423" s="30"/>
      <c r="R423" s="27"/>
      <c r="S423" s="30"/>
      <c r="W423" s="1"/>
      <c r="Y423" s="2"/>
      <c r="Z423" s="2"/>
      <c r="AA423" s="2"/>
      <c r="AB423" s="2"/>
      <c r="AC423" s="4"/>
    </row>
    <row r="424" spans="1:29" ht="13.5" customHeight="1">
      <c r="A424" s="2"/>
      <c r="C424" s="3"/>
      <c r="D424" s="3"/>
      <c r="E424" s="3"/>
      <c r="F424" s="3"/>
      <c r="G424" s="3"/>
      <c r="H424" s="22"/>
      <c r="I424" s="22"/>
      <c r="J424" s="22"/>
      <c r="K424" s="22"/>
      <c r="L424" s="27"/>
      <c r="M424" s="30"/>
      <c r="N424" s="27"/>
      <c r="O424" s="30"/>
      <c r="P424" s="27"/>
      <c r="Q424" s="30"/>
      <c r="R424" s="27"/>
      <c r="S424" s="30"/>
      <c r="W424" s="1"/>
      <c r="Y424" s="2"/>
      <c r="Z424" s="2"/>
      <c r="AA424" s="2"/>
      <c r="AB424" s="2"/>
      <c r="AC424" s="4"/>
    </row>
    <row r="425" spans="1:29" ht="13.5" customHeight="1">
      <c r="A425" s="2"/>
      <c r="C425" s="3"/>
      <c r="D425" s="3"/>
      <c r="E425" s="3"/>
      <c r="F425" s="3"/>
      <c r="G425" s="3"/>
      <c r="H425" s="22"/>
      <c r="I425" s="22"/>
      <c r="J425" s="22"/>
      <c r="K425" s="22"/>
      <c r="L425" s="27"/>
      <c r="M425" s="30"/>
      <c r="N425" s="27"/>
      <c r="O425" s="30"/>
      <c r="P425" s="27"/>
      <c r="Q425" s="30"/>
      <c r="R425" s="27"/>
      <c r="S425" s="30"/>
      <c r="W425" s="1"/>
      <c r="Y425" s="2"/>
      <c r="Z425" s="2"/>
      <c r="AA425" s="2"/>
      <c r="AB425" s="2"/>
      <c r="AC425" s="4"/>
    </row>
    <row r="426" spans="1:29" ht="13.5" customHeight="1">
      <c r="A426" s="2"/>
      <c r="C426" s="3"/>
      <c r="D426" s="3"/>
      <c r="E426" s="3"/>
      <c r="F426" s="3"/>
      <c r="G426" s="3"/>
      <c r="H426" s="22"/>
      <c r="I426" s="22"/>
      <c r="J426" s="22"/>
      <c r="K426" s="22"/>
      <c r="L426" s="27"/>
      <c r="M426" s="30"/>
      <c r="N426" s="27"/>
      <c r="O426" s="30"/>
      <c r="P426" s="27"/>
      <c r="Q426" s="30"/>
      <c r="R426" s="27"/>
      <c r="S426" s="30"/>
      <c r="W426" s="1"/>
      <c r="Y426" s="2"/>
      <c r="Z426" s="2"/>
      <c r="AA426" s="2"/>
      <c r="AB426" s="2"/>
      <c r="AC426" s="4"/>
    </row>
    <row r="427" spans="1:29" ht="13.5" customHeight="1">
      <c r="A427" s="2"/>
      <c r="C427" s="3"/>
      <c r="D427" s="3"/>
      <c r="E427" s="3"/>
      <c r="F427" s="3"/>
      <c r="G427" s="3"/>
      <c r="H427" s="22"/>
      <c r="I427" s="22"/>
      <c r="J427" s="22"/>
      <c r="K427" s="22"/>
      <c r="L427" s="27"/>
      <c r="M427" s="30"/>
      <c r="N427" s="27"/>
      <c r="O427" s="30"/>
      <c r="P427" s="27"/>
      <c r="Q427" s="30"/>
      <c r="R427" s="27"/>
      <c r="S427" s="30"/>
      <c r="W427" s="1"/>
      <c r="Y427" s="2"/>
      <c r="Z427" s="2"/>
      <c r="AA427" s="2"/>
      <c r="AB427" s="2"/>
      <c r="AC427" s="4"/>
    </row>
    <row r="428" spans="1:29" ht="13.5" customHeight="1">
      <c r="A428" s="2"/>
      <c r="C428" s="3"/>
      <c r="D428" s="3"/>
      <c r="E428" s="3"/>
      <c r="F428" s="3"/>
      <c r="G428" s="3"/>
      <c r="H428" s="22"/>
      <c r="I428" s="22"/>
      <c r="J428" s="22"/>
      <c r="K428" s="22"/>
      <c r="L428" s="27"/>
      <c r="M428" s="30"/>
      <c r="N428" s="27"/>
      <c r="O428" s="30"/>
      <c r="P428" s="27"/>
      <c r="Q428" s="30"/>
      <c r="R428" s="27"/>
      <c r="S428" s="30"/>
      <c r="W428" s="1"/>
      <c r="Y428" s="2"/>
      <c r="Z428" s="2"/>
      <c r="AA428" s="2"/>
      <c r="AB428" s="2"/>
      <c r="AC428" s="4"/>
    </row>
    <row r="429" spans="1:29" ht="13.5" customHeight="1">
      <c r="A429" s="2"/>
      <c r="C429" s="3"/>
      <c r="D429" s="3"/>
      <c r="E429" s="3"/>
      <c r="F429" s="3"/>
      <c r="G429" s="3"/>
      <c r="H429" s="22"/>
      <c r="I429" s="22"/>
      <c r="J429" s="22"/>
      <c r="K429" s="22"/>
      <c r="L429" s="27"/>
      <c r="M429" s="30"/>
      <c r="N429" s="27"/>
      <c r="O429" s="30"/>
      <c r="P429" s="27"/>
      <c r="Q429" s="30"/>
      <c r="R429" s="27"/>
      <c r="S429" s="30"/>
      <c r="W429" s="1"/>
      <c r="Y429" s="2"/>
      <c r="Z429" s="2"/>
      <c r="AA429" s="2"/>
      <c r="AB429" s="2"/>
      <c r="AC429" s="4"/>
    </row>
    <row r="430" spans="1:29" ht="13.5" customHeight="1">
      <c r="A430" s="2"/>
      <c r="C430" s="3"/>
      <c r="D430" s="3"/>
      <c r="E430" s="3"/>
      <c r="F430" s="3"/>
      <c r="G430" s="3"/>
      <c r="H430" s="22"/>
      <c r="I430" s="22"/>
      <c r="J430" s="22"/>
      <c r="K430" s="22"/>
      <c r="L430" s="27"/>
      <c r="M430" s="30"/>
      <c r="N430" s="27"/>
      <c r="O430" s="30"/>
      <c r="P430" s="27"/>
      <c r="Q430" s="30"/>
      <c r="R430" s="27"/>
      <c r="S430" s="30"/>
      <c r="W430" s="1"/>
      <c r="Y430" s="2"/>
      <c r="Z430" s="2"/>
      <c r="AA430" s="2"/>
      <c r="AB430" s="2"/>
      <c r="AC430" s="4"/>
    </row>
    <row r="431" spans="1:29" ht="13.5" customHeight="1">
      <c r="A431" s="2"/>
      <c r="C431" s="3"/>
      <c r="D431" s="3"/>
      <c r="E431" s="3"/>
      <c r="F431" s="3"/>
      <c r="G431" s="3"/>
      <c r="H431" s="22"/>
      <c r="I431" s="22"/>
      <c r="J431" s="22"/>
      <c r="K431" s="22"/>
      <c r="L431" s="27"/>
      <c r="M431" s="30"/>
      <c r="N431" s="27"/>
      <c r="O431" s="30"/>
      <c r="P431" s="27"/>
      <c r="Q431" s="30"/>
      <c r="R431" s="27"/>
      <c r="S431" s="30"/>
      <c r="W431" s="1"/>
      <c r="Y431" s="2"/>
      <c r="Z431" s="2"/>
      <c r="AA431" s="2"/>
      <c r="AB431" s="2"/>
      <c r="AC431" s="4"/>
    </row>
    <row r="432" spans="1:29" ht="13.5" customHeight="1">
      <c r="A432" s="2"/>
      <c r="C432" s="3"/>
      <c r="D432" s="3"/>
      <c r="E432" s="3"/>
      <c r="F432" s="3"/>
      <c r="G432" s="3"/>
      <c r="H432" s="22"/>
      <c r="I432" s="22"/>
      <c r="J432" s="22"/>
      <c r="K432" s="22"/>
      <c r="L432" s="27"/>
      <c r="M432" s="30"/>
      <c r="N432" s="27"/>
      <c r="O432" s="30"/>
      <c r="P432" s="27"/>
      <c r="Q432" s="30"/>
      <c r="R432" s="27"/>
      <c r="S432" s="30"/>
      <c r="W432" s="1"/>
      <c r="Y432" s="2"/>
      <c r="Z432" s="2"/>
      <c r="AA432" s="2"/>
      <c r="AB432" s="2"/>
      <c r="AC432" s="4"/>
    </row>
    <row r="433" spans="1:29" ht="13.5" customHeight="1">
      <c r="A433" s="2"/>
      <c r="C433" s="3"/>
      <c r="D433" s="3"/>
      <c r="E433" s="3"/>
      <c r="F433" s="3"/>
      <c r="G433" s="3"/>
      <c r="H433" s="22"/>
      <c r="I433" s="22"/>
      <c r="J433" s="22"/>
      <c r="K433" s="22"/>
      <c r="L433" s="27"/>
      <c r="M433" s="30"/>
      <c r="N433" s="27"/>
      <c r="O433" s="30"/>
      <c r="P433" s="27"/>
      <c r="Q433" s="30"/>
      <c r="R433" s="27"/>
      <c r="S433" s="30"/>
      <c r="W433" s="1"/>
      <c r="Y433" s="2"/>
      <c r="Z433" s="2"/>
      <c r="AA433" s="2"/>
      <c r="AB433" s="2"/>
      <c r="AC433" s="4"/>
    </row>
    <row r="434" spans="1:29" ht="13.5" customHeight="1">
      <c r="A434" s="2"/>
      <c r="C434" s="3"/>
      <c r="D434" s="3"/>
      <c r="E434" s="3"/>
      <c r="F434" s="3"/>
      <c r="G434" s="3"/>
      <c r="H434" s="22"/>
      <c r="I434" s="22"/>
      <c r="J434" s="22"/>
      <c r="K434" s="22"/>
      <c r="L434" s="27"/>
      <c r="M434" s="30"/>
      <c r="N434" s="27"/>
      <c r="O434" s="30"/>
      <c r="P434" s="27"/>
      <c r="Q434" s="30"/>
      <c r="R434" s="27"/>
      <c r="S434" s="30"/>
      <c r="W434" s="1"/>
      <c r="Y434" s="2"/>
      <c r="Z434" s="2"/>
      <c r="AA434" s="2"/>
      <c r="AB434" s="2"/>
      <c r="AC434" s="4"/>
    </row>
    <row r="435" spans="1:29" ht="13.5" customHeight="1">
      <c r="A435" s="2"/>
      <c r="C435" s="3"/>
      <c r="D435" s="3"/>
      <c r="E435" s="3"/>
      <c r="F435" s="3"/>
      <c r="G435" s="3"/>
      <c r="H435" s="22"/>
      <c r="I435" s="22"/>
      <c r="J435" s="22"/>
      <c r="K435" s="22"/>
      <c r="L435" s="27"/>
      <c r="M435" s="30"/>
      <c r="N435" s="27"/>
      <c r="O435" s="30"/>
      <c r="P435" s="27"/>
      <c r="Q435" s="30"/>
      <c r="R435" s="27"/>
      <c r="S435" s="30"/>
      <c r="W435" s="1"/>
      <c r="Y435" s="2"/>
      <c r="Z435" s="2"/>
      <c r="AA435" s="2"/>
      <c r="AB435" s="2"/>
      <c r="AC435" s="4"/>
    </row>
    <row r="436" spans="1:29" ht="13.5" customHeight="1">
      <c r="A436" s="2"/>
      <c r="C436" s="3"/>
      <c r="D436" s="3"/>
      <c r="E436" s="3"/>
      <c r="F436" s="3"/>
      <c r="G436" s="3"/>
      <c r="H436" s="22"/>
      <c r="I436" s="22"/>
      <c r="J436" s="22"/>
      <c r="K436" s="22"/>
      <c r="L436" s="27"/>
      <c r="M436" s="30"/>
      <c r="N436" s="27"/>
      <c r="O436" s="30"/>
      <c r="P436" s="27"/>
      <c r="Q436" s="30"/>
      <c r="R436" s="27"/>
      <c r="S436" s="30"/>
      <c r="W436" s="1"/>
      <c r="Y436" s="2"/>
      <c r="Z436" s="2"/>
      <c r="AA436" s="2"/>
      <c r="AB436" s="2"/>
      <c r="AC436" s="4"/>
    </row>
    <row r="437" spans="1:29" ht="13.5" customHeight="1">
      <c r="A437" s="2"/>
      <c r="C437" s="3"/>
      <c r="D437" s="3"/>
      <c r="E437" s="3"/>
      <c r="F437" s="3"/>
      <c r="G437" s="3"/>
      <c r="H437" s="22"/>
      <c r="I437" s="22"/>
      <c r="J437" s="22"/>
      <c r="K437" s="22"/>
      <c r="L437" s="27"/>
      <c r="M437" s="30"/>
      <c r="N437" s="27"/>
      <c r="O437" s="30"/>
      <c r="P437" s="27"/>
      <c r="Q437" s="30"/>
      <c r="R437" s="27"/>
      <c r="S437" s="30"/>
      <c r="W437" s="1"/>
      <c r="Y437" s="2"/>
      <c r="Z437" s="2"/>
      <c r="AA437" s="2"/>
      <c r="AB437" s="2"/>
      <c r="AC437" s="4"/>
    </row>
    <row r="438" spans="1:29" ht="13.5" customHeight="1">
      <c r="A438" s="2"/>
      <c r="C438" s="3"/>
      <c r="D438" s="3"/>
      <c r="E438" s="3"/>
      <c r="F438" s="3"/>
      <c r="G438" s="3"/>
      <c r="H438" s="22"/>
      <c r="I438" s="22"/>
      <c r="J438" s="22"/>
      <c r="K438" s="22"/>
      <c r="L438" s="27"/>
      <c r="M438" s="30"/>
      <c r="N438" s="27"/>
      <c r="O438" s="30"/>
      <c r="P438" s="27"/>
      <c r="Q438" s="30"/>
      <c r="R438" s="27"/>
      <c r="S438" s="30"/>
      <c r="W438" s="1"/>
      <c r="Y438" s="2"/>
      <c r="Z438" s="2"/>
      <c r="AA438" s="2"/>
      <c r="AB438" s="2"/>
      <c r="AC438" s="4"/>
    </row>
    <row r="439" spans="1:29" ht="13.5" customHeight="1">
      <c r="A439" s="2"/>
      <c r="C439" s="3"/>
      <c r="D439" s="3"/>
      <c r="E439" s="3"/>
      <c r="F439" s="3"/>
      <c r="G439" s="3"/>
      <c r="H439" s="22"/>
      <c r="I439" s="22"/>
      <c r="J439" s="22"/>
      <c r="K439" s="22"/>
      <c r="L439" s="27"/>
      <c r="M439" s="30"/>
      <c r="N439" s="27"/>
      <c r="O439" s="30"/>
      <c r="P439" s="27"/>
      <c r="Q439" s="30"/>
      <c r="R439" s="27"/>
      <c r="S439" s="30"/>
      <c r="W439" s="1"/>
      <c r="Y439" s="2"/>
      <c r="Z439" s="2"/>
      <c r="AA439" s="2"/>
      <c r="AB439" s="2"/>
      <c r="AC439" s="4"/>
    </row>
    <row r="440" spans="1:29" ht="13.5" customHeight="1">
      <c r="A440" s="2"/>
      <c r="C440" s="3"/>
      <c r="D440" s="3"/>
      <c r="E440" s="3"/>
      <c r="F440" s="3"/>
      <c r="G440" s="3"/>
      <c r="H440" s="22"/>
      <c r="I440" s="22"/>
      <c r="J440" s="22"/>
      <c r="K440" s="22"/>
      <c r="L440" s="27"/>
      <c r="M440" s="30"/>
      <c r="N440" s="27"/>
      <c r="O440" s="30"/>
      <c r="P440" s="27"/>
      <c r="Q440" s="30"/>
      <c r="R440" s="27"/>
      <c r="S440" s="30"/>
      <c r="W440" s="1"/>
      <c r="Y440" s="2"/>
      <c r="Z440" s="2"/>
      <c r="AA440" s="2"/>
      <c r="AB440" s="2"/>
      <c r="AC440" s="4"/>
    </row>
    <row r="441" spans="1:29" ht="13.5" customHeight="1">
      <c r="A441" s="2"/>
      <c r="C441" s="3"/>
      <c r="D441" s="3"/>
      <c r="E441" s="3"/>
      <c r="F441" s="3"/>
      <c r="G441" s="3"/>
      <c r="H441" s="22"/>
      <c r="I441" s="22"/>
      <c r="J441" s="22"/>
      <c r="K441" s="22"/>
      <c r="L441" s="27"/>
      <c r="M441" s="30"/>
      <c r="N441" s="27"/>
      <c r="O441" s="30"/>
      <c r="P441" s="27"/>
      <c r="Q441" s="30"/>
      <c r="R441" s="27"/>
      <c r="S441" s="30"/>
      <c r="W441" s="1"/>
      <c r="Y441" s="2"/>
      <c r="Z441" s="2"/>
      <c r="AA441" s="2"/>
      <c r="AB441" s="2"/>
      <c r="AC441" s="4"/>
    </row>
    <row r="442" spans="1:29" ht="13.5" customHeight="1">
      <c r="A442" s="2"/>
      <c r="C442" s="3"/>
      <c r="D442" s="3"/>
      <c r="E442" s="3"/>
      <c r="F442" s="3"/>
      <c r="G442" s="3"/>
      <c r="H442" s="22"/>
      <c r="I442" s="22"/>
      <c r="J442" s="22"/>
      <c r="K442" s="22"/>
      <c r="L442" s="27"/>
      <c r="M442" s="30"/>
      <c r="N442" s="27"/>
      <c r="O442" s="30"/>
      <c r="P442" s="27"/>
      <c r="Q442" s="30"/>
      <c r="R442" s="27"/>
      <c r="S442" s="30"/>
      <c r="W442" s="1"/>
      <c r="Y442" s="2"/>
      <c r="Z442" s="2"/>
      <c r="AA442" s="2"/>
      <c r="AB442" s="2"/>
      <c r="AC442" s="4"/>
    </row>
    <row r="443" spans="1:29" ht="13.5" customHeight="1">
      <c r="A443" s="2"/>
      <c r="C443" s="3"/>
      <c r="D443" s="3"/>
      <c r="E443" s="3"/>
      <c r="F443" s="3"/>
      <c r="G443" s="3"/>
      <c r="H443" s="22"/>
      <c r="I443" s="22"/>
      <c r="J443" s="22"/>
      <c r="K443" s="22"/>
      <c r="L443" s="27"/>
      <c r="M443" s="30"/>
      <c r="N443" s="27"/>
      <c r="O443" s="30"/>
      <c r="P443" s="27"/>
      <c r="Q443" s="30"/>
      <c r="R443" s="27"/>
      <c r="S443" s="30"/>
      <c r="W443" s="1"/>
      <c r="Y443" s="2"/>
      <c r="Z443" s="2"/>
      <c r="AA443" s="2"/>
      <c r="AB443" s="2"/>
      <c r="AC443" s="4"/>
    </row>
    <row r="444" spans="1:29" ht="13.5" customHeight="1">
      <c r="A444" s="2"/>
      <c r="C444" s="3"/>
      <c r="D444" s="3"/>
      <c r="E444" s="3"/>
      <c r="F444" s="3"/>
      <c r="G444" s="3"/>
      <c r="H444" s="22"/>
      <c r="I444" s="22"/>
      <c r="J444" s="22"/>
      <c r="K444" s="22"/>
      <c r="L444" s="27"/>
      <c r="M444" s="30"/>
      <c r="N444" s="27"/>
      <c r="O444" s="30"/>
      <c r="P444" s="27"/>
      <c r="Q444" s="30"/>
      <c r="R444" s="27"/>
      <c r="S444" s="30"/>
      <c r="W444" s="1"/>
      <c r="Y444" s="2"/>
      <c r="Z444" s="2"/>
      <c r="AA444" s="2"/>
      <c r="AB444" s="2"/>
      <c r="AC444" s="4"/>
    </row>
    <row r="445" spans="1:29" ht="13.5" customHeight="1">
      <c r="A445" s="2"/>
      <c r="C445" s="3"/>
      <c r="D445" s="3"/>
      <c r="E445" s="3"/>
      <c r="F445" s="3"/>
      <c r="G445" s="3"/>
      <c r="H445" s="22"/>
      <c r="I445" s="22"/>
      <c r="J445" s="22"/>
      <c r="K445" s="22"/>
      <c r="L445" s="27"/>
      <c r="M445" s="30"/>
      <c r="N445" s="27"/>
      <c r="O445" s="30"/>
      <c r="P445" s="27"/>
      <c r="Q445" s="30"/>
      <c r="R445" s="27"/>
      <c r="S445" s="30"/>
      <c r="W445" s="1"/>
      <c r="Y445" s="2"/>
      <c r="Z445" s="2"/>
      <c r="AA445" s="2"/>
      <c r="AB445" s="2"/>
      <c r="AC445" s="4"/>
    </row>
    <row r="446" spans="1:29" ht="13.5" customHeight="1">
      <c r="A446" s="2"/>
      <c r="C446" s="3"/>
      <c r="D446" s="3"/>
      <c r="E446" s="3"/>
      <c r="F446" s="3"/>
      <c r="G446" s="3"/>
      <c r="H446" s="22"/>
      <c r="I446" s="22"/>
      <c r="J446" s="22"/>
      <c r="K446" s="22"/>
      <c r="L446" s="27"/>
      <c r="M446" s="30"/>
      <c r="N446" s="27"/>
      <c r="O446" s="30"/>
      <c r="P446" s="27"/>
      <c r="Q446" s="30"/>
      <c r="R446" s="27"/>
      <c r="S446" s="30"/>
      <c r="W446" s="1"/>
      <c r="Y446" s="2"/>
      <c r="Z446" s="2"/>
      <c r="AA446" s="2"/>
      <c r="AB446" s="2"/>
      <c r="AC446" s="4"/>
    </row>
    <row r="447" spans="1:29" ht="13.5" customHeight="1">
      <c r="A447" s="2"/>
      <c r="C447" s="3"/>
      <c r="D447" s="3"/>
      <c r="E447" s="3"/>
      <c r="F447" s="3"/>
      <c r="G447" s="3"/>
      <c r="H447" s="22"/>
      <c r="I447" s="22"/>
      <c r="J447" s="22"/>
      <c r="K447" s="22"/>
      <c r="L447" s="27"/>
      <c r="M447" s="30"/>
      <c r="N447" s="27"/>
      <c r="O447" s="30"/>
      <c r="P447" s="27"/>
      <c r="Q447" s="30"/>
      <c r="R447" s="27"/>
      <c r="S447" s="30"/>
      <c r="W447" s="1"/>
      <c r="Y447" s="2"/>
      <c r="Z447" s="2"/>
      <c r="AA447" s="2"/>
      <c r="AB447" s="2"/>
      <c r="AC447" s="4"/>
    </row>
    <row r="448" spans="1:29" ht="13.5" customHeight="1">
      <c r="A448" s="2"/>
      <c r="C448" s="3"/>
      <c r="D448" s="3"/>
      <c r="E448" s="3"/>
      <c r="F448" s="3"/>
      <c r="G448" s="3"/>
      <c r="H448" s="22"/>
      <c r="I448" s="22"/>
      <c r="J448" s="22"/>
      <c r="K448" s="22"/>
      <c r="L448" s="27"/>
      <c r="M448" s="30"/>
      <c r="N448" s="27"/>
      <c r="O448" s="30"/>
      <c r="P448" s="27"/>
      <c r="Q448" s="30"/>
      <c r="R448" s="27"/>
      <c r="S448" s="30"/>
      <c r="W448" s="1"/>
      <c r="Y448" s="2"/>
      <c r="Z448" s="2"/>
      <c r="AA448" s="2"/>
      <c r="AB448" s="2"/>
      <c r="AC448" s="4"/>
    </row>
    <row r="449" spans="1:29" ht="13.5" customHeight="1">
      <c r="A449" s="2"/>
      <c r="C449" s="3"/>
      <c r="D449" s="3"/>
      <c r="E449" s="3"/>
      <c r="F449" s="3"/>
      <c r="G449" s="3"/>
      <c r="H449" s="22"/>
      <c r="I449" s="22"/>
      <c r="J449" s="22"/>
      <c r="K449" s="22"/>
      <c r="L449" s="27"/>
      <c r="M449" s="30"/>
      <c r="N449" s="27"/>
      <c r="O449" s="30"/>
      <c r="P449" s="27"/>
      <c r="Q449" s="30"/>
      <c r="R449" s="27"/>
      <c r="S449" s="30"/>
      <c r="W449" s="1"/>
      <c r="Y449" s="2"/>
      <c r="Z449" s="2"/>
      <c r="AA449" s="2"/>
      <c r="AB449" s="2"/>
      <c r="AC449" s="4"/>
    </row>
    <row r="450" spans="1:29" ht="13.5" customHeight="1">
      <c r="A450" s="2"/>
      <c r="C450" s="3"/>
      <c r="D450" s="3"/>
      <c r="E450" s="3"/>
      <c r="F450" s="3"/>
      <c r="G450" s="3"/>
      <c r="H450" s="22"/>
      <c r="I450" s="22"/>
      <c r="J450" s="22"/>
      <c r="K450" s="22"/>
      <c r="L450" s="27"/>
      <c r="M450" s="30"/>
      <c r="N450" s="27"/>
      <c r="O450" s="30"/>
      <c r="P450" s="27"/>
      <c r="Q450" s="30"/>
      <c r="R450" s="27"/>
      <c r="S450" s="30"/>
      <c r="W450" s="1"/>
      <c r="Y450" s="2"/>
      <c r="Z450" s="2"/>
      <c r="AA450" s="2"/>
      <c r="AB450" s="2"/>
      <c r="AC450" s="4"/>
    </row>
    <row r="451" spans="1:29" ht="13.5" customHeight="1">
      <c r="A451" s="2"/>
      <c r="C451" s="3"/>
      <c r="D451" s="3"/>
      <c r="E451" s="3"/>
      <c r="F451" s="3"/>
      <c r="G451" s="3"/>
      <c r="H451" s="22"/>
      <c r="I451" s="22"/>
      <c r="J451" s="22"/>
      <c r="K451" s="22"/>
      <c r="L451" s="27"/>
      <c r="M451" s="30"/>
      <c r="N451" s="27"/>
      <c r="O451" s="30"/>
      <c r="P451" s="27"/>
      <c r="Q451" s="30"/>
      <c r="R451" s="27"/>
      <c r="S451" s="30"/>
      <c r="W451" s="1"/>
      <c r="Y451" s="2"/>
      <c r="Z451" s="2"/>
      <c r="AA451" s="2"/>
      <c r="AB451" s="2"/>
      <c r="AC451" s="4"/>
    </row>
    <row r="452" spans="1:29" ht="13.5" customHeight="1">
      <c r="A452" s="2"/>
      <c r="C452" s="3"/>
      <c r="D452" s="3"/>
      <c r="E452" s="3"/>
      <c r="F452" s="3"/>
      <c r="G452" s="3"/>
      <c r="H452" s="22"/>
      <c r="I452" s="22"/>
      <c r="J452" s="22"/>
      <c r="K452" s="22"/>
      <c r="L452" s="27"/>
      <c r="M452" s="30"/>
      <c r="N452" s="27"/>
      <c r="O452" s="30"/>
      <c r="P452" s="27"/>
      <c r="Q452" s="30"/>
      <c r="R452" s="27"/>
      <c r="S452" s="30"/>
      <c r="W452" s="1"/>
      <c r="Y452" s="2"/>
      <c r="Z452" s="2"/>
      <c r="AA452" s="2"/>
      <c r="AB452" s="2"/>
      <c r="AC452" s="4"/>
    </row>
    <row r="453" spans="1:29" ht="13.5" customHeight="1">
      <c r="A453" s="2"/>
      <c r="C453" s="3"/>
      <c r="D453" s="3"/>
      <c r="E453" s="3"/>
      <c r="F453" s="3"/>
      <c r="G453" s="3"/>
      <c r="H453" s="22"/>
      <c r="I453" s="22"/>
      <c r="J453" s="22"/>
      <c r="K453" s="22"/>
      <c r="L453" s="27"/>
      <c r="M453" s="30"/>
      <c r="N453" s="27"/>
      <c r="O453" s="30"/>
      <c r="P453" s="27"/>
      <c r="Q453" s="30"/>
      <c r="R453" s="27"/>
      <c r="S453" s="30"/>
      <c r="W453" s="1"/>
      <c r="Y453" s="2"/>
      <c r="Z453" s="2"/>
      <c r="AA453" s="2"/>
      <c r="AB453" s="2"/>
      <c r="AC453" s="4"/>
    </row>
    <row r="454" spans="1:29" ht="13.5" customHeight="1">
      <c r="A454" s="2"/>
      <c r="C454" s="3"/>
      <c r="D454" s="3"/>
      <c r="E454" s="3"/>
      <c r="F454" s="3"/>
      <c r="G454" s="3"/>
      <c r="H454" s="22"/>
      <c r="I454" s="22"/>
      <c r="J454" s="22"/>
      <c r="K454" s="22"/>
      <c r="L454" s="27"/>
      <c r="M454" s="30"/>
      <c r="N454" s="27"/>
      <c r="O454" s="30"/>
      <c r="P454" s="27"/>
      <c r="Q454" s="30"/>
      <c r="R454" s="27"/>
      <c r="S454" s="30"/>
      <c r="W454" s="1"/>
      <c r="Y454" s="2"/>
      <c r="Z454" s="2"/>
      <c r="AA454" s="2"/>
      <c r="AB454" s="2"/>
      <c r="AC454" s="4"/>
    </row>
    <row r="455" spans="1:29" ht="13.5" customHeight="1">
      <c r="A455" s="2"/>
      <c r="C455" s="3"/>
      <c r="D455" s="3"/>
      <c r="E455" s="3"/>
      <c r="F455" s="3"/>
      <c r="G455" s="3"/>
      <c r="H455" s="22"/>
      <c r="I455" s="22"/>
      <c r="J455" s="22"/>
      <c r="K455" s="22"/>
      <c r="L455" s="27"/>
      <c r="M455" s="30"/>
      <c r="N455" s="27"/>
      <c r="O455" s="30"/>
      <c r="P455" s="27"/>
      <c r="Q455" s="30"/>
      <c r="R455" s="27"/>
      <c r="S455" s="30"/>
      <c r="W455" s="1"/>
      <c r="Y455" s="2"/>
      <c r="Z455" s="2"/>
      <c r="AA455" s="2"/>
      <c r="AB455" s="2"/>
      <c r="AC455" s="4"/>
    </row>
    <row r="456" spans="1:29" ht="13.5" customHeight="1">
      <c r="A456" s="2"/>
      <c r="C456" s="3"/>
      <c r="D456" s="3"/>
      <c r="E456" s="3"/>
      <c r="F456" s="3"/>
      <c r="G456" s="3"/>
      <c r="H456" s="22"/>
      <c r="I456" s="22"/>
      <c r="J456" s="22"/>
      <c r="K456" s="22"/>
      <c r="L456" s="27"/>
      <c r="M456" s="30"/>
      <c r="N456" s="27"/>
      <c r="O456" s="30"/>
      <c r="P456" s="27"/>
      <c r="Q456" s="30"/>
      <c r="R456" s="27"/>
      <c r="S456" s="30"/>
      <c r="W456" s="1"/>
      <c r="Y456" s="2"/>
      <c r="Z456" s="2"/>
      <c r="AA456" s="2"/>
      <c r="AB456" s="2"/>
      <c r="AC456" s="4"/>
    </row>
    <row r="457" spans="1:29" ht="13.5" customHeight="1">
      <c r="A457" s="2"/>
      <c r="C457" s="3"/>
      <c r="D457" s="3"/>
      <c r="E457" s="3"/>
      <c r="F457" s="3"/>
      <c r="G457" s="3"/>
      <c r="H457" s="22"/>
      <c r="I457" s="22"/>
      <c r="J457" s="22"/>
      <c r="K457" s="22"/>
      <c r="L457" s="27"/>
      <c r="M457" s="30"/>
      <c r="N457" s="27"/>
      <c r="O457" s="30"/>
      <c r="P457" s="27"/>
      <c r="Q457" s="30"/>
      <c r="R457" s="27"/>
      <c r="S457" s="30"/>
      <c r="W457" s="1"/>
      <c r="Y457" s="2"/>
      <c r="Z457" s="2"/>
      <c r="AA457" s="2"/>
      <c r="AB457" s="2"/>
      <c r="AC457" s="4"/>
    </row>
    <row r="458" spans="1:29" ht="13.5" customHeight="1">
      <c r="A458" s="2"/>
      <c r="C458" s="3"/>
      <c r="D458" s="3"/>
      <c r="E458" s="3"/>
      <c r="F458" s="3"/>
      <c r="G458" s="3"/>
      <c r="H458" s="22"/>
      <c r="I458" s="22"/>
      <c r="J458" s="22"/>
      <c r="K458" s="22"/>
      <c r="L458" s="27"/>
      <c r="M458" s="30"/>
      <c r="N458" s="27"/>
      <c r="O458" s="30"/>
      <c r="P458" s="27"/>
      <c r="Q458" s="30"/>
      <c r="R458" s="27"/>
      <c r="S458" s="30"/>
      <c r="W458" s="1"/>
      <c r="Y458" s="2"/>
      <c r="Z458" s="2"/>
      <c r="AA458" s="2"/>
      <c r="AB458" s="2"/>
      <c r="AC458" s="4"/>
    </row>
    <row r="459" spans="1:29" ht="13.5" customHeight="1">
      <c r="A459" s="2"/>
      <c r="C459" s="3"/>
      <c r="D459" s="3"/>
      <c r="E459" s="3"/>
      <c r="F459" s="3"/>
      <c r="G459" s="3"/>
      <c r="H459" s="22"/>
      <c r="I459" s="22"/>
      <c r="J459" s="22"/>
      <c r="K459" s="22"/>
      <c r="L459" s="27"/>
      <c r="M459" s="30"/>
      <c r="N459" s="27"/>
      <c r="O459" s="30"/>
      <c r="P459" s="27"/>
      <c r="Q459" s="30"/>
      <c r="R459" s="27"/>
      <c r="S459" s="30"/>
      <c r="W459" s="1"/>
      <c r="Y459" s="2"/>
      <c r="Z459" s="2"/>
      <c r="AA459" s="2"/>
      <c r="AB459" s="2"/>
      <c r="AC459" s="4"/>
    </row>
    <row r="460" spans="1:29" ht="13.5" customHeight="1">
      <c r="A460" s="2"/>
      <c r="C460" s="3"/>
      <c r="D460" s="3"/>
      <c r="E460" s="3"/>
      <c r="F460" s="3"/>
      <c r="G460" s="3"/>
      <c r="H460" s="22"/>
      <c r="I460" s="22"/>
      <c r="J460" s="22"/>
      <c r="K460" s="22"/>
      <c r="L460" s="27"/>
      <c r="M460" s="30"/>
      <c r="N460" s="27"/>
      <c r="O460" s="30"/>
      <c r="P460" s="27"/>
      <c r="Q460" s="30"/>
      <c r="R460" s="27"/>
      <c r="S460" s="30"/>
      <c r="W460" s="1"/>
      <c r="Y460" s="2"/>
      <c r="Z460" s="2"/>
      <c r="AA460" s="2"/>
      <c r="AB460" s="2"/>
      <c r="AC460" s="4"/>
    </row>
    <row r="461" spans="1:29" ht="13.5" customHeight="1">
      <c r="A461" s="2"/>
      <c r="C461" s="3"/>
      <c r="D461" s="3"/>
      <c r="E461" s="3"/>
      <c r="F461" s="3"/>
      <c r="G461" s="3"/>
      <c r="H461" s="22"/>
      <c r="I461" s="22"/>
      <c r="J461" s="22"/>
      <c r="K461" s="22"/>
      <c r="L461" s="27"/>
      <c r="M461" s="30"/>
      <c r="N461" s="27"/>
      <c r="O461" s="30"/>
      <c r="P461" s="27"/>
      <c r="Q461" s="30"/>
      <c r="R461" s="27"/>
      <c r="S461" s="30"/>
      <c r="W461" s="1"/>
      <c r="Y461" s="2"/>
      <c r="Z461" s="2"/>
      <c r="AA461" s="2"/>
      <c r="AB461" s="2"/>
      <c r="AC461" s="4"/>
    </row>
    <row r="462" spans="1:29" ht="13.5" customHeight="1">
      <c r="A462" s="2"/>
      <c r="C462" s="3"/>
      <c r="D462" s="3"/>
      <c r="E462" s="3"/>
      <c r="F462" s="3"/>
      <c r="G462" s="3"/>
      <c r="H462" s="22"/>
      <c r="I462" s="22"/>
      <c r="J462" s="22"/>
      <c r="K462" s="22"/>
      <c r="L462" s="27"/>
      <c r="M462" s="30"/>
      <c r="N462" s="27"/>
      <c r="O462" s="30"/>
      <c r="P462" s="27"/>
      <c r="Q462" s="30"/>
      <c r="R462" s="27"/>
      <c r="S462" s="30"/>
      <c r="W462" s="1"/>
      <c r="Y462" s="2"/>
      <c r="Z462" s="2"/>
      <c r="AA462" s="2"/>
      <c r="AB462" s="2"/>
      <c r="AC462" s="4"/>
    </row>
    <row r="463" spans="1:29" ht="13.5" customHeight="1">
      <c r="A463" s="2"/>
      <c r="C463" s="3"/>
      <c r="D463" s="3"/>
      <c r="E463" s="3"/>
      <c r="F463" s="3"/>
      <c r="G463" s="3"/>
      <c r="H463" s="22"/>
      <c r="I463" s="22"/>
      <c r="J463" s="22"/>
      <c r="K463" s="22"/>
      <c r="L463" s="27"/>
      <c r="M463" s="30"/>
      <c r="N463" s="27"/>
      <c r="O463" s="30"/>
      <c r="P463" s="27"/>
      <c r="Q463" s="30"/>
      <c r="R463" s="27"/>
      <c r="S463" s="30"/>
      <c r="W463" s="1"/>
      <c r="Y463" s="2"/>
      <c r="Z463" s="2"/>
      <c r="AA463" s="2"/>
      <c r="AB463" s="2"/>
      <c r="AC463" s="4"/>
    </row>
    <row r="464" spans="1:29" ht="13.5" customHeight="1">
      <c r="A464" s="2"/>
      <c r="C464" s="3"/>
      <c r="D464" s="3"/>
      <c r="E464" s="3"/>
      <c r="F464" s="3"/>
      <c r="G464" s="3"/>
      <c r="H464" s="22"/>
      <c r="I464" s="22"/>
      <c r="J464" s="22"/>
      <c r="K464" s="22"/>
      <c r="L464" s="27"/>
      <c r="M464" s="30"/>
      <c r="N464" s="27"/>
      <c r="O464" s="30"/>
      <c r="P464" s="27"/>
      <c r="Q464" s="30"/>
      <c r="R464" s="27"/>
      <c r="S464" s="30"/>
      <c r="W464" s="1"/>
      <c r="Y464" s="2"/>
      <c r="Z464" s="2"/>
      <c r="AA464" s="2"/>
      <c r="AB464" s="2"/>
      <c r="AC464" s="4"/>
    </row>
    <row r="465" spans="1:29" ht="13.5" customHeight="1">
      <c r="A465" s="2"/>
      <c r="C465" s="3"/>
      <c r="D465" s="3"/>
      <c r="E465" s="3"/>
      <c r="F465" s="3"/>
      <c r="G465" s="3"/>
      <c r="H465" s="22"/>
      <c r="I465" s="22"/>
      <c r="J465" s="22"/>
      <c r="K465" s="22"/>
      <c r="L465" s="27"/>
      <c r="M465" s="30"/>
      <c r="N465" s="27"/>
      <c r="O465" s="30"/>
      <c r="P465" s="27"/>
      <c r="Q465" s="30"/>
      <c r="R465" s="27"/>
      <c r="S465" s="30"/>
      <c r="W465" s="1"/>
      <c r="Y465" s="2"/>
      <c r="Z465" s="2"/>
      <c r="AA465" s="2"/>
      <c r="AB465" s="2"/>
      <c r="AC465" s="4"/>
    </row>
    <row r="466" spans="1:29" ht="13.5" customHeight="1">
      <c r="A466" s="2"/>
      <c r="C466" s="3"/>
      <c r="D466" s="3"/>
      <c r="E466" s="3"/>
      <c r="F466" s="3"/>
      <c r="G466" s="3"/>
      <c r="H466" s="22"/>
      <c r="I466" s="22"/>
      <c r="J466" s="22"/>
      <c r="K466" s="22"/>
      <c r="L466" s="27"/>
      <c r="M466" s="30"/>
      <c r="N466" s="27"/>
      <c r="O466" s="30"/>
      <c r="P466" s="27"/>
      <c r="Q466" s="30"/>
      <c r="R466" s="27"/>
      <c r="S466" s="30"/>
      <c r="W466" s="1"/>
      <c r="Y466" s="2"/>
      <c r="Z466" s="2"/>
      <c r="AA466" s="2"/>
      <c r="AB466" s="2"/>
      <c r="AC466" s="4"/>
    </row>
    <row r="467" spans="1:29" ht="13.5" customHeight="1">
      <c r="A467" s="2"/>
      <c r="C467" s="3"/>
      <c r="D467" s="3"/>
      <c r="E467" s="3"/>
      <c r="F467" s="3"/>
      <c r="G467" s="3"/>
      <c r="H467" s="22"/>
      <c r="I467" s="22"/>
      <c r="J467" s="22"/>
      <c r="K467" s="22"/>
      <c r="L467" s="27"/>
      <c r="M467" s="30"/>
      <c r="N467" s="27"/>
      <c r="O467" s="30"/>
      <c r="P467" s="27"/>
      <c r="Q467" s="30"/>
      <c r="R467" s="27"/>
      <c r="S467" s="30"/>
      <c r="W467" s="1"/>
      <c r="Y467" s="2"/>
      <c r="Z467" s="2"/>
      <c r="AA467" s="2"/>
      <c r="AB467" s="2"/>
      <c r="AC467" s="4"/>
    </row>
    <row r="468" spans="1:29" ht="13.5" customHeight="1">
      <c r="A468" s="2"/>
      <c r="C468" s="3"/>
      <c r="D468" s="3"/>
      <c r="E468" s="3"/>
      <c r="F468" s="3"/>
      <c r="G468" s="3"/>
      <c r="H468" s="22"/>
      <c r="I468" s="22"/>
      <c r="J468" s="22"/>
      <c r="K468" s="22"/>
      <c r="L468" s="27"/>
      <c r="M468" s="30"/>
      <c r="N468" s="27"/>
      <c r="O468" s="30"/>
      <c r="P468" s="27"/>
      <c r="Q468" s="30"/>
      <c r="R468" s="27"/>
      <c r="S468" s="30"/>
      <c r="W468" s="1"/>
      <c r="Y468" s="2"/>
      <c r="Z468" s="2"/>
      <c r="AA468" s="2"/>
      <c r="AB468" s="2"/>
      <c r="AC468" s="4"/>
    </row>
    <row r="469" spans="1:29" ht="13.5" customHeight="1">
      <c r="A469" s="2"/>
      <c r="C469" s="3"/>
      <c r="D469" s="3"/>
      <c r="E469" s="3"/>
      <c r="F469" s="3"/>
      <c r="G469" s="3"/>
      <c r="H469" s="22"/>
      <c r="I469" s="22"/>
      <c r="J469" s="22"/>
      <c r="K469" s="22"/>
      <c r="L469" s="27"/>
      <c r="M469" s="30"/>
      <c r="N469" s="27"/>
      <c r="O469" s="30"/>
      <c r="P469" s="27"/>
      <c r="Q469" s="30"/>
      <c r="R469" s="27"/>
      <c r="S469" s="30"/>
      <c r="W469" s="1"/>
      <c r="Y469" s="2"/>
      <c r="Z469" s="2"/>
      <c r="AA469" s="2"/>
      <c r="AB469" s="2"/>
      <c r="AC469" s="4"/>
    </row>
    <row r="470" spans="1:29" ht="13.5" customHeight="1">
      <c r="A470" s="2"/>
      <c r="C470" s="3"/>
      <c r="D470" s="3"/>
      <c r="E470" s="3"/>
      <c r="F470" s="3"/>
      <c r="G470" s="3"/>
      <c r="H470" s="22"/>
      <c r="I470" s="22"/>
      <c r="J470" s="22"/>
      <c r="K470" s="22"/>
      <c r="L470" s="27"/>
      <c r="M470" s="30"/>
      <c r="N470" s="27"/>
      <c r="O470" s="30"/>
      <c r="P470" s="27"/>
      <c r="Q470" s="30"/>
      <c r="R470" s="27"/>
      <c r="S470" s="30"/>
      <c r="W470" s="1"/>
      <c r="Y470" s="2"/>
      <c r="Z470" s="2"/>
      <c r="AA470" s="2"/>
      <c r="AB470" s="2"/>
      <c r="AC470" s="4"/>
    </row>
    <row r="471" spans="1:29" ht="13.5" customHeight="1">
      <c r="A471" s="2"/>
      <c r="C471" s="3"/>
      <c r="D471" s="3"/>
      <c r="E471" s="3"/>
      <c r="F471" s="3"/>
      <c r="G471" s="3"/>
      <c r="H471" s="22"/>
      <c r="I471" s="22"/>
      <c r="J471" s="22"/>
      <c r="K471" s="22"/>
      <c r="L471" s="27"/>
      <c r="M471" s="30"/>
      <c r="N471" s="27"/>
      <c r="O471" s="30"/>
      <c r="P471" s="27"/>
      <c r="Q471" s="30"/>
      <c r="R471" s="27"/>
      <c r="S471" s="30"/>
      <c r="W471" s="1"/>
      <c r="Y471" s="2"/>
      <c r="Z471" s="2"/>
      <c r="AA471" s="2"/>
      <c r="AB471" s="2"/>
      <c r="AC471" s="4"/>
    </row>
    <row r="472" spans="1:29" ht="13.5" customHeight="1">
      <c r="A472" s="2"/>
      <c r="C472" s="3"/>
      <c r="D472" s="3"/>
      <c r="E472" s="3"/>
      <c r="F472" s="3"/>
      <c r="G472" s="3"/>
      <c r="H472" s="22"/>
      <c r="I472" s="22"/>
      <c r="J472" s="22"/>
      <c r="K472" s="22"/>
      <c r="L472" s="27"/>
      <c r="M472" s="30"/>
      <c r="N472" s="27"/>
      <c r="O472" s="30"/>
      <c r="P472" s="27"/>
      <c r="Q472" s="30"/>
      <c r="R472" s="27"/>
      <c r="S472" s="30"/>
      <c r="W472" s="1"/>
      <c r="Y472" s="2"/>
      <c r="Z472" s="2"/>
      <c r="AA472" s="2"/>
      <c r="AB472" s="2"/>
      <c r="AC472" s="4"/>
    </row>
    <row r="473" spans="1:29" ht="13.5" customHeight="1">
      <c r="A473" s="2"/>
      <c r="C473" s="3"/>
      <c r="D473" s="3"/>
      <c r="E473" s="3"/>
      <c r="F473" s="3"/>
      <c r="G473" s="3"/>
      <c r="H473" s="22"/>
      <c r="I473" s="22"/>
      <c r="J473" s="22"/>
      <c r="K473" s="22"/>
      <c r="L473" s="27"/>
      <c r="M473" s="30"/>
      <c r="N473" s="27"/>
      <c r="O473" s="30"/>
      <c r="P473" s="27"/>
      <c r="Q473" s="30"/>
      <c r="R473" s="27"/>
      <c r="S473" s="30"/>
      <c r="W473" s="1"/>
      <c r="Y473" s="2"/>
      <c r="Z473" s="2"/>
      <c r="AA473" s="2"/>
      <c r="AB473" s="2"/>
      <c r="AC473" s="4"/>
    </row>
    <row r="474" spans="1:29" ht="13.5" customHeight="1">
      <c r="A474" s="2"/>
      <c r="C474" s="3"/>
      <c r="D474" s="3"/>
      <c r="E474" s="3"/>
      <c r="F474" s="3"/>
      <c r="G474" s="3"/>
      <c r="H474" s="22"/>
      <c r="I474" s="22"/>
      <c r="J474" s="22"/>
      <c r="K474" s="22"/>
      <c r="L474" s="27"/>
      <c r="M474" s="30"/>
      <c r="N474" s="27"/>
      <c r="O474" s="30"/>
      <c r="P474" s="27"/>
      <c r="Q474" s="30"/>
      <c r="R474" s="27"/>
      <c r="S474" s="30"/>
      <c r="W474" s="1"/>
      <c r="Y474" s="2"/>
      <c r="Z474" s="2"/>
      <c r="AA474" s="2"/>
      <c r="AB474" s="2"/>
      <c r="AC474" s="4"/>
    </row>
    <row r="475" spans="1:29" ht="13.5" customHeight="1">
      <c r="A475" s="2"/>
      <c r="C475" s="3"/>
      <c r="D475" s="3"/>
      <c r="E475" s="3"/>
      <c r="F475" s="3"/>
      <c r="G475" s="3"/>
      <c r="H475" s="22"/>
      <c r="I475" s="22"/>
      <c r="J475" s="22"/>
      <c r="K475" s="22"/>
      <c r="L475" s="27"/>
      <c r="M475" s="30"/>
      <c r="N475" s="27"/>
      <c r="O475" s="30"/>
      <c r="P475" s="27"/>
      <c r="Q475" s="30"/>
      <c r="R475" s="27"/>
      <c r="S475" s="30"/>
      <c r="W475" s="1"/>
      <c r="Y475" s="2"/>
      <c r="Z475" s="2"/>
      <c r="AA475" s="2"/>
      <c r="AB475" s="2"/>
      <c r="AC475" s="4"/>
    </row>
    <row r="476" spans="1:29" ht="13.5" customHeight="1">
      <c r="A476" s="2"/>
      <c r="C476" s="3"/>
      <c r="D476" s="3"/>
      <c r="E476" s="3"/>
      <c r="F476" s="3"/>
      <c r="G476" s="3"/>
      <c r="H476" s="22"/>
      <c r="I476" s="22"/>
      <c r="J476" s="22"/>
      <c r="K476" s="22"/>
      <c r="L476" s="27"/>
      <c r="M476" s="30"/>
      <c r="N476" s="27"/>
      <c r="O476" s="30"/>
      <c r="P476" s="27"/>
      <c r="Q476" s="30"/>
      <c r="R476" s="27"/>
      <c r="S476" s="30"/>
      <c r="W476" s="1"/>
      <c r="Y476" s="2"/>
      <c r="Z476" s="2"/>
      <c r="AA476" s="2"/>
      <c r="AB476" s="2"/>
      <c r="AC476" s="4"/>
    </row>
    <row r="477" spans="1:29" ht="13.5" customHeight="1">
      <c r="A477" s="2"/>
      <c r="C477" s="3"/>
      <c r="D477" s="3"/>
      <c r="E477" s="3"/>
      <c r="F477" s="3"/>
      <c r="G477" s="3"/>
      <c r="H477" s="22"/>
      <c r="I477" s="22"/>
      <c r="J477" s="22"/>
      <c r="K477" s="22"/>
      <c r="L477" s="27"/>
      <c r="M477" s="30"/>
      <c r="N477" s="27"/>
      <c r="O477" s="30"/>
      <c r="P477" s="27"/>
      <c r="Q477" s="30"/>
      <c r="R477" s="27"/>
      <c r="S477" s="30"/>
      <c r="W477" s="1"/>
      <c r="Y477" s="2"/>
      <c r="Z477" s="2"/>
      <c r="AA477" s="2"/>
      <c r="AB477" s="2"/>
      <c r="AC477" s="4"/>
    </row>
    <row r="478" spans="1:29" ht="13.5" customHeight="1">
      <c r="A478" s="2"/>
      <c r="C478" s="3"/>
      <c r="D478" s="3"/>
      <c r="E478" s="3"/>
      <c r="F478" s="3"/>
      <c r="G478" s="3"/>
      <c r="H478" s="22"/>
      <c r="I478" s="22"/>
      <c r="J478" s="22"/>
      <c r="K478" s="22"/>
      <c r="L478" s="27"/>
      <c r="M478" s="30"/>
      <c r="N478" s="27"/>
      <c r="O478" s="30"/>
      <c r="P478" s="27"/>
      <c r="Q478" s="30"/>
      <c r="R478" s="27"/>
      <c r="S478" s="30"/>
      <c r="W478" s="1"/>
      <c r="Y478" s="2"/>
      <c r="Z478" s="2"/>
      <c r="AA478" s="2"/>
      <c r="AB478" s="2"/>
      <c r="AC478" s="4"/>
    </row>
    <row r="479" spans="1:29" ht="13.5" customHeight="1">
      <c r="A479" s="2"/>
      <c r="C479" s="3"/>
      <c r="D479" s="3"/>
      <c r="E479" s="3"/>
      <c r="F479" s="3"/>
      <c r="G479" s="3"/>
      <c r="H479" s="22"/>
      <c r="I479" s="22"/>
      <c r="J479" s="22"/>
      <c r="K479" s="22"/>
      <c r="L479" s="27"/>
      <c r="M479" s="30"/>
      <c r="N479" s="27"/>
      <c r="O479" s="30"/>
      <c r="P479" s="27"/>
      <c r="Q479" s="30"/>
      <c r="R479" s="27"/>
      <c r="S479" s="30"/>
      <c r="W479" s="1"/>
      <c r="Y479" s="2"/>
      <c r="Z479" s="2"/>
      <c r="AA479" s="2"/>
      <c r="AB479" s="2"/>
      <c r="AC479" s="4"/>
    </row>
    <row r="480" spans="1:29" ht="13.5" customHeight="1">
      <c r="A480" s="2"/>
      <c r="C480" s="3"/>
      <c r="D480" s="3"/>
      <c r="E480" s="3"/>
      <c r="F480" s="3"/>
      <c r="G480" s="3"/>
      <c r="H480" s="22"/>
      <c r="I480" s="22"/>
      <c r="J480" s="22"/>
      <c r="K480" s="22"/>
      <c r="L480" s="27"/>
      <c r="M480" s="30"/>
      <c r="N480" s="27"/>
      <c r="O480" s="30"/>
      <c r="P480" s="27"/>
      <c r="Q480" s="30"/>
      <c r="R480" s="27"/>
      <c r="S480" s="30"/>
      <c r="W480" s="1"/>
      <c r="Y480" s="2"/>
      <c r="Z480" s="2"/>
      <c r="AA480" s="2"/>
      <c r="AB480" s="2"/>
      <c r="AC480" s="4"/>
    </row>
    <row r="481" spans="1:29" ht="13.5" customHeight="1">
      <c r="A481" s="2"/>
      <c r="C481" s="3"/>
      <c r="D481" s="3"/>
      <c r="E481" s="3"/>
      <c r="F481" s="3"/>
      <c r="G481" s="3"/>
      <c r="H481" s="22"/>
      <c r="I481" s="22"/>
      <c r="J481" s="22"/>
      <c r="K481" s="22"/>
      <c r="L481" s="27"/>
      <c r="M481" s="30"/>
      <c r="N481" s="27"/>
      <c r="O481" s="30"/>
      <c r="P481" s="27"/>
      <c r="Q481" s="30"/>
      <c r="R481" s="27"/>
      <c r="S481" s="30"/>
      <c r="W481" s="1"/>
      <c r="Y481" s="2"/>
      <c r="Z481" s="2"/>
      <c r="AA481" s="2"/>
      <c r="AB481" s="2"/>
      <c r="AC481" s="4"/>
    </row>
    <row r="482" spans="1:29" ht="13.5" customHeight="1">
      <c r="A482" s="2"/>
      <c r="C482" s="3"/>
      <c r="D482" s="3"/>
      <c r="E482" s="3"/>
      <c r="F482" s="3"/>
      <c r="G482" s="3"/>
      <c r="H482" s="22"/>
      <c r="I482" s="22"/>
      <c r="J482" s="22"/>
      <c r="K482" s="22"/>
      <c r="L482" s="27"/>
      <c r="M482" s="30"/>
      <c r="N482" s="27"/>
      <c r="O482" s="30"/>
      <c r="P482" s="27"/>
      <c r="Q482" s="30"/>
      <c r="R482" s="27"/>
      <c r="S482" s="30"/>
      <c r="W482" s="1"/>
      <c r="Y482" s="2"/>
      <c r="Z482" s="2"/>
      <c r="AA482" s="2"/>
      <c r="AB482" s="2"/>
      <c r="AC482" s="4"/>
    </row>
    <row r="483" spans="1:29" ht="13.5" customHeight="1">
      <c r="A483" s="2"/>
      <c r="C483" s="3"/>
      <c r="D483" s="3"/>
      <c r="E483" s="3"/>
      <c r="F483" s="3"/>
      <c r="G483" s="3"/>
      <c r="H483" s="22"/>
      <c r="I483" s="22"/>
      <c r="J483" s="22"/>
      <c r="K483" s="22"/>
      <c r="L483" s="27"/>
      <c r="M483" s="30"/>
      <c r="N483" s="27"/>
      <c r="O483" s="30"/>
      <c r="P483" s="27"/>
      <c r="Q483" s="30"/>
      <c r="R483" s="27"/>
      <c r="S483" s="30"/>
      <c r="W483" s="1"/>
      <c r="Y483" s="2"/>
      <c r="Z483" s="2"/>
      <c r="AA483" s="2"/>
      <c r="AB483" s="2"/>
      <c r="AC483" s="4"/>
    </row>
    <row r="484" spans="1:29" ht="13.5" customHeight="1">
      <c r="A484" s="2"/>
      <c r="C484" s="3"/>
      <c r="D484" s="3"/>
      <c r="E484" s="3"/>
      <c r="F484" s="3"/>
      <c r="G484" s="3"/>
      <c r="H484" s="22"/>
      <c r="I484" s="22"/>
      <c r="J484" s="22"/>
      <c r="K484" s="22"/>
      <c r="L484" s="27"/>
      <c r="M484" s="30"/>
      <c r="N484" s="27"/>
      <c r="O484" s="30"/>
      <c r="P484" s="27"/>
      <c r="Q484" s="30"/>
      <c r="R484" s="27"/>
      <c r="S484" s="30"/>
      <c r="W484" s="1"/>
      <c r="Y484" s="2"/>
      <c r="Z484" s="2"/>
      <c r="AA484" s="2"/>
      <c r="AB484" s="2"/>
      <c r="AC484" s="4"/>
    </row>
    <row r="485" spans="1:29" ht="13.5" customHeight="1">
      <c r="A485" s="2"/>
      <c r="C485" s="3"/>
      <c r="D485" s="3"/>
      <c r="E485" s="3"/>
      <c r="F485" s="3"/>
      <c r="G485" s="3"/>
      <c r="H485" s="22"/>
      <c r="I485" s="22"/>
      <c r="J485" s="22"/>
      <c r="K485" s="22"/>
      <c r="L485" s="27"/>
      <c r="M485" s="30"/>
      <c r="N485" s="27"/>
      <c r="O485" s="30"/>
      <c r="P485" s="27"/>
      <c r="Q485" s="30"/>
      <c r="R485" s="27"/>
      <c r="S485" s="30"/>
      <c r="W485" s="1"/>
      <c r="Y485" s="2"/>
      <c r="Z485" s="2"/>
      <c r="AA485" s="2"/>
      <c r="AB485" s="2"/>
      <c r="AC485" s="4"/>
    </row>
    <row r="486" spans="1:29" ht="13.5" customHeight="1">
      <c r="A486" s="2"/>
      <c r="C486" s="3"/>
      <c r="D486" s="3"/>
      <c r="E486" s="3"/>
      <c r="F486" s="3"/>
      <c r="G486" s="3"/>
      <c r="H486" s="22"/>
      <c r="I486" s="22"/>
      <c r="J486" s="22"/>
      <c r="K486" s="22"/>
      <c r="L486" s="27"/>
      <c r="M486" s="30"/>
      <c r="N486" s="27"/>
      <c r="O486" s="30"/>
      <c r="P486" s="27"/>
      <c r="Q486" s="30"/>
      <c r="R486" s="27"/>
      <c r="S486" s="30"/>
      <c r="W486" s="1"/>
      <c r="Y486" s="2"/>
      <c r="Z486" s="2"/>
      <c r="AA486" s="2"/>
      <c r="AB486" s="2"/>
      <c r="AC486" s="4"/>
    </row>
    <row r="487" spans="1:29" ht="13.5" customHeight="1">
      <c r="A487" s="2"/>
      <c r="C487" s="3"/>
      <c r="D487" s="3"/>
      <c r="E487" s="3"/>
      <c r="F487" s="3"/>
      <c r="G487" s="3"/>
      <c r="H487" s="22"/>
      <c r="I487" s="22"/>
      <c r="J487" s="22"/>
      <c r="K487" s="22"/>
      <c r="L487" s="27"/>
      <c r="M487" s="30"/>
      <c r="N487" s="27"/>
      <c r="O487" s="30"/>
      <c r="P487" s="27"/>
      <c r="Q487" s="30"/>
      <c r="R487" s="27"/>
      <c r="S487" s="30"/>
      <c r="W487" s="1"/>
      <c r="Y487" s="2"/>
      <c r="Z487" s="2"/>
      <c r="AA487" s="2"/>
      <c r="AB487" s="2"/>
      <c r="AC487" s="4"/>
    </row>
    <row r="488" spans="1:29" ht="13.5" customHeight="1">
      <c r="A488" s="2"/>
      <c r="C488" s="3"/>
      <c r="D488" s="3"/>
      <c r="E488" s="3"/>
      <c r="F488" s="3"/>
      <c r="G488" s="3"/>
      <c r="H488" s="22"/>
      <c r="I488" s="22"/>
      <c r="J488" s="22"/>
      <c r="K488" s="22"/>
      <c r="L488" s="27"/>
      <c r="M488" s="30"/>
      <c r="N488" s="27"/>
      <c r="O488" s="30"/>
      <c r="P488" s="27"/>
      <c r="Q488" s="30"/>
      <c r="R488" s="27"/>
      <c r="S488" s="30"/>
      <c r="W488" s="1"/>
      <c r="Y488" s="2"/>
      <c r="Z488" s="2"/>
      <c r="AA488" s="2"/>
      <c r="AB488" s="2"/>
      <c r="AC488" s="4"/>
    </row>
    <row r="489" spans="1:29" ht="13.5" customHeight="1">
      <c r="A489" s="2"/>
      <c r="C489" s="3"/>
      <c r="D489" s="3"/>
      <c r="E489" s="3"/>
      <c r="F489" s="3"/>
      <c r="G489" s="3"/>
      <c r="H489" s="22"/>
      <c r="I489" s="22"/>
      <c r="J489" s="22"/>
      <c r="K489" s="22"/>
      <c r="L489" s="27"/>
      <c r="M489" s="30"/>
      <c r="N489" s="27"/>
      <c r="O489" s="30"/>
      <c r="P489" s="27"/>
      <c r="Q489" s="30"/>
      <c r="R489" s="27"/>
      <c r="S489" s="30"/>
      <c r="W489" s="1"/>
      <c r="Y489" s="2"/>
      <c r="Z489" s="2"/>
      <c r="AA489" s="2"/>
      <c r="AB489" s="2"/>
      <c r="AC489" s="4"/>
    </row>
    <row r="490" spans="1:29" ht="13.5" customHeight="1">
      <c r="A490" s="2"/>
      <c r="C490" s="3"/>
      <c r="D490" s="3"/>
      <c r="E490" s="3"/>
      <c r="F490" s="3"/>
      <c r="G490" s="3"/>
      <c r="H490" s="22"/>
      <c r="I490" s="22"/>
      <c r="J490" s="22"/>
      <c r="K490" s="22"/>
      <c r="L490" s="27"/>
      <c r="M490" s="30"/>
      <c r="N490" s="27"/>
      <c r="O490" s="30"/>
      <c r="P490" s="27"/>
      <c r="Q490" s="30"/>
      <c r="R490" s="27"/>
      <c r="S490" s="30"/>
      <c r="W490" s="1"/>
      <c r="Y490" s="2"/>
      <c r="Z490" s="2"/>
      <c r="AA490" s="2"/>
      <c r="AB490" s="2"/>
      <c r="AC490" s="4"/>
    </row>
    <row r="491" spans="1:29" ht="13.5" customHeight="1">
      <c r="A491" s="2"/>
      <c r="C491" s="3"/>
      <c r="D491" s="3"/>
      <c r="E491" s="3"/>
      <c r="F491" s="3"/>
      <c r="G491" s="3"/>
      <c r="H491" s="22"/>
      <c r="I491" s="22"/>
      <c r="J491" s="22"/>
      <c r="K491" s="22"/>
      <c r="L491" s="27"/>
      <c r="M491" s="30"/>
      <c r="N491" s="27"/>
      <c r="O491" s="30"/>
      <c r="P491" s="27"/>
      <c r="Q491" s="30"/>
      <c r="R491" s="27"/>
      <c r="S491" s="30"/>
      <c r="W491" s="1"/>
      <c r="Y491" s="2"/>
      <c r="Z491" s="2"/>
      <c r="AA491" s="2"/>
      <c r="AB491" s="2"/>
      <c r="AC491" s="4"/>
    </row>
    <row r="492" spans="1:29" ht="13.5" customHeight="1">
      <c r="A492" s="2"/>
      <c r="C492" s="3"/>
      <c r="D492" s="3"/>
      <c r="E492" s="3"/>
      <c r="F492" s="3"/>
      <c r="G492" s="3"/>
      <c r="H492" s="22"/>
      <c r="I492" s="22"/>
      <c r="J492" s="22"/>
      <c r="K492" s="22"/>
      <c r="L492" s="27"/>
      <c r="M492" s="30"/>
      <c r="N492" s="27"/>
      <c r="O492" s="30"/>
      <c r="P492" s="27"/>
      <c r="Q492" s="30"/>
      <c r="R492" s="27"/>
      <c r="S492" s="30"/>
      <c r="W492" s="1"/>
      <c r="Y492" s="2"/>
      <c r="Z492" s="2"/>
      <c r="AA492" s="2"/>
      <c r="AB492" s="2"/>
      <c r="AC492" s="4"/>
    </row>
    <row r="493" spans="1:29" ht="13.5" customHeight="1">
      <c r="A493" s="2"/>
      <c r="C493" s="3"/>
      <c r="D493" s="3"/>
      <c r="E493" s="3"/>
      <c r="F493" s="3"/>
      <c r="G493" s="3"/>
      <c r="H493" s="22"/>
      <c r="I493" s="22"/>
      <c r="J493" s="22"/>
      <c r="K493" s="22"/>
      <c r="L493" s="27"/>
      <c r="M493" s="30"/>
      <c r="N493" s="27"/>
      <c r="O493" s="30"/>
      <c r="P493" s="27"/>
      <c r="Q493" s="30"/>
      <c r="R493" s="27"/>
      <c r="S493" s="30"/>
      <c r="W493" s="1"/>
      <c r="Y493" s="2"/>
      <c r="Z493" s="2"/>
      <c r="AA493" s="2"/>
      <c r="AB493" s="2"/>
      <c r="AC493" s="4"/>
    </row>
    <row r="494" spans="1:29" ht="13.5" customHeight="1">
      <c r="A494" s="2"/>
      <c r="C494" s="3"/>
      <c r="D494" s="3"/>
      <c r="E494" s="3"/>
      <c r="F494" s="3"/>
      <c r="G494" s="3"/>
      <c r="H494" s="22"/>
      <c r="I494" s="22"/>
      <c r="J494" s="22"/>
      <c r="K494" s="22"/>
      <c r="L494" s="27"/>
      <c r="M494" s="30"/>
      <c r="N494" s="27"/>
      <c r="O494" s="30"/>
      <c r="P494" s="27"/>
      <c r="Q494" s="30"/>
      <c r="R494" s="27"/>
      <c r="S494" s="30"/>
      <c r="W494" s="1"/>
      <c r="Y494" s="2"/>
      <c r="Z494" s="2"/>
      <c r="AA494" s="2"/>
      <c r="AB494" s="2"/>
      <c r="AC494" s="4"/>
    </row>
    <row r="495" spans="1:29" ht="13.5" customHeight="1">
      <c r="A495" s="2"/>
      <c r="C495" s="3"/>
      <c r="D495" s="3"/>
      <c r="E495" s="3"/>
      <c r="F495" s="3"/>
      <c r="G495" s="3"/>
      <c r="H495" s="22"/>
      <c r="I495" s="22"/>
      <c r="J495" s="22"/>
      <c r="K495" s="22"/>
      <c r="L495" s="27"/>
      <c r="M495" s="30"/>
      <c r="N495" s="27"/>
      <c r="O495" s="30"/>
      <c r="P495" s="27"/>
      <c r="Q495" s="30"/>
      <c r="R495" s="27"/>
      <c r="S495" s="30"/>
      <c r="W495" s="1"/>
      <c r="Y495" s="2"/>
      <c r="Z495" s="2"/>
      <c r="AA495" s="2"/>
      <c r="AB495" s="2"/>
      <c r="AC495" s="4"/>
    </row>
    <row r="496" spans="1:29" ht="13.5" customHeight="1">
      <c r="A496" s="2"/>
      <c r="C496" s="3"/>
      <c r="D496" s="3"/>
      <c r="E496" s="3"/>
      <c r="F496" s="3"/>
      <c r="G496" s="3"/>
      <c r="H496" s="22"/>
      <c r="I496" s="22"/>
      <c r="J496" s="22"/>
      <c r="K496" s="22"/>
      <c r="L496" s="27"/>
      <c r="M496" s="30"/>
      <c r="N496" s="27"/>
      <c r="O496" s="30"/>
      <c r="P496" s="27"/>
      <c r="Q496" s="30"/>
      <c r="R496" s="27"/>
      <c r="S496" s="30"/>
      <c r="W496" s="1"/>
      <c r="Y496" s="2"/>
      <c r="Z496" s="2"/>
      <c r="AA496" s="2"/>
      <c r="AB496" s="2"/>
      <c r="AC496" s="4"/>
    </row>
    <row r="497" spans="1:29" ht="13.5" customHeight="1">
      <c r="A497" s="2"/>
      <c r="C497" s="3"/>
      <c r="D497" s="3"/>
      <c r="E497" s="3"/>
      <c r="F497" s="3"/>
      <c r="G497" s="3"/>
      <c r="H497" s="22"/>
      <c r="I497" s="22"/>
      <c r="J497" s="22"/>
      <c r="K497" s="22"/>
      <c r="L497" s="27"/>
      <c r="M497" s="30"/>
      <c r="N497" s="27"/>
      <c r="O497" s="30"/>
      <c r="P497" s="27"/>
      <c r="Q497" s="30"/>
      <c r="R497" s="27"/>
      <c r="S497" s="30"/>
      <c r="W497" s="1"/>
      <c r="Y497" s="2"/>
      <c r="Z497" s="2"/>
      <c r="AA497" s="2"/>
      <c r="AB497" s="2"/>
      <c r="AC497" s="4"/>
    </row>
    <row r="498" spans="1:29" ht="13.5" customHeight="1">
      <c r="A498" s="2"/>
      <c r="C498" s="3"/>
      <c r="D498" s="3"/>
      <c r="E498" s="3"/>
      <c r="F498" s="3"/>
      <c r="G498" s="3"/>
      <c r="H498" s="22"/>
      <c r="I498" s="22"/>
      <c r="J498" s="22"/>
      <c r="K498" s="22"/>
      <c r="L498" s="27"/>
      <c r="M498" s="30"/>
      <c r="N498" s="27"/>
      <c r="O498" s="30"/>
      <c r="P498" s="27"/>
      <c r="Q498" s="30"/>
      <c r="R498" s="27"/>
      <c r="S498" s="30"/>
      <c r="W498" s="1"/>
      <c r="Y498" s="2"/>
      <c r="Z498" s="2"/>
      <c r="AA498" s="2"/>
      <c r="AB498" s="2"/>
      <c r="AC498" s="4"/>
    </row>
    <row r="499" spans="1:29" ht="13.5" customHeight="1">
      <c r="A499" s="2"/>
      <c r="C499" s="3"/>
      <c r="D499" s="3"/>
      <c r="E499" s="3"/>
      <c r="F499" s="3"/>
      <c r="G499" s="3"/>
      <c r="H499" s="22"/>
      <c r="I499" s="22"/>
      <c r="J499" s="22"/>
      <c r="K499" s="22"/>
      <c r="L499" s="27"/>
      <c r="M499" s="30"/>
      <c r="N499" s="27"/>
      <c r="O499" s="30"/>
      <c r="P499" s="27"/>
      <c r="Q499" s="30"/>
      <c r="R499" s="27"/>
      <c r="S499" s="30"/>
      <c r="W499" s="1"/>
      <c r="Y499" s="2"/>
      <c r="Z499" s="2"/>
      <c r="AA499" s="2"/>
      <c r="AB499" s="2"/>
      <c r="AC499" s="4"/>
    </row>
    <row r="500" spans="1:29" ht="13.5" customHeight="1">
      <c r="A500" s="2"/>
      <c r="C500" s="3"/>
      <c r="D500" s="3"/>
      <c r="E500" s="3"/>
      <c r="F500" s="3"/>
      <c r="G500" s="3"/>
      <c r="H500" s="22"/>
      <c r="I500" s="22"/>
      <c r="J500" s="22"/>
      <c r="K500" s="22"/>
      <c r="L500" s="27"/>
      <c r="M500" s="30"/>
      <c r="N500" s="27"/>
      <c r="O500" s="30"/>
      <c r="P500" s="27"/>
      <c r="Q500" s="30"/>
      <c r="R500" s="27"/>
      <c r="S500" s="30"/>
      <c r="W500" s="1"/>
      <c r="Y500" s="2"/>
      <c r="Z500" s="2"/>
      <c r="AA500" s="2"/>
      <c r="AB500" s="2"/>
      <c r="AC500" s="4"/>
    </row>
    <row r="501" spans="1:29" ht="13.5" customHeight="1">
      <c r="A501" s="2"/>
      <c r="C501" s="3"/>
      <c r="D501" s="3"/>
      <c r="E501" s="3"/>
      <c r="F501" s="3"/>
      <c r="G501" s="3"/>
      <c r="H501" s="22"/>
      <c r="I501" s="22"/>
      <c r="J501" s="22"/>
      <c r="K501" s="22"/>
      <c r="L501" s="27"/>
      <c r="M501" s="30"/>
      <c r="N501" s="27"/>
      <c r="O501" s="30"/>
      <c r="P501" s="27"/>
      <c r="Q501" s="30"/>
      <c r="R501" s="27"/>
      <c r="S501" s="30"/>
      <c r="W501" s="1"/>
      <c r="Y501" s="2"/>
      <c r="Z501" s="2"/>
      <c r="AA501" s="2"/>
      <c r="AB501" s="2"/>
      <c r="AC501" s="4"/>
    </row>
    <row r="502" spans="1:29" ht="13.5" customHeight="1">
      <c r="A502" s="2"/>
      <c r="C502" s="3"/>
      <c r="D502" s="3"/>
      <c r="E502" s="3"/>
      <c r="F502" s="3"/>
      <c r="G502" s="3"/>
      <c r="H502" s="22"/>
      <c r="I502" s="22"/>
      <c r="J502" s="22"/>
      <c r="K502" s="22"/>
      <c r="L502" s="27"/>
      <c r="M502" s="30"/>
      <c r="N502" s="27"/>
      <c r="O502" s="30"/>
      <c r="P502" s="27"/>
      <c r="Q502" s="30"/>
      <c r="R502" s="27"/>
      <c r="S502" s="30"/>
      <c r="W502" s="1"/>
      <c r="Y502" s="2"/>
      <c r="Z502" s="2"/>
      <c r="AA502" s="2"/>
      <c r="AB502" s="2"/>
      <c r="AC502" s="4"/>
    </row>
    <row r="503" spans="1:29" ht="13.5" customHeight="1">
      <c r="A503" s="2"/>
      <c r="C503" s="3"/>
      <c r="D503" s="3"/>
      <c r="E503" s="3"/>
      <c r="F503" s="3"/>
      <c r="G503" s="3"/>
      <c r="H503" s="22"/>
      <c r="I503" s="22"/>
      <c r="J503" s="22"/>
      <c r="K503" s="22"/>
      <c r="L503" s="27"/>
      <c r="M503" s="30"/>
      <c r="N503" s="27"/>
      <c r="O503" s="30"/>
      <c r="P503" s="27"/>
      <c r="Q503" s="30"/>
      <c r="R503" s="27"/>
      <c r="S503" s="30"/>
      <c r="W503" s="1"/>
      <c r="Y503" s="2"/>
      <c r="Z503" s="2"/>
      <c r="AA503" s="2"/>
      <c r="AB503" s="2"/>
      <c r="AC503" s="4"/>
    </row>
    <row r="504" spans="1:29" ht="13.5" customHeight="1">
      <c r="A504" s="2"/>
      <c r="C504" s="3"/>
      <c r="D504" s="3"/>
      <c r="E504" s="3"/>
      <c r="F504" s="3"/>
      <c r="G504" s="3"/>
      <c r="H504" s="22"/>
      <c r="I504" s="22"/>
      <c r="J504" s="22"/>
      <c r="K504" s="22"/>
      <c r="L504" s="27"/>
      <c r="M504" s="30"/>
      <c r="N504" s="27"/>
      <c r="O504" s="30"/>
      <c r="P504" s="27"/>
      <c r="Q504" s="30"/>
      <c r="R504" s="27"/>
      <c r="S504" s="30"/>
      <c r="W504" s="1"/>
      <c r="Y504" s="2"/>
      <c r="Z504" s="2"/>
      <c r="AA504" s="2"/>
      <c r="AB504" s="2"/>
      <c r="AC504" s="4"/>
    </row>
    <row r="505" spans="1:29" ht="13.5" customHeight="1">
      <c r="A505" s="2"/>
      <c r="C505" s="3"/>
      <c r="D505" s="3"/>
      <c r="E505" s="3"/>
      <c r="F505" s="3"/>
      <c r="G505" s="3"/>
      <c r="H505" s="22"/>
      <c r="I505" s="22"/>
      <c r="J505" s="22"/>
      <c r="K505" s="22"/>
      <c r="L505" s="27"/>
      <c r="M505" s="30"/>
      <c r="N505" s="27"/>
      <c r="O505" s="30"/>
      <c r="P505" s="27"/>
      <c r="Q505" s="30"/>
      <c r="R505" s="27"/>
      <c r="S505" s="30"/>
      <c r="W505" s="1"/>
      <c r="Y505" s="2"/>
      <c r="Z505" s="2"/>
      <c r="AA505" s="2"/>
      <c r="AB505" s="2"/>
      <c r="AC505" s="4"/>
    </row>
    <row r="506" spans="1:29" ht="13.5" customHeight="1">
      <c r="A506" s="2"/>
      <c r="C506" s="3"/>
      <c r="D506" s="3"/>
      <c r="E506" s="3"/>
      <c r="F506" s="3"/>
      <c r="G506" s="3"/>
      <c r="H506" s="22"/>
      <c r="I506" s="22"/>
      <c r="J506" s="22"/>
      <c r="K506" s="22"/>
      <c r="L506" s="27"/>
      <c r="M506" s="30"/>
      <c r="N506" s="27"/>
      <c r="O506" s="30"/>
      <c r="P506" s="27"/>
      <c r="Q506" s="30"/>
      <c r="R506" s="27"/>
      <c r="S506" s="30"/>
      <c r="W506" s="1"/>
      <c r="Y506" s="2"/>
      <c r="Z506" s="2"/>
      <c r="AA506" s="2"/>
      <c r="AB506" s="2"/>
      <c r="AC506" s="4"/>
    </row>
    <row r="507" spans="1:29" ht="13.5" customHeight="1">
      <c r="A507" s="2"/>
      <c r="C507" s="3"/>
      <c r="D507" s="3"/>
      <c r="E507" s="3"/>
      <c r="F507" s="3"/>
      <c r="G507" s="3"/>
      <c r="H507" s="22"/>
      <c r="I507" s="22"/>
      <c r="J507" s="22"/>
      <c r="K507" s="22"/>
      <c r="L507" s="27"/>
      <c r="M507" s="30"/>
      <c r="N507" s="27"/>
      <c r="O507" s="30"/>
      <c r="P507" s="27"/>
      <c r="Q507" s="30"/>
      <c r="R507" s="27"/>
      <c r="S507" s="30"/>
      <c r="W507" s="1"/>
      <c r="Y507" s="2"/>
      <c r="Z507" s="2"/>
      <c r="AA507" s="2"/>
      <c r="AB507" s="2"/>
      <c r="AC507" s="4"/>
    </row>
    <row r="508" spans="1:29" ht="13.5" customHeight="1">
      <c r="A508" s="2"/>
      <c r="C508" s="3"/>
      <c r="D508" s="3"/>
      <c r="E508" s="3"/>
      <c r="F508" s="3"/>
      <c r="G508" s="3"/>
      <c r="H508" s="22"/>
      <c r="I508" s="22"/>
      <c r="J508" s="22"/>
      <c r="K508" s="22"/>
      <c r="L508" s="27"/>
      <c r="M508" s="30"/>
      <c r="N508" s="27"/>
      <c r="O508" s="30"/>
      <c r="P508" s="27"/>
      <c r="Q508" s="30"/>
      <c r="R508" s="27"/>
      <c r="S508" s="30"/>
      <c r="W508" s="1"/>
      <c r="Y508" s="2"/>
      <c r="Z508" s="2"/>
      <c r="AA508" s="2"/>
      <c r="AB508" s="2"/>
      <c r="AC508" s="4"/>
    </row>
    <row r="509" spans="1:29" ht="13.5" customHeight="1">
      <c r="A509" s="2"/>
      <c r="C509" s="3"/>
      <c r="D509" s="3"/>
      <c r="E509" s="3"/>
      <c r="F509" s="3"/>
      <c r="G509" s="3"/>
      <c r="H509" s="22"/>
      <c r="I509" s="22"/>
      <c r="J509" s="22"/>
      <c r="K509" s="22"/>
      <c r="L509" s="27"/>
      <c r="M509" s="30"/>
      <c r="N509" s="27"/>
      <c r="O509" s="30"/>
      <c r="P509" s="27"/>
      <c r="Q509" s="30"/>
      <c r="R509" s="27"/>
      <c r="S509" s="30"/>
      <c r="W509" s="1"/>
      <c r="Y509" s="2"/>
      <c r="Z509" s="2"/>
      <c r="AA509" s="2"/>
      <c r="AB509" s="2"/>
      <c r="AC509" s="4"/>
    </row>
    <row r="510" spans="1:29" ht="13.5" customHeight="1">
      <c r="A510" s="2"/>
      <c r="C510" s="3"/>
      <c r="D510" s="3"/>
      <c r="E510" s="3"/>
      <c r="F510" s="3"/>
      <c r="G510" s="3"/>
      <c r="H510" s="22"/>
      <c r="I510" s="22"/>
      <c r="J510" s="22"/>
      <c r="K510" s="22"/>
      <c r="L510" s="27"/>
      <c r="M510" s="30"/>
      <c r="N510" s="27"/>
      <c r="O510" s="30"/>
      <c r="P510" s="27"/>
      <c r="Q510" s="30"/>
      <c r="R510" s="27"/>
      <c r="S510" s="30"/>
      <c r="W510" s="1"/>
      <c r="Y510" s="2"/>
      <c r="Z510" s="2"/>
      <c r="AA510" s="2"/>
      <c r="AB510" s="2"/>
      <c r="AC510" s="4"/>
    </row>
    <row r="511" spans="1:29" ht="13.5" customHeight="1">
      <c r="A511" s="2"/>
      <c r="C511" s="3"/>
      <c r="D511" s="3"/>
      <c r="E511" s="3"/>
      <c r="F511" s="3"/>
      <c r="G511" s="3"/>
      <c r="H511" s="22"/>
      <c r="I511" s="22"/>
      <c r="J511" s="22"/>
      <c r="K511" s="22"/>
      <c r="L511" s="27"/>
      <c r="M511" s="30"/>
      <c r="N511" s="27"/>
      <c r="O511" s="30"/>
      <c r="P511" s="27"/>
      <c r="Q511" s="30"/>
      <c r="R511" s="27"/>
      <c r="S511" s="30"/>
      <c r="W511" s="1"/>
      <c r="Y511" s="2"/>
      <c r="Z511" s="2"/>
      <c r="AA511" s="2"/>
      <c r="AB511" s="2"/>
      <c r="AC511" s="4"/>
    </row>
    <row r="512" spans="1:29" ht="13.5" customHeight="1">
      <c r="A512" s="2"/>
      <c r="C512" s="3"/>
      <c r="D512" s="3"/>
      <c r="E512" s="3"/>
      <c r="F512" s="3"/>
      <c r="G512" s="3"/>
      <c r="H512" s="22"/>
      <c r="I512" s="22"/>
      <c r="J512" s="22"/>
      <c r="K512" s="22"/>
      <c r="L512" s="27"/>
      <c r="M512" s="30"/>
      <c r="N512" s="27"/>
      <c r="O512" s="30"/>
      <c r="P512" s="27"/>
      <c r="Q512" s="30"/>
      <c r="R512" s="27"/>
      <c r="S512" s="30"/>
      <c r="W512" s="1"/>
      <c r="Y512" s="2"/>
      <c r="Z512" s="2"/>
      <c r="AA512" s="2"/>
      <c r="AB512" s="2"/>
      <c r="AC512" s="4"/>
    </row>
    <row r="513" spans="1:29" ht="13.5" customHeight="1">
      <c r="A513" s="2"/>
      <c r="C513" s="3"/>
      <c r="D513" s="3"/>
      <c r="E513" s="3"/>
      <c r="F513" s="3"/>
      <c r="G513" s="3"/>
      <c r="H513" s="22"/>
      <c r="I513" s="22"/>
      <c r="J513" s="22"/>
      <c r="K513" s="22"/>
      <c r="L513" s="27"/>
      <c r="M513" s="30"/>
      <c r="N513" s="27"/>
      <c r="O513" s="30"/>
      <c r="P513" s="27"/>
      <c r="Q513" s="30"/>
      <c r="R513" s="27"/>
      <c r="S513" s="30"/>
      <c r="W513" s="1"/>
      <c r="Y513" s="2"/>
      <c r="Z513" s="2"/>
      <c r="AA513" s="2"/>
      <c r="AB513" s="2"/>
      <c r="AC513" s="4"/>
    </row>
    <row r="514" spans="1:29" ht="13.5" customHeight="1">
      <c r="A514" s="2"/>
      <c r="C514" s="3"/>
      <c r="D514" s="3"/>
      <c r="E514" s="3"/>
      <c r="F514" s="3"/>
      <c r="G514" s="3"/>
      <c r="H514" s="22"/>
      <c r="I514" s="22"/>
      <c r="J514" s="22"/>
      <c r="K514" s="22"/>
      <c r="L514" s="27"/>
      <c r="M514" s="30"/>
      <c r="N514" s="27"/>
      <c r="O514" s="30"/>
      <c r="P514" s="27"/>
      <c r="Q514" s="30"/>
      <c r="R514" s="27"/>
      <c r="S514" s="30"/>
      <c r="W514" s="1"/>
      <c r="Y514" s="2"/>
      <c r="Z514" s="2"/>
      <c r="AA514" s="2"/>
      <c r="AB514" s="2"/>
      <c r="AC514" s="4"/>
    </row>
    <row r="515" spans="1:29" ht="13.5" customHeight="1">
      <c r="A515" s="2"/>
      <c r="C515" s="3"/>
      <c r="D515" s="3"/>
      <c r="E515" s="3"/>
      <c r="F515" s="3"/>
      <c r="G515" s="3"/>
      <c r="H515" s="22"/>
      <c r="I515" s="22"/>
      <c r="J515" s="22"/>
      <c r="K515" s="22"/>
      <c r="L515" s="27"/>
      <c r="M515" s="30"/>
      <c r="N515" s="27"/>
      <c r="O515" s="30"/>
      <c r="P515" s="27"/>
      <c r="Q515" s="30"/>
      <c r="R515" s="27"/>
      <c r="S515" s="30"/>
      <c r="W515" s="1"/>
      <c r="Y515" s="2"/>
      <c r="Z515" s="2"/>
      <c r="AA515" s="2"/>
      <c r="AB515" s="2"/>
      <c r="AC515" s="4"/>
    </row>
    <row r="516" spans="1:29" ht="13.5" customHeight="1">
      <c r="A516" s="2"/>
      <c r="C516" s="3"/>
      <c r="D516" s="3"/>
      <c r="E516" s="3"/>
      <c r="F516" s="3"/>
      <c r="G516" s="3"/>
      <c r="H516" s="22"/>
      <c r="I516" s="22"/>
      <c r="J516" s="22"/>
      <c r="K516" s="22"/>
      <c r="L516" s="27"/>
      <c r="M516" s="30"/>
      <c r="N516" s="27"/>
      <c r="O516" s="30"/>
      <c r="P516" s="27"/>
      <c r="Q516" s="30"/>
      <c r="R516" s="27"/>
      <c r="S516" s="30"/>
      <c r="W516" s="1"/>
      <c r="Y516" s="2"/>
      <c r="Z516" s="2"/>
      <c r="AA516" s="2"/>
      <c r="AB516" s="2"/>
      <c r="AC516" s="4"/>
    </row>
    <row r="517" spans="1:29" ht="13.5" customHeight="1">
      <c r="A517" s="2"/>
      <c r="C517" s="3"/>
      <c r="D517" s="3"/>
      <c r="E517" s="3"/>
      <c r="F517" s="3"/>
      <c r="G517" s="3"/>
      <c r="H517" s="22"/>
      <c r="I517" s="22"/>
      <c r="J517" s="22"/>
      <c r="K517" s="22"/>
      <c r="L517" s="27"/>
      <c r="M517" s="30"/>
      <c r="N517" s="27"/>
      <c r="O517" s="30"/>
      <c r="P517" s="27"/>
      <c r="Q517" s="30"/>
      <c r="R517" s="27"/>
      <c r="S517" s="30"/>
      <c r="W517" s="1"/>
      <c r="Y517" s="2"/>
      <c r="Z517" s="2"/>
      <c r="AA517" s="2"/>
      <c r="AB517" s="2"/>
      <c r="AC517" s="4"/>
    </row>
    <row r="518" spans="1:29" ht="13.5" customHeight="1">
      <c r="A518" s="2"/>
      <c r="C518" s="3"/>
      <c r="D518" s="3"/>
      <c r="E518" s="3"/>
      <c r="F518" s="3"/>
      <c r="G518" s="3"/>
      <c r="H518" s="22"/>
      <c r="I518" s="22"/>
      <c r="J518" s="22"/>
      <c r="K518" s="22"/>
      <c r="L518" s="27"/>
      <c r="M518" s="30"/>
      <c r="N518" s="27"/>
      <c r="O518" s="30"/>
      <c r="P518" s="27"/>
      <c r="Q518" s="30"/>
      <c r="R518" s="27"/>
      <c r="S518" s="30"/>
      <c r="W518" s="1"/>
      <c r="Y518" s="2"/>
      <c r="Z518" s="2"/>
      <c r="AA518" s="2"/>
      <c r="AB518" s="2"/>
      <c r="AC518" s="4"/>
    </row>
    <row r="519" spans="1:29" ht="13.5" customHeight="1">
      <c r="A519" s="2"/>
      <c r="C519" s="3"/>
      <c r="D519" s="3"/>
      <c r="E519" s="3"/>
      <c r="F519" s="3"/>
      <c r="G519" s="3"/>
      <c r="H519" s="22"/>
      <c r="I519" s="22"/>
      <c r="J519" s="22"/>
      <c r="K519" s="22"/>
      <c r="L519" s="27"/>
      <c r="M519" s="30"/>
      <c r="N519" s="27"/>
      <c r="O519" s="30"/>
      <c r="P519" s="27"/>
      <c r="Q519" s="30"/>
      <c r="R519" s="27"/>
      <c r="S519" s="30"/>
      <c r="W519" s="1"/>
      <c r="Y519" s="2"/>
      <c r="Z519" s="2"/>
      <c r="AA519" s="2"/>
      <c r="AB519" s="2"/>
      <c r="AC519" s="4"/>
    </row>
    <row r="520" spans="1:29" ht="13.5" customHeight="1">
      <c r="A520" s="2"/>
      <c r="C520" s="3"/>
      <c r="D520" s="3"/>
      <c r="E520" s="3"/>
      <c r="F520" s="3"/>
      <c r="G520" s="3"/>
      <c r="H520" s="22"/>
      <c r="I520" s="22"/>
      <c r="J520" s="22"/>
      <c r="K520" s="22"/>
      <c r="L520" s="27"/>
      <c r="M520" s="30"/>
      <c r="N520" s="27"/>
      <c r="O520" s="30"/>
      <c r="P520" s="27"/>
      <c r="Q520" s="30"/>
      <c r="R520" s="27"/>
      <c r="S520" s="30"/>
      <c r="W520" s="1"/>
      <c r="Y520" s="2"/>
      <c r="Z520" s="2"/>
      <c r="AA520" s="2"/>
      <c r="AB520" s="2"/>
      <c r="AC520" s="4"/>
    </row>
    <row r="521" spans="1:29" ht="13.5" customHeight="1">
      <c r="A521" s="2"/>
      <c r="C521" s="3"/>
      <c r="D521" s="3"/>
      <c r="E521" s="3"/>
      <c r="F521" s="3"/>
      <c r="G521" s="3"/>
      <c r="H521" s="22"/>
      <c r="I521" s="22"/>
      <c r="J521" s="22"/>
      <c r="K521" s="22"/>
      <c r="L521" s="27"/>
      <c r="M521" s="30"/>
      <c r="N521" s="27"/>
      <c r="O521" s="30"/>
      <c r="P521" s="27"/>
      <c r="Q521" s="30"/>
      <c r="R521" s="27"/>
      <c r="S521" s="30"/>
      <c r="W521" s="1"/>
      <c r="Y521" s="2"/>
      <c r="Z521" s="2"/>
      <c r="AA521" s="2"/>
      <c r="AB521" s="2"/>
      <c r="AC521" s="4"/>
    </row>
    <row r="522" spans="1:29" ht="13.5" customHeight="1">
      <c r="A522" s="2"/>
      <c r="C522" s="3"/>
      <c r="D522" s="3"/>
      <c r="E522" s="3"/>
      <c r="F522" s="3"/>
      <c r="G522" s="3"/>
      <c r="H522" s="22"/>
      <c r="I522" s="22"/>
      <c r="J522" s="22"/>
      <c r="K522" s="22"/>
      <c r="L522" s="27"/>
      <c r="M522" s="30"/>
      <c r="N522" s="27"/>
      <c r="O522" s="30"/>
      <c r="P522" s="27"/>
      <c r="Q522" s="30"/>
      <c r="R522" s="27"/>
      <c r="S522" s="30"/>
      <c r="W522" s="1"/>
      <c r="Y522" s="2"/>
      <c r="Z522" s="2"/>
      <c r="AA522" s="2"/>
      <c r="AB522" s="2"/>
      <c r="AC522" s="4"/>
    </row>
    <row r="523" spans="1:29" ht="13.5" customHeight="1">
      <c r="A523" s="2"/>
      <c r="C523" s="3"/>
      <c r="D523" s="3"/>
      <c r="E523" s="3"/>
      <c r="F523" s="3"/>
      <c r="G523" s="3"/>
      <c r="H523" s="22"/>
      <c r="I523" s="22"/>
      <c r="J523" s="22"/>
      <c r="K523" s="22"/>
      <c r="L523" s="27"/>
      <c r="M523" s="30"/>
      <c r="N523" s="27"/>
      <c r="O523" s="30"/>
      <c r="P523" s="27"/>
      <c r="Q523" s="30"/>
      <c r="R523" s="27"/>
      <c r="S523" s="30"/>
      <c r="W523" s="1"/>
      <c r="Y523" s="2"/>
      <c r="Z523" s="2"/>
      <c r="AA523" s="2"/>
      <c r="AB523" s="2"/>
      <c r="AC523" s="4"/>
    </row>
    <row r="524" spans="1:29" ht="13.5" customHeight="1">
      <c r="A524" s="2"/>
      <c r="C524" s="3"/>
      <c r="D524" s="3"/>
      <c r="E524" s="3"/>
      <c r="F524" s="3"/>
      <c r="G524" s="3"/>
      <c r="H524" s="22"/>
      <c r="I524" s="22"/>
      <c r="J524" s="22"/>
      <c r="K524" s="22"/>
      <c r="L524" s="27"/>
      <c r="M524" s="30"/>
      <c r="N524" s="27"/>
      <c r="O524" s="30"/>
      <c r="P524" s="27"/>
      <c r="Q524" s="30"/>
      <c r="R524" s="27"/>
      <c r="S524" s="30"/>
      <c r="W524" s="1"/>
      <c r="Y524" s="2"/>
      <c r="Z524" s="2"/>
      <c r="AA524" s="2"/>
      <c r="AB524" s="2"/>
      <c r="AC524" s="4"/>
    </row>
    <row r="525" spans="1:29" ht="13.5" customHeight="1">
      <c r="A525" s="2"/>
      <c r="C525" s="3"/>
      <c r="D525" s="3"/>
      <c r="E525" s="3"/>
      <c r="F525" s="3"/>
      <c r="G525" s="3"/>
      <c r="H525" s="22"/>
      <c r="I525" s="22"/>
      <c r="J525" s="22"/>
      <c r="K525" s="22"/>
      <c r="L525" s="27"/>
      <c r="M525" s="30"/>
      <c r="N525" s="27"/>
      <c r="O525" s="30"/>
      <c r="P525" s="27"/>
      <c r="Q525" s="30"/>
      <c r="R525" s="27"/>
      <c r="S525" s="30"/>
      <c r="W525" s="1"/>
      <c r="Y525" s="2"/>
      <c r="Z525" s="2"/>
      <c r="AA525" s="2"/>
      <c r="AB525" s="2"/>
      <c r="AC525" s="4"/>
    </row>
    <row r="526" spans="1:29" ht="13.5" customHeight="1">
      <c r="A526" s="2"/>
      <c r="C526" s="3"/>
      <c r="D526" s="3"/>
      <c r="E526" s="3"/>
      <c r="F526" s="3"/>
      <c r="G526" s="3"/>
      <c r="H526" s="22"/>
      <c r="I526" s="22"/>
      <c r="J526" s="22"/>
      <c r="K526" s="22"/>
      <c r="L526" s="27"/>
      <c r="M526" s="30"/>
      <c r="N526" s="27"/>
      <c r="O526" s="30"/>
      <c r="P526" s="27"/>
      <c r="Q526" s="30"/>
      <c r="R526" s="27"/>
      <c r="S526" s="30"/>
      <c r="W526" s="1"/>
      <c r="Y526" s="2"/>
      <c r="Z526" s="2"/>
      <c r="AA526" s="2"/>
      <c r="AB526" s="2"/>
      <c r="AC526" s="4"/>
    </row>
    <row r="527" spans="1:29" ht="13.5" customHeight="1">
      <c r="A527" s="2"/>
      <c r="C527" s="3"/>
      <c r="D527" s="3"/>
      <c r="E527" s="3"/>
      <c r="F527" s="3"/>
      <c r="G527" s="3"/>
      <c r="H527" s="22"/>
      <c r="I527" s="22"/>
      <c r="J527" s="22"/>
      <c r="K527" s="22"/>
      <c r="L527" s="27"/>
      <c r="M527" s="30"/>
      <c r="N527" s="27"/>
      <c r="O527" s="30"/>
      <c r="P527" s="27"/>
      <c r="Q527" s="30"/>
      <c r="R527" s="27"/>
      <c r="S527" s="30"/>
      <c r="W527" s="1"/>
      <c r="Y527" s="2"/>
      <c r="Z527" s="2"/>
      <c r="AA527" s="2"/>
      <c r="AB527" s="2"/>
      <c r="AC527" s="4"/>
    </row>
    <row r="528" spans="1:29" ht="13.5" customHeight="1">
      <c r="A528" s="2"/>
      <c r="C528" s="3"/>
      <c r="D528" s="3"/>
      <c r="E528" s="3"/>
      <c r="F528" s="3"/>
      <c r="G528" s="3"/>
      <c r="H528" s="22"/>
      <c r="I528" s="22"/>
      <c r="J528" s="22"/>
      <c r="K528" s="22"/>
      <c r="L528" s="27"/>
      <c r="M528" s="30"/>
      <c r="N528" s="27"/>
      <c r="O528" s="30"/>
      <c r="P528" s="27"/>
      <c r="Q528" s="30"/>
      <c r="R528" s="27"/>
      <c r="S528" s="30"/>
      <c r="W528" s="1"/>
      <c r="Y528" s="2"/>
      <c r="Z528" s="2"/>
      <c r="AA528" s="2"/>
      <c r="AB528" s="2"/>
      <c r="AC528" s="4"/>
    </row>
    <row r="529" spans="1:29" ht="13.5" customHeight="1">
      <c r="A529" s="2"/>
      <c r="C529" s="3"/>
      <c r="D529" s="3"/>
      <c r="E529" s="3"/>
      <c r="F529" s="3"/>
      <c r="G529" s="3"/>
      <c r="H529" s="22"/>
      <c r="I529" s="22"/>
      <c r="J529" s="22"/>
      <c r="K529" s="22"/>
      <c r="L529" s="27"/>
      <c r="M529" s="30"/>
      <c r="N529" s="27"/>
      <c r="O529" s="30"/>
      <c r="P529" s="27"/>
      <c r="Q529" s="30"/>
      <c r="R529" s="27"/>
      <c r="S529" s="30"/>
      <c r="W529" s="1"/>
      <c r="Y529" s="2"/>
      <c r="Z529" s="2"/>
      <c r="AA529" s="2"/>
      <c r="AB529" s="2"/>
      <c r="AC529" s="4"/>
    </row>
    <row r="530" spans="1:29" ht="13.5" customHeight="1">
      <c r="A530" s="2"/>
      <c r="C530" s="3"/>
      <c r="D530" s="3"/>
      <c r="E530" s="3"/>
      <c r="F530" s="3"/>
      <c r="G530" s="3"/>
      <c r="H530" s="22"/>
      <c r="I530" s="22"/>
      <c r="J530" s="22"/>
      <c r="K530" s="22"/>
      <c r="L530" s="27"/>
      <c r="M530" s="30"/>
      <c r="N530" s="27"/>
      <c r="O530" s="30"/>
      <c r="P530" s="27"/>
      <c r="Q530" s="30"/>
      <c r="R530" s="27"/>
      <c r="S530" s="30"/>
      <c r="W530" s="1"/>
      <c r="Y530" s="2"/>
      <c r="Z530" s="2"/>
      <c r="AA530" s="2"/>
      <c r="AB530" s="2"/>
      <c r="AC530" s="4"/>
    </row>
    <row r="531" spans="1:29" ht="13.5" customHeight="1">
      <c r="A531" s="2"/>
      <c r="C531" s="3"/>
      <c r="D531" s="3"/>
      <c r="E531" s="3"/>
      <c r="F531" s="3"/>
      <c r="G531" s="3"/>
      <c r="H531" s="22"/>
      <c r="I531" s="22"/>
      <c r="J531" s="22"/>
      <c r="K531" s="22"/>
      <c r="L531" s="27"/>
      <c r="M531" s="30"/>
      <c r="N531" s="27"/>
      <c r="O531" s="30"/>
      <c r="P531" s="27"/>
      <c r="Q531" s="30"/>
      <c r="R531" s="27"/>
      <c r="S531" s="30"/>
      <c r="W531" s="1"/>
      <c r="Y531" s="2"/>
      <c r="Z531" s="2"/>
      <c r="AA531" s="2"/>
      <c r="AB531" s="2"/>
      <c r="AC531" s="4"/>
    </row>
    <row r="532" spans="1:29" ht="13.5" customHeight="1">
      <c r="A532" s="2"/>
      <c r="C532" s="3"/>
      <c r="D532" s="3"/>
      <c r="E532" s="3"/>
      <c r="F532" s="3"/>
      <c r="G532" s="3"/>
      <c r="H532" s="22"/>
      <c r="I532" s="22"/>
      <c r="J532" s="22"/>
      <c r="K532" s="22"/>
      <c r="L532" s="27"/>
      <c r="M532" s="30"/>
      <c r="N532" s="27"/>
      <c r="O532" s="30"/>
      <c r="P532" s="27"/>
      <c r="Q532" s="30"/>
      <c r="R532" s="27"/>
      <c r="S532" s="30"/>
      <c r="W532" s="1"/>
      <c r="Y532" s="2"/>
      <c r="Z532" s="2"/>
      <c r="AA532" s="2"/>
      <c r="AB532" s="2"/>
      <c r="AC532" s="4"/>
    </row>
    <row r="533" spans="1:29" ht="13.5" customHeight="1">
      <c r="A533" s="2"/>
      <c r="C533" s="3"/>
      <c r="D533" s="3"/>
      <c r="E533" s="3"/>
      <c r="F533" s="3"/>
      <c r="G533" s="3"/>
      <c r="H533" s="22"/>
      <c r="I533" s="22"/>
      <c r="J533" s="22"/>
      <c r="K533" s="22"/>
      <c r="L533" s="27"/>
      <c r="M533" s="30"/>
      <c r="N533" s="27"/>
      <c r="O533" s="30"/>
      <c r="P533" s="27"/>
      <c r="Q533" s="30"/>
      <c r="R533" s="27"/>
      <c r="S533" s="30"/>
      <c r="W533" s="1"/>
      <c r="Y533" s="2"/>
      <c r="Z533" s="2"/>
      <c r="AA533" s="2"/>
      <c r="AB533" s="2"/>
      <c r="AC533" s="4"/>
    </row>
    <row r="534" spans="1:29" ht="13.5" customHeight="1">
      <c r="A534" s="2"/>
      <c r="C534" s="3"/>
      <c r="D534" s="3"/>
      <c r="E534" s="3"/>
      <c r="F534" s="3"/>
      <c r="G534" s="3"/>
      <c r="H534" s="22"/>
      <c r="I534" s="22"/>
      <c r="J534" s="22"/>
      <c r="K534" s="22"/>
      <c r="L534" s="27"/>
      <c r="M534" s="30"/>
      <c r="N534" s="27"/>
      <c r="O534" s="30"/>
      <c r="P534" s="27"/>
      <c r="Q534" s="30"/>
      <c r="R534" s="27"/>
      <c r="S534" s="30"/>
      <c r="W534" s="1"/>
      <c r="Y534" s="2"/>
      <c r="Z534" s="2"/>
      <c r="AA534" s="2"/>
      <c r="AB534" s="2"/>
      <c r="AC534" s="4"/>
    </row>
    <row r="535" spans="1:29" ht="13.5" customHeight="1">
      <c r="A535" s="2"/>
      <c r="C535" s="3"/>
      <c r="D535" s="3"/>
      <c r="E535" s="3"/>
      <c r="F535" s="3"/>
      <c r="G535" s="3"/>
      <c r="H535" s="22"/>
      <c r="I535" s="22"/>
      <c r="J535" s="22"/>
      <c r="K535" s="22"/>
      <c r="L535" s="27"/>
      <c r="M535" s="30"/>
      <c r="N535" s="27"/>
      <c r="O535" s="30"/>
      <c r="P535" s="27"/>
      <c r="Q535" s="30"/>
      <c r="R535" s="27"/>
      <c r="S535" s="30"/>
      <c r="W535" s="1"/>
      <c r="Y535" s="2"/>
      <c r="Z535" s="2"/>
      <c r="AA535" s="2"/>
      <c r="AB535" s="2"/>
      <c r="AC535" s="4"/>
    </row>
    <row r="536" spans="1:29" ht="13.5" customHeight="1">
      <c r="A536" s="2"/>
      <c r="C536" s="3"/>
      <c r="D536" s="3"/>
      <c r="E536" s="3"/>
      <c r="F536" s="3"/>
      <c r="G536" s="3"/>
      <c r="H536" s="22"/>
      <c r="I536" s="22"/>
      <c r="J536" s="22"/>
      <c r="K536" s="22"/>
      <c r="L536" s="27"/>
      <c r="M536" s="30"/>
      <c r="N536" s="27"/>
      <c r="O536" s="30"/>
      <c r="P536" s="27"/>
      <c r="Q536" s="30"/>
      <c r="R536" s="27"/>
      <c r="S536" s="30"/>
      <c r="W536" s="1"/>
      <c r="Y536" s="2"/>
      <c r="Z536" s="2"/>
      <c r="AA536" s="2"/>
      <c r="AB536" s="2"/>
      <c r="AC536" s="4"/>
    </row>
    <row r="537" spans="1:29" ht="13.5" customHeight="1">
      <c r="A537" s="2"/>
      <c r="C537" s="3"/>
      <c r="D537" s="3"/>
      <c r="E537" s="3"/>
      <c r="F537" s="3"/>
      <c r="G537" s="3"/>
      <c r="H537" s="22"/>
      <c r="I537" s="22"/>
      <c r="J537" s="22"/>
      <c r="K537" s="22"/>
      <c r="L537" s="27"/>
      <c r="M537" s="30"/>
      <c r="N537" s="27"/>
      <c r="O537" s="30"/>
      <c r="P537" s="27"/>
      <c r="Q537" s="30"/>
      <c r="R537" s="27"/>
      <c r="S537" s="30"/>
      <c r="W537" s="1"/>
      <c r="Y537" s="2"/>
      <c r="Z537" s="2"/>
      <c r="AA537" s="2"/>
      <c r="AB537" s="2"/>
      <c r="AC537" s="4"/>
    </row>
    <row r="538" spans="1:29" ht="13.5" customHeight="1">
      <c r="A538" s="2"/>
      <c r="C538" s="3"/>
      <c r="D538" s="3"/>
      <c r="E538" s="3"/>
      <c r="F538" s="3"/>
      <c r="G538" s="3"/>
      <c r="H538" s="22"/>
      <c r="I538" s="22"/>
      <c r="J538" s="22"/>
      <c r="K538" s="22"/>
      <c r="L538" s="27"/>
      <c r="M538" s="30"/>
      <c r="N538" s="27"/>
      <c r="O538" s="30"/>
      <c r="P538" s="27"/>
      <c r="Q538" s="30"/>
      <c r="R538" s="27"/>
      <c r="S538" s="30"/>
      <c r="W538" s="1"/>
      <c r="Y538" s="2"/>
      <c r="Z538" s="2"/>
      <c r="AA538" s="2"/>
      <c r="AB538" s="2"/>
      <c r="AC538" s="4"/>
    </row>
    <row r="539" spans="1:29" ht="13.5" customHeight="1">
      <c r="A539" s="2"/>
      <c r="C539" s="3"/>
      <c r="D539" s="3"/>
      <c r="E539" s="3"/>
      <c r="F539" s="3"/>
      <c r="G539" s="3"/>
      <c r="H539" s="22"/>
      <c r="I539" s="22"/>
      <c r="J539" s="22"/>
      <c r="K539" s="22"/>
      <c r="L539" s="27"/>
      <c r="M539" s="30"/>
      <c r="N539" s="27"/>
      <c r="O539" s="30"/>
      <c r="P539" s="27"/>
      <c r="Q539" s="30"/>
      <c r="R539" s="27"/>
      <c r="S539" s="30"/>
      <c r="W539" s="1"/>
      <c r="Y539" s="2"/>
      <c r="Z539" s="2"/>
      <c r="AA539" s="2"/>
      <c r="AB539" s="2"/>
      <c r="AC539" s="4"/>
    </row>
    <row r="540" spans="1:29" ht="13.5" customHeight="1">
      <c r="A540" s="2"/>
      <c r="C540" s="3"/>
      <c r="D540" s="3"/>
      <c r="E540" s="3"/>
      <c r="F540" s="3"/>
      <c r="G540" s="3"/>
      <c r="H540" s="22"/>
      <c r="I540" s="22"/>
      <c r="J540" s="22"/>
      <c r="K540" s="22"/>
      <c r="L540" s="27"/>
      <c r="M540" s="30"/>
      <c r="N540" s="27"/>
      <c r="O540" s="30"/>
      <c r="P540" s="27"/>
      <c r="Q540" s="30"/>
      <c r="R540" s="27"/>
      <c r="S540" s="30"/>
      <c r="W540" s="1"/>
      <c r="Y540" s="2"/>
      <c r="Z540" s="2"/>
      <c r="AA540" s="2"/>
      <c r="AB540" s="2"/>
      <c r="AC540" s="4"/>
    </row>
    <row r="541" spans="1:29" ht="13.5" customHeight="1">
      <c r="A541" s="2"/>
      <c r="C541" s="3"/>
      <c r="D541" s="3"/>
      <c r="E541" s="3"/>
      <c r="F541" s="3"/>
      <c r="G541" s="3"/>
      <c r="H541" s="22"/>
      <c r="I541" s="22"/>
      <c r="J541" s="22"/>
      <c r="K541" s="22"/>
      <c r="L541" s="27"/>
      <c r="M541" s="30"/>
      <c r="N541" s="27"/>
      <c r="O541" s="30"/>
      <c r="P541" s="27"/>
      <c r="Q541" s="30"/>
      <c r="R541" s="27"/>
      <c r="S541" s="30"/>
      <c r="W541" s="1"/>
      <c r="Y541" s="2"/>
      <c r="Z541" s="2"/>
      <c r="AA541" s="2"/>
      <c r="AB541" s="2"/>
      <c r="AC541" s="4"/>
    </row>
    <row r="542" spans="1:29" ht="13.5" customHeight="1">
      <c r="A542" s="2"/>
      <c r="C542" s="3"/>
      <c r="D542" s="3"/>
      <c r="E542" s="3"/>
      <c r="F542" s="3"/>
      <c r="G542" s="3"/>
      <c r="H542" s="22"/>
      <c r="I542" s="22"/>
      <c r="J542" s="22"/>
      <c r="K542" s="22"/>
      <c r="L542" s="27"/>
      <c r="M542" s="30"/>
      <c r="N542" s="27"/>
      <c r="O542" s="30"/>
      <c r="P542" s="27"/>
      <c r="Q542" s="30"/>
      <c r="R542" s="27"/>
      <c r="S542" s="30"/>
      <c r="W542" s="1"/>
      <c r="Y542" s="2"/>
      <c r="Z542" s="2"/>
      <c r="AA542" s="2"/>
      <c r="AB542" s="2"/>
      <c r="AC542" s="4"/>
    </row>
    <row r="543" spans="1:29" ht="13.5" customHeight="1">
      <c r="A543" s="2"/>
      <c r="C543" s="3"/>
      <c r="D543" s="3"/>
      <c r="E543" s="3"/>
      <c r="F543" s="3"/>
      <c r="G543" s="3"/>
      <c r="H543" s="22"/>
      <c r="I543" s="22"/>
      <c r="J543" s="22"/>
      <c r="K543" s="22"/>
      <c r="L543" s="27"/>
      <c r="M543" s="30"/>
      <c r="N543" s="27"/>
      <c r="O543" s="30"/>
      <c r="P543" s="27"/>
      <c r="Q543" s="30"/>
      <c r="R543" s="27"/>
      <c r="S543" s="30"/>
      <c r="W543" s="1"/>
      <c r="Y543" s="2"/>
      <c r="Z543" s="2"/>
      <c r="AA543" s="2"/>
      <c r="AB543" s="2"/>
      <c r="AC543" s="4"/>
    </row>
    <row r="544" spans="1:29" ht="13.5" customHeight="1">
      <c r="A544" s="2"/>
      <c r="C544" s="3"/>
      <c r="D544" s="3"/>
      <c r="E544" s="3"/>
      <c r="F544" s="3"/>
      <c r="G544" s="3"/>
      <c r="H544" s="22"/>
      <c r="I544" s="22"/>
      <c r="J544" s="22"/>
      <c r="K544" s="22"/>
      <c r="L544" s="27"/>
      <c r="M544" s="30"/>
      <c r="N544" s="27"/>
      <c r="O544" s="30"/>
      <c r="P544" s="27"/>
      <c r="Q544" s="30"/>
      <c r="R544" s="27"/>
      <c r="S544" s="30"/>
      <c r="W544" s="1"/>
      <c r="Y544" s="2"/>
      <c r="Z544" s="2"/>
      <c r="AA544" s="2"/>
      <c r="AB544" s="2"/>
      <c r="AC544" s="4"/>
    </row>
    <row r="545" spans="1:29" ht="13.5" customHeight="1">
      <c r="A545" s="2"/>
      <c r="C545" s="3"/>
      <c r="D545" s="3"/>
      <c r="E545" s="3"/>
      <c r="F545" s="3"/>
      <c r="G545" s="3"/>
      <c r="H545" s="22"/>
      <c r="I545" s="22"/>
      <c r="J545" s="22"/>
      <c r="K545" s="22"/>
      <c r="L545" s="27"/>
      <c r="M545" s="30"/>
      <c r="N545" s="27"/>
      <c r="O545" s="30"/>
      <c r="P545" s="27"/>
      <c r="Q545" s="30"/>
      <c r="R545" s="27"/>
      <c r="S545" s="30"/>
      <c r="W545" s="1"/>
      <c r="Y545" s="2"/>
      <c r="Z545" s="2"/>
      <c r="AA545" s="2"/>
      <c r="AB545" s="2"/>
      <c r="AC545" s="4"/>
    </row>
    <row r="546" spans="1:29" ht="13.5" customHeight="1">
      <c r="A546" s="2"/>
      <c r="C546" s="3"/>
      <c r="D546" s="3"/>
      <c r="E546" s="3"/>
      <c r="F546" s="3"/>
      <c r="G546" s="3"/>
      <c r="H546" s="22"/>
      <c r="I546" s="22"/>
      <c r="J546" s="22"/>
      <c r="K546" s="22"/>
      <c r="L546" s="27"/>
      <c r="M546" s="30"/>
      <c r="N546" s="27"/>
      <c r="O546" s="30"/>
      <c r="P546" s="27"/>
      <c r="Q546" s="30"/>
      <c r="R546" s="27"/>
      <c r="S546" s="30"/>
      <c r="W546" s="1"/>
      <c r="Y546" s="2"/>
      <c r="Z546" s="2"/>
      <c r="AA546" s="2"/>
      <c r="AB546" s="2"/>
      <c r="AC546" s="4"/>
    </row>
    <row r="547" spans="1:29" ht="13.5" customHeight="1">
      <c r="A547" s="2"/>
      <c r="C547" s="3"/>
      <c r="D547" s="3"/>
      <c r="E547" s="3"/>
      <c r="F547" s="3"/>
      <c r="G547" s="3"/>
      <c r="H547" s="22"/>
      <c r="I547" s="22"/>
      <c r="J547" s="22"/>
      <c r="K547" s="22"/>
      <c r="L547" s="27"/>
      <c r="M547" s="30"/>
      <c r="N547" s="27"/>
      <c r="O547" s="30"/>
      <c r="P547" s="27"/>
      <c r="Q547" s="30"/>
      <c r="R547" s="27"/>
      <c r="S547" s="30"/>
      <c r="W547" s="1"/>
      <c r="Y547" s="2"/>
      <c r="Z547" s="2"/>
      <c r="AA547" s="2"/>
      <c r="AB547" s="2"/>
      <c r="AC547" s="4"/>
    </row>
    <row r="548" spans="1:29" ht="13.5" customHeight="1">
      <c r="A548" s="2"/>
      <c r="C548" s="3"/>
      <c r="D548" s="3"/>
      <c r="E548" s="3"/>
      <c r="F548" s="3"/>
      <c r="G548" s="3"/>
      <c r="H548" s="22"/>
      <c r="I548" s="22"/>
      <c r="J548" s="22"/>
      <c r="K548" s="22"/>
      <c r="L548" s="27"/>
      <c r="M548" s="30"/>
      <c r="N548" s="27"/>
      <c r="O548" s="30"/>
      <c r="P548" s="27"/>
      <c r="Q548" s="30"/>
      <c r="R548" s="27"/>
      <c r="S548" s="30"/>
      <c r="W548" s="1"/>
      <c r="Y548" s="2"/>
      <c r="Z548" s="2"/>
      <c r="AA548" s="2"/>
      <c r="AB548" s="2"/>
      <c r="AC548" s="4"/>
    </row>
    <row r="549" spans="1:29" ht="13.5" customHeight="1">
      <c r="A549" s="2"/>
      <c r="C549" s="3"/>
      <c r="D549" s="3"/>
      <c r="E549" s="3"/>
      <c r="F549" s="3"/>
      <c r="G549" s="3"/>
      <c r="H549" s="22"/>
      <c r="I549" s="22"/>
      <c r="J549" s="22"/>
      <c r="K549" s="22"/>
      <c r="L549" s="27"/>
      <c r="M549" s="30"/>
      <c r="N549" s="27"/>
      <c r="O549" s="30"/>
      <c r="P549" s="27"/>
      <c r="Q549" s="30"/>
      <c r="R549" s="27"/>
      <c r="S549" s="30"/>
      <c r="W549" s="1"/>
      <c r="Y549" s="2"/>
      <c r="Z549" s="2"/>
      <c r="AA549" s="2"/>
      <c r="AB549" s="2"/>
      <c r="AC549" s="4"/>
    </row>
    <row r="550" spans="1:29" ht="13.5" customHeight="1">
      <c r="A550" s="2"/>
      <c r="C550" s="3"/>
      <c r="D550" s="3"/>
      <c r="E550" s="3"/>
      <c r="F550" s="3"/>
      <c r="G550" s="3"/>
      <c r="H550" s="22"/>
      <c r="I550" s="22"/>
      <c r="J550" s="22"/>
      <c r="K550" s="22"/>
      <c r="L550" s="27"/>
      <c r="M550" s="30"/>
      <c r="N550" s="27"/>
      <c r="O550" s="30"/>
      <c r="P550" s="27"/>
      <c r="Q550" s="30"/>
      <c r="R550" s="27"/>
      <c r="S550" s="30"/>
      <c r="W550" s="1"/>
      <c r="Y550" s="2"/>
      <c r="Z550" s="2"/>
      <c r="AA550" s="2"/>
      <c r="AB550" s="2"/>
      <c r="AC550" s="4"/>
    </row>
    <row r="551" spans="1:29" ht="13.5" customHeight="1">
      <c r="A551" s="2"/>
      <c r="C551" s="3"/>
      <c r="D551" s="3"/>
      <c r="E551" s="3"/>
      <c r="F551" s="3"/>
      <c r="G551" s="3"/>
      <c r="H551" s="22"/>
      <c r="I551" s="22"/>
      <c r="J551" s="22"/>
      <c r="K551" s="22"/>
      <c r="L551" s="27"/>
      <c r="M551" s="30"/>
      <c r="N551" s="27"/>
      <c r="O551" s="30"/>
      <c r="P551" s="27"/>
      <c r="Q551" s="30"/>
      <c r="R551" s="27"/>
      <c r="S551" s="30"/>
      <c r="W551" s="1"/>
      <c r="Y551" s="2"/>
      <c r="Z551" s="2"/>
      <c r="AA551" s="2"/>
      <c r="AB551" s="2"/>
      <c r="AC551" s="4"/>
    </row>
    <row r="552" spans="1:29" ht="13.5" customHeight="1">
      <c r="A552" s="2"/>
      <c r="C552" s="3"/>
      <c r="D552" s="3"/>
      <c r="E552" s="3"/>
      <c r="F552" s="3"/>
      <c r="G552" s="3"/>
      <c r="H552" s="22"/>
      <c r="I552" s="22"/>
      <c r="J552" s="22"/>
      <c r="K552" s="22"/>
      <c r="L552" s="27"/>
      <c r="M552" s="30"/>
      <c r="N552" s="27"/>
      <c r="O552" s="30"/>
      <c r="P552" s="27"/>
      <c r="Q552" s="30"/>
      <c r="R552" s="27"/>
      <c r="S552" s="30"/>
      <c r="W552" s="1"/>
      <c r="Y552" s="2"/>
      <c r="Z552" s="2"/>
      <c r="AA552" s="2"/>
      <c r="AB552" s="2"/>
      <c r="AC552" s="4"/>
    </row>
    <row r="553" spans="1:29" ht="13.5" customHeight="1">
      <c r="A553" s="2"/>
      <c r="C553" s="3"/>
      <c r="D553" s="3"/>
      <c r="E553" s="3"/>
      <c r="F553" s="3"/>
      <c r="G553" s="3"/>
      <c r="H553" s="22"/>
      <c r="I553" s="22"/>
      <c r="J553" s="22"/>
      <c r="K553" s="22"/>
      <c r="L553" s="27"/>
      <c r="M553" s="30"/>
      <c r="N553" s="27"/>
      <c r="O553" s="30"/>
      <c r="P553" s="27"/>
      <c r="Q553" s="30"/>
      <c r="R553" s="27"/>
      <c r="S553" s="30"/>
      <c r="W553" s="1"/>
      <c r="Y553" s="2"/>
      <c r="Z553" s="2"/>
      <c r="AA553" s="2"/>
      <c r="AB553" s="2"/>
      <c r="AC553" s="4"/>
    </row>
    <row r="554" spans="1:29" ht="13.5" customHeight="1">
      <c r="A554" s="2"/>
      <c r="C554" s="3"/>
      <c r="D554" s="3"/>
      <c r="E554" s="3"/>
      <c r="F554" s="3"/>
      <c r="G554" s="3"/>
      <c r="H554" s="22"/>
      <c r="I554" s="22"/>
      <c r="J554" s="22"/>
      <c r="K554" s="22"/>
      <c r="L554" s="27"/>
      <c r="M554" s="30"/>
      <c r="N554" s="27"/>
      <c r="O554" s="30"/>
      <c r="P554" s="27"/>
      <c r="Q554" s="30"/>
      <c r="R554" s="27"/>
      <c r="S554" s="30"/>
      <c r="W554" s="1"/>
      <c r="Y554" s="2"/>
      <c r="Z554" s="2"/>
      <c r="AA554" s="2"/>
      <c r="AB554" s="2"/>
      <c r="AC554" s="4"/>
    </row>
    <row r="555" spans="1:29" ht="13.5" customHeight="1">
      <c r="A555" s="2"/>
      <c r="C555" s="3"/>
      <c r="D555" s="3"/>
      <c r="E555" s="3"/>
      <c r="F555" s="3"/>
      <c r="G555" s="3"/>
      <c r="H555" s="22"/>
      <c r="I555" s="22"/>
      <c r="J555" s="22"/>
      <c r="K555" s="22"/>
      <c r="L555" s="27"/>
      <c r="M555" s="30"/>
      <c r="N555" s="27"/>
      <c r="O555" s="30"/>
      <c r="P555" s="27"/>
      <c r="Q555" s="30"/>
      <c r="R555" s="27"/>
      <c r="S555" s="30"/>
      <c r="W555" s="1"/>
      <c r="Y555" s="2"/>
      <c r="Z555" s="2"/>
      <c r="AA555" s="2"/>
      <c r="AB555" s="2"/>
      <c r="AC555" s="4"/>
    </row>
    <row r="556" spans="1:29" ht="13.5" customHeight="1">
      <c r="A556" s="2"/>
      <c r="C556" s="3"/>
      <c r="D556" s="3"/>
      <c r="E556" s="3"/>
      <c r="F556" s="3"/>
      <c r="G556" s="3"/>
      <c r="H556" s="22"/>
      <c r="I556" s="22"/>
      <c r="J556" s="22"/>
      <c r="K556" s="22"/>
      <c r="L556" s="27"/>
      <c r="M556" s="30"/>
      <c r="N556" s="27"/>
      <c r="O556" s="30"/>
      <c r="P556" s="27"/>
      <c r="Q556" s="30"/>
      <c r="R556" s="27"/>
      <c r="S556" s="30"/>
      <c r="W556" s="1"/>
      <c r="Y556" s="2"/>
      <c r="Z556" s="2"/>
      <c r="AA556" s="2"/>
      <c r="AB556" s="2"/>
      <c r="AC556" s="4"/>
    </row>
    <row r="557" spans="1:29" ht="13.5" customHeight="1">
      <c r="A557" s="2"/>
      <c r="C557" s="3"/>
      <c r="D557" s="3"/>
      <c r="E557" s="3"/>
      <c r="F557" s="3"/>
      <c r="G557" s="3"/>
      <c r="H557" s="22"/>
      <c r="I557" s="22"/>
      <c r="J557" s="22"/>
      <c r="K557" s="22"/>
      <c r="L557" s="27"/>
      <c r="M557" s="30"/>
      <c r="N557" s="27"/>
      <c r="O557" s="30"/>
      <c r="P557" s="27"/>
      <c r="Q557" s="30"/>
      <c r="R557" s="27"/>
      <c r="S557" s="30"/>
      <c r="W557" s="1"/>
      <c r="Y557" s="2"/>
      <c r="Z557" s="2"/>
      <c r="AA557" s="2"/>
      <c r="AB557" s="2"/>
      <c r="AC557" s="4"/>
    </row>
    <row r="558" spans="1:29" ht="13.5" customHeight="1">
      <c r="A558" s="2"/>
      <c r="C558" s="3"/>
      <c r="D558" s="3"/>
      <c r="E558" s="3"/>
      <c r="F558" s="3"/>
      <c r="G558" s="3"/>
      <c r="H558" s="22"/>
      <c r="I558" s="22"/>
      <c r="J558" s="22"/>
      <c r="K558" s="22"/>
      <c r="L558" s="27"/>
      <c r="M558" s="30"/>
      <c r="N558" s="27"/>
      <c r="O558" s="30"/>
      <c r="P558" s="27"/>
      <c r="Q558" s="30"/>
      <c r="R558" s="27"/>
      <c r="S558" s="30"/>
      <c r="W558" s="1"/>
      <c r="Y558" s="2"/>
      <c r="Z558" s="2"/>
      <c r="AA558" s="2"/>
      <c r="AB558" s="2"/>
      <c r="AC558" s="4"/>
    </row>
    <row r="559" spans="1:29" ht="13.5" customHeight="1">
      <c r="A559" s="2"/>
      <c r="C559" s="3"/>
      <c r="D559" s="3"/>
      <c r="E559" s="3"/>
      <c r="F559" s="3"/>
      <c r="G559" s="3"/>
      <c r="H559" s="22"/>
      <c r="I559" s="22"/>
      <c r="J559" s="22"/>
      <c r="K559" s="22"/>
      <c r="L559" s="27"/>
      <c r="M559" s="30"/>
      <c r="N559" s="27"/>
      <c r="O559" s="30"/>
      <c r="P559" s="27"/>
      <c r="Q559" s="30"/>
      <c r="R559" s="27"/>
      <c r="S559" s="30"/>
      <c r="W559" s="1"/>
      <c r="Y559" s="2"/>
      <c r="Z559" s="2"/>
      <c r="AA559" s="2"/>
      <c r="AB559" s="2"/>
      <c r="AC559" s="4"/>
    </row>
    <row r="560" spans="1:29" ht="13.5" customHeight="1">
      <c r="A560" s="2"/>
      <c r="C560" s="3"/>
      <c r="D560" s="3"/>
      <c r="E560" s="3"/>
      <c r="F560" s="3"/>
      <c r="G560" s="3"/>
      <c r="H560" s="22"/>
      <c r="I560" s="22"/>
      <c r="J560" s="22"/>
      <c r="K560" s="22"/>
      <c r="L560" s="27"/>
      <c r="M560" s="30"/>
      <c r="N560" s="27"/>
      <c r="O560" s="30"/>
      <c r="P560" s="27"/>
      <c r="Q560" s="30"/>
      <c r="R560" s="27"/>
      <c r="S560" s="30"/>
      <c r="W560" s="1"/>
      <c r="Y560" s="2"/>
      <c r="Z560" s="2"/>
      <c r="AA560" s="2"/>
      <c r="AB560" s="2"/>
      <c r="AC560" s="4"/>
    </row>
    <row r="561" spans="1:29" ht="13.5" customHeight="1">
      <c r="A561" s="2"/>
      <c r="C561" s="3"/>
      <c r="D561" s="3"/>
      <c r="E561" s="3"/>
      <c r="F561" s="3"/>
      <c r="G561" s="3"/>
      <c r="H561" s="22"/>
      <c r="I561" s="22"/>
      <c r="J561" s="22"/>
      <c r="K561" s="22"/>
      <c r="L561" s="27"/>
      <c r="M561" s="30"/>
      <c r="N561" s="27"/>
      <c r="O561" s="30"/>
      <c r="P561" s="27"/>
      <c r="Q561" s="30"/>
      <c r="R561" s="27"/>
      <c r="S561" s="30"/>
      <c r="W561" s="1"/>
      <c r="Y561" s="2"/>
      <c r="Z561" s="2"/>
      <c r="AA561" s="2"/>
      <c r="AB561" s="2"/>
      <c r="AC561" s="4"/>
    </row>
    <row r="562" spans="1:29" ht="13.5" customHeight="1">
      <c r="A562" s="2"/>
      <c r="C562" s="3"/>
      <c r="D562" s="3"/>
      <c r="E562" s="3"/>
      <c r="F562" s="3"/>
      <c r="G562" s="3"/>
      <c r="H562" s="22"/>
      <c r="I562" s="22"/>
      <c r="J562" s="22"/>
      <c r="K562" s="22"/>
      <c r="L562" s="27"/>
      <c r="M562" s="30"/>
      <c r="N562" s="27"/>
      <c r="O562" s="30"/>
      <c r="P562" s="27"/>
      <c r="Q562" s="30"/>
      <c r="R562" s="27"/>
      <c r="S562" s="30"/>
      <c r="W562" s="1"/>
      <c r="Y562" s="2"/>
      <c r="Z562" s="2"/>
      <c r="AA562" s="2"/>
      <c r="AB562" s="2"/>
      <c r="AC562" s="4"/>
    </row>
    <row r="563" spans="1:29" ht="13.5" customHeight="1">
      <c r="A563" s="2"/>
      <c r="C563" s="3"/>
      <c r="D563" s="3"/>
      <c r="E563" s="3"/>
      <c r="F563" s="3"/>
      <c r="G563" s="3"/>
      <c r="H563" s="22"/>
      <c r="I563" s="22"/>
      <c r="J563" s="22"/>
      <c r="K563" s="22"/>
      <c r="L563" s="27"/>
      <c r="M563" s="30"/>
      <c r="N563" s="27"/>
      <c r="O563" s="30"/>
      <c r="P563" s="27"/>
      <c r="Q563" s="30"/>
      <c r="R563" s="27"/>
      <c r="S563" s="30"/>
      <c r="W563" s="1"/>
      <c r="Y563" s="2"/>
      <c r="Z563" s="2"/>
      <c r="AA563" s="2"/>
      <c r="AB563" s="2"/>
      <c r="AC563" s="4"/>
    </row>
    <row r="564" spans="1:29" ht="13.5" customHeight="1">
      <c r="A564" s="2"/>
      <c r="C564" s="3"/>
      <c r="D564" s="3"/>
      <c r="E564" s="3"/>
      <c r="F564" s="3"/>
      <c r="G564" s="3"/>
      <c r="H564" s="22"/>
      <c r="I564" s="22"/>
      <c r="J564" s="22"/>
      <c r="K564" s="22"/>
      <c r="L564" s="27"/>
      <c r="M564" s="30"/>
      <c r="N564" s="27"/>
      <c r="O564" s="30"/>
      <c r="P564" s="27"/>
      <c r="Q564" s="30"/>
      <c r="R564" s="27"/>
      <c r="S564" s="30"/>
      <c r="W564" s="1"/>
      <c r="Y564" s="2"/>
      <c r="Z564" s="2"/>
      <c r="AA564" s="2"/>
      <c r="AB564" s="2"/>
      <c r="AC564" s="4"/>
    </row>
    <row r="565" spans="1:29" ht="13.5" customHeight="1">
      <c r="A565" s="2"/>
      <c r="C565" s="3"/>
      <c r="D565" s="3"/>
      <c r="E565" s="3"/>
      <c r="F565" s="3"/>
      <c r="G565" s="3"/>
      <c r="H565" s="22"/>
      <c r="I565" s="22"/>
      <c r="J565" s="22"/>
      <c r="K565" s="22"/>
      <c r="L565" s="27"/>
      <c r="M565" s="30"/>
      <c r="N565" s="27"/>
      <c r="O565" s="30"/>
      <c r="P565" s="27"/>
      <c r="Q565" s="30"/>
      <c r="R565" s="27"/>
      <c r="S565" s="30"/>
      <c r="W565" s="1"/>
      <c r="Y565" s="2"/>
      <c r="Z565" s="2"/>
      <c r="AA565" s="2"/>
      <c r="AB565" s="2"/>
      <c r="AC565" s="4"/>
    </row>
    <row r="566" spans="1:29" ht="13.5" customHeight="1">
      <c r="A566" s="2"/>
      <c r="C566" s="3"/>
      <c r="D566" s="3"/>
      <c r="E566" s="3"/>
      <c r="F566" s="3"/>
      <c r="G566" s="3"/>
      <c r="H566" s="22"/>
      <c r="I566" s="22"/>
      <c r="J566" s="22"/>
      <c r="K566" s="22"/>
      <c r="L566" s="27"/>
      <c r="M566" s="30"/>
      <c r="N566" s="27"/>
      <c r="O566" s="30"/>
      <c r="P566" s="27"/>
      <c r="Q566" s="30"/>
      <c r="R566" s="27"/>
      <c r="S566" s="30"/>
      <c r="W566" s="1"/>
      <c r="Y566" s="2"/>
      <c r="Z566" s="2"/>
      <c r="AA566" s="2"/>
      <c r="AB566" s="2"/>
      <c r="AC566" s="4"/>
    </row>
    <row r="567" spans="1:29" ht="13.5" customHeight="1">
      <c r="A567" s="2"/>
      <c r="C567" s="3"/>
      <c r="D567" s="3"/>
      <c r="E567" s="3"/>
      <c r="F567" s="3"/>
      <c r="G567" s="3"/>
      <c r="H567" s="22"/>
      <c r="I567" s="22"/>
      <c r="J567" s="22"/>
      <c r="K567" s="22"/>
      <c r="L567" s="27"/>
      <c r="M567" s="30"/>
      <c r="N567" s="27"/>
      <c r="O567" s="30"/>
      <c r="P567" s="27"/>
      <c r="Q567" s="30"/>
      <c r="R567" s="27"/>
      <c r="S567" s="30"/>
      <c r="W567" s="1"/>
      <c r="Y567" s="2"/>
      <c r="Z567" s="2"/>
      <c r="AA567" s="2"/>
      <c r="AB567" s="2"/>
      <c r="AC567" s="4"/>
    </row>
    <row r="568" spans="1:29" ht="13.5" customHeight="1">
      <c r="A568" s="2"/>
      <c r="C568" s="3"/>
      <c r="D568" s="3"/>
      <c r="E568" s="3"/>
      <c r="F568" s="3"/>
      <c r="G568" s="3"/>
      <c r="H568" s="22"/>
      <c r="I568" s="22"/>
      <c r="J568" s="22"/>
      <c r="K568" s="22"/>
      <c r="L568" s="27"/>
      <c r="M568" s="30"/>
      <c r="N568" s="27"/>
      <c r="O568" s="30"/>
      <c r="P568" s="27"/>
      <c r="Q568" s="30"/>
      <c r="R568" s="27"/>
      <c r="S568" s="30"/>
      <c r="W568" s="1"/>
      <c r="Y568" s="2"/>
      <c r="Z568" s="2"/>
      <c r="AA568" s="2"/>
      <c r="AB568" s="2"/>
      <c r="AC568" s="4"/>
    </row>
    <row r="569" spans="1:29" ht="13.5" customHeight="1">
      <c r="A569" s="2"/>
      <c r="C569" s="3"/>
      <c r="D569" s="3"/>
      <c r="E569" s="3"/>
      <c r="F569" s="3"/>
      <c r="G569" s="3"/>
      <c r="H569" s="22"/>
      <c r="I569" s="22"/>
      <c r="J569" s="22"/>
      <c r="K569" s="22"/>
      <c r="L569" s="27"/>
      <c r="M569" s="30"/>
      <c r="N569" s="27"/>
      <c r="O569" s="30"/>
      <c r="P569" s="27"/>
      <c r="Q569" s="30"/>
      <c r="R569" s="27"/>
      <c r="S569" s="30"/>
      <c r="W569" s="1"/>
      <c r="Y569" s="2"/>
      <c r="Z569" s="2"/>
      <c r="AA569" s="2"/>
      <c r="AB569" s="2"/>
      <c r="AC569" s="4"/>
    </row>
    <row r="570" spans="1:29" ht="13.5" customHeight="1">
      <c r="A570" s="2"/>
      <c r="C570" s="3"/>
      <c r="D570" s="3"/>
      <c r="E570" s="3"/>
      <c r="F570" s="3"/>
      <c r="G570" s="3"/>
      <c r="H570" s="22"/>
      <c r="I570" s="22"/>
      <c r="J570" s="22"/>
      <c r="K570" s="22"/>
      <c r="L570" s="27"/>
      <c r="M570" s="30"/>
      <c r="N570" s="27"/>
      <c r="O570" s="30"/>
      <c r="P570" s="27"/>
      <c r="Q570" s="30"/>
      <c r="R570" s="27"/>
      <c r="S570" s="30"/>
      <c r="W570" s="1"/>
      <c r="Y570" s="2"/>
      <c r="Z570" s="2"/>
      <c r="AA570" s="2"/>
      <c r="AB570" s="2"/>
      <c r="AC570" s="4"/>
    </row>
    <row r="571" spans="1:29" ht="13.5" customHeight="1">
      <c r="A571" s="2"/>
      <c r="C571" s="3"/>
      <c r="D571" s="3"/>
      <c r="E571" s="3"/>
      <c r="F571" s="3"/>
      <c r="G571" s="3"/>
      <c r="H571" s="22"/>
      <c r="I571" s="22"/>
      <c r="J571" s="22"/>
      <c r="K571" s="22"/>
      <c r="L571" s="27"/>
      <c r="M571" s="30"/>
      <c r="N571" s="27"/>
      <c r="O571" s="30"/>
      <c r="P571" s="27"/>
      <c r="Q571" s="30"/>
      <c r="R571" s="27"/>
      <c r="S571" s="30"/>
      <c r="W571" s="1"/>
      <c r="Y571" s="2"/>
      <c r="Z571" s="2"/>
      <c r="AA571" s="2"/>
      <c r="AB571" s="2"/>
      <c r="AC571" s="4"/>
    </row>
    <row r="572" spans="1:29" ht="13.5" customHeight="1">
      <c r="A572" s="2"/>
      <c r="C572" s="3"/>
      <c r="D572" s="3"/>
      <c r="E572" s="3"/>
      <c r="F572" s="3"/>
      <c r="G572" s="3"/>
      <c r="H572" s="22"/>
      <c r="I572" s="22"/>
      <c r="J572" s="22"/>
      <c r="K572" s="22"/>
      <c r="L572" s="27"/>
      <c r="M572" s="30"/>
      <c r="N572" s="27"/>
      <c r="O572" s="30"/>
      <c r="P572" s="27"/>
      <c r="Q572" s="30"/>
      <c r="R572" s="27"/>
      <c r="S572" s="30"/>
      <c r="W572" s="1"/>
      <c r="Y572" s="2"/>
      <c r="Z572" s="2"/>
      <c r="AA572" s="2"/>
      <c r="AB572" s="2"/>
      <c r="AC572" s="4"/>
    </row>
    <row r="573" spans="1:29" ht="13.5" customHeight="1">
      <c r="A573" s="2"/>
      <c r="C573" s="3"/>
      <c r="D573" s="3"/>
      <c r="E573" s="3"/>
      <c r="F573" s="3"/>
      <c r="G573" s="3"/>
      <c r="H573" s="22"/>
      <c r="I573" s="22"/>
      <c r="J573" s="22"/>
      <c r="K573" s="22"/>
      <c r="L573" s="27"/>
      <c r="M573" s="30"/>
      <c r="N573" s="27"/>
      <c r="O573" s="30"/>
      <c r="P573" s="27"/>
      <c r="Q573" s="30"/>
      <c r="R573" s="27"/>
      <c r="S573" s="30"/>
      <c r="W573" s="1"/>
      <c r="Y573" s="2"/>
      <c r="Z573" s="2"/>
      <c r="AA573" s="2"/>
      <c r="AB573" s="2"/>
      <c r="AC573" s="4"/>
    </row>
    <row r="574" spans="1:29" ht="13.5" customHeight="1">
      <c r="A574" s="2"/>
      <c r="C574" s="3"/>
      <c r="D574" s="3"/>
      <c r="E574" s="3"/>
      <c r="F574" s="3"/>
      <c r="G574" s="3"/>
      <c r="H574" s="22"/>
      <c r="I574" s="22"/>
      <c r="J574" s="22"/>
      <c r="K574" s="22"/>
      <c r="L574" s="27"/>
      <c r="M574" s="30"/>
      <c r="N574" s="27"/>
      <c r="O574" s="30"/>
      <c r="P574" s="27"/>
      <c r="Q574" s="30"/>
      <c r="R574" s="27"/>
      <c r="S574" s="30"/>
      <c r="W574" s="1"/>
      <c r="Y574" s="2"/>
      <c r="Z574" s="2"/>
      <c r="AA574" s="2"/>
      <c r="AB574" s="2"/>
      <c r="AC574" s="4"/>
    </row>
    <row r="575" spans="1:29" ht="13.5" customHeight="1">
      <c r="A575" s="2"/>
      <c r="C575" s="3"/>
      <c r="D575" s="3"/>
      <c r="E575" s="3"/>
      <c r="F575" s="3"/>
      <c r="G575" s="3"/>
      <c r="H575" s="22"/>
      <c r="I575" s="22"/>
      <c r="J575" s="22"/>
      <c r="K575" s="22"/>
      <c r="L575" s="27"/>
      <c r="M575" s="30"/>
      <c r="N575" s="27"/>
      <c r="O575" s="30"/>
      <c r="P575" s="27"/>
      <c r="Q575" s="30"/>
      <c r="R575" s="27"/>
      <c r="S575" s="30"/>
      <c r="W575" s="1"/>
      <c r="Y575" s="2"/>
      <c r="Z575" s="2"/>
      <c r="AA575" s="2"/>
      <c r="AB575" s="2"/>
      <c r="AC575" s="4"/>
    </row>
    <row r="576" spans="1:29" ht="13.5" customHeight="1">
      <c r="A576" s="2"/>
      <c r="C576" s="3"/>
      <c r="D576" s="3"/>
      <c r="E576" s="3"/>
      <c r="F576" s="3"/>
      <c r="G576" s="3"/>
      <c r="H576" s="22"/>
      <c r="I576" s="22"/>
      <c r="J576" s="22"/>
      <c r="K576" s="22"/>
      <c r="L576" s="27"/>
      <c r="M576" s="30"/>
      <c r="N576" s="27"/>
      <c r="O576" s="30"/>
      <c r="P576" s="27"/>
      <c r="Q576" s="30"/>
      <c r="R576" s="27"/>
      <c r="S576" s="30"/>
      <c r="W576" s="1"/>
      <c r="Y576" s="2"/>
      <c r="Z576" s="2"/>
      <c r="AA576" s="2"/>
      <c r="AB576" s="2"/>
      <c r="AC576" s="4"/>
    </row>
    <row r="577" spans="1:29" ht="13.5" customHeight="1">
      <c r="A577" s="2"/>
      <c r="C577" s="3"/>
      <c r="D577" s="3"/>
      <c r="E577" s="3"/>
      <c r="F577" s="3"/>
      <c r="G577" s="3"/>
      <c r="H577" s="22"/>
      <c r="I577" s="22"/>
      <c r="J577" s="22"/>
      <c r="K577" s="22"/>
      <c r="L577" s="27"/>
      <c r="M577" s="30"/>
      <c r="N577" s="27"/>
      <c r="O577" s="30"/>
      <c r="P577" s="27"/>
      <c r="Q577" s="30"/>
      <c r="R577" s="27"/>
      <c r="S577" s="30"/>
      <c r="W577" s="1"/>
      <c r="Y577" s="2"/>
      <c r="Z577" s="2"/>
      <c r="AA577" s="2"/>
      <c r="AB577" s="2"/>
      <c r="AC577" s="4"/>
    </row>
    <row r="578" spans="1:29" ht="13.5" customHeight="1">
      <c r="A578" s="2"/>
      <c r="C578" s="3"/>
      <c r="D578" s="3"/>
      <c r="E578" s="3"/>
      <c r="F578" s="3"/>
      <c r="G578" s="3"/>
      <c r="H578" s="22"/>
      <c r="I578" s="22"/>
      <c r="J578" s="22"/>
      <c r="K578" s="22"/>
      <c r="L578" s="27"/>
      <c r="M578" s="30"/>
      <c r="N578" s="27"/>
      <c r="O578" s="30"/>
      <c r="P578" s="27"/>
      <c r="Q578" s="30"/>
      <c r="R578" s="27"/>
      <c r="S578" s="30"/>
      <c r="W578" s="1"/>
      <c r="Y578" s="2"/>
      <c r="Z578" s="2"/>
      <c r="AA578" s="2"/>
      <c r="AB578" s="2"/>
      <c r="AC578" s="4"/>
    </row>
    <row r="579" spans="1:29" ht="13.5" customHeight="1">
      <c r="A579" s="2"/>
      <c r="C579" s="3"/>
      <c r="D579" s="3"/>
      <c r="E579" s="3"/>
      <c r="F579" s="3"/>
      <c r="G579" s="3"/>
      <c r="H579" s="22"/>
      <c r="I579" s="22"/>
      <c r="J579" s="22"/>
      <c r="K579" s="22"/>
      <c r="L579" s="27"/>
      <c r="M579" s="30"/>
      <c r="N579" s="27"/>
      <c r="O579" s="30"/>
      <c r="P579" s="27"/>
      <c r="Q579" s="30"/>
      <c r="R579" s="27"/>
      <c r="S579" s="30"/>
      <c r="W579" s="1"/>
      <c r="Y579" s="2"/>
      <c r="Z579" s="2"/>
      <c r="AA579" s="2"/>
      <c r="AB579" s="2"/>
      <c r="AC579" s="4"/>
    </row>
    <row r="580" spans="1:29" ht="13.5" customHeight="1">
      <c r="A580" s="2"/>
      <c r="C580" s="3"/>
      <c r="D580" s="3"/>
      <c r="E580" s="3"/>
      <c r="F580" s="3"/>
      <c r="G580" s="3"/>
      <c r="H580" s="22"/>
      <c r="I580" s="22"/>
      <c r="J580" s="22"/>
      <c r="K580" s="22"/>
      <c r="L580" s="27"/>
      <c r="M580" s="30"/>
      <c r="N580" s="27"/>
      <c r="O580" s="30"/>
      <c r="P580" s="27"/>
      <c r="Q580" s="30"/>
      <c r="R580" s="27"/>
      <c r="S580" s="30"/>
      <c r="W580" s="1"/>
      <c r="Y580" s="2"/>
      <c r="Z580" s="2"/>
      <c r="AA580" s="2"/>
      <c r="AB580" s="2"/>
      <c r="AC580" s="4"/>
    </row>
    <row r="581" spans="1:29" ht="13.5" customHeight="1">
      <c r="A581" s="2"/>
      <c r="C581" s="3"/>
      <c r="D581" s="3"/>
      <c r="E581" s="3"/>
      <c r="F581" s="3"/>
      <c r="G581" s="3"/>
      <c r="H581" s="22"/>
      <c r="I581" s="22"/>
      <c r="J581" s="22"/>
      <c r="K581" s="22"/>
      <c r="L581" s="27"/>
      <c r="M581" s="30"/>
      <c r="N581" s="27"/>
      <c r="O581" s="30"/>
      <c r="P581" s="27"/>
      <c r="Q581" s="30"/>
      <c r="R581" s="27"/>
      <c r="S581" s="30"/>
      <c r="W581" s="1"/>
      <c r="Y581" s="2"/>
      <c r="Z581" s="2"/>
      <c r="AA581" s="2"/>
      <c r="AB581" s="2"/>
      <c r="AC581" s="4"/>
    </row>
    <row r="582" spans="1:29" ht="13.5" customHeight="1">
      <c r="A582" s="2"/>
      <c r="C582" s="3"/>
      <c r="D582" s="3"/>
      <c r="E582" s="3"/>
      <c r="F582" s="3"/>
      <c r="G582" s="3"/>
      <c r="H582" s="22"/>
      <c r="I582" s="22"/>
      <c r="J582" s="22"/>
      <c r="K582" s="22"/>
      <c r="L582" s="27"/>
      <c r="M582" s="30"/>
      <c r="N582" s="27"/>
      <c r="O582" s="30"/>
      <c r="P582" s="27"/>
      <c r="Q582" s="30"/>
      <c r="R582" s="27"/>
      <c r="S582" s="30"/>
      <c r="W582" s="1"/>
      <c r="Y582" s="2"/>
      <c r="Z582" s="2"/>
      <c r="AA582" s="2"/>
      <c r="AB582" s="2"/>
      <c r="AC582" s="4"/>
    </row>
    <row r="583" spans="1:29" ht="13.5" customHeight="1">
      <c r="A583" s="2"/>
      <c r="C583" s="3"/>
      <c r="D583" s="3"/>
      <c r="E583" s="3"/>
      <c r="F583" s="3"/>
      <c r="G583" s="3"/>
      <c r="H583" s="22"/>
      <c r="I583" s="22"/>
      <c r="J583" s="22"/>
      <c r="K583" s="22"/>
      <c r="L583" s="27"/>
      <c r="M583" s="30"/>
      <c r="N583" s="27"/>
      <c r="O583" s="30"/>
      <c r="P583" s="27"/>
      <c r="Q583" s="30"/>
      <c r="R583" s="27"/>
      <c r="S583" s="30"/>
      <c r="W583" s="1"/>
      <c r="Y583" s="2"/>
      <c r="Z583" s="2"/>
      <c r="AA583" s="2"/>
      <c r="AB583" s="2"/>
      <c r="AC583" s="4"/>
    </row>
    <row r="584" spans="1:29" ht="13.5" customHeight="1">
      <c r="A584" s="2"/>
      <c r="C584" s="3"/>
      <c r="D584" s="3"/>
      <c r="E584" s="3"/>
      <c r="F584" s="3"/>
      <c r="G584" s="3"/>
      <c r="H584" s="22"/>
      <c r="I584" s="22"/>
      <c r="J584" s="22"/>
      <c r="K584" s="22"/>
      <c r="L584" s="27"/>
      <c r="M584" s="30"/>
      <c r="N584" s="27"/>
      <c r="O584" s="30"/>
      <c r="P584" s="27"/>
      <c r="Q584" s="30"/>
      <c r="R584" s="27"/>
      <c r="S584" s="30"/>
      <c r="W584" s="1"/>
      <c r="Y584" s="2"/>
      <c r="Z584" s="2"/>
      <c r="AA584" s="2"/>
      <c r="AB584" s="2"/>
      <c r="AC584" s="4"/>
    </row>
    <row r="585" spans="1:29" ht="13.5" customHeight="1">
      <c r="A585" s="2"/>
      <c r="C585" s="3"/>
      <c r="D585" s="3"/>
      <c r="E585" s="3"/>
      <c r="F585" s="3"/>
      <c r="G585" s="3"/>
      <c r="H585" s="22"/>
      <c r="I585" s="22"/>
      <c r="J585" s="22"/>
      <c r="K585" s="22"/>
      <c r="L585" s="27"/>
      <c r="M585" s="30"/>
      <c r="N585" s="27"/>
      <c r="O585" s="30"/>
      <c r="P585" s="27"/>
      <c r="Q585" s="30"/>
      <c r="R585" s="27"/>
      <c r="S585" s="30"/>
      <c r="W585" s="1"/>
      <c r="Y585" s="2"/>
      <c r="Z585" s="2"/>
      <c r="AA585" s="2"/>
      <c r="AB585" s="2"/>
      <c r="AC585" s="4"/>
    </row>
    <row r="586" spans="1:29" ht="13.5" customHeight="1">
      <c r="A586" s="2"/>
      <c r="C586" s="3"/>
      <c r="D586" s="3"/>
      <c r="E586" s="3"/>
      <c r="F586" s="3"/>
      <c r="G586" s="3"/>
      <c r="H586" s="22"/>
      <c r="I586" s="22"/>
      <c r="J586" s="22"/>
      <c r="K586" s="22"/>
      <c r="L586" s="27"/>
      <c r="M586" s="30"/>
      <c r="N586" s="27"/>
      <c r="O586" s="30"/>
      <c r="P586" s="27"/>
      <c r="Q586" s="30"/>
      <c r="R586" s="27"/>
      <c r="S586" s="30"/>
      <c r="W586" s="1"/>
      <c r="Y586" s="2"/>
      <c r="Z586" s="2"/>
      <c r="AA586" s="2"/>
      <c r="AB586" s="2"/>
      <c r="AC586" s="4"/>
    </row>
    <row r="587" spans="1:29" ht="13.5" customHeight="1">
      <c r="A587" s="2"/>
      <c r="C587" s="3"/>
      <c r="D587" s="3"/>
      <c r="E587" s="3"/>
      <c r="F587" s="3"/>
      <c r="G587" s="3"/>
      <c r="H587" s="22"/>
      <c r="I587" s="22"/>
      <c r="J587" s="22"/>
      <c r="K587" s="22"/>
      <c r="L587" s="27"/>
      <c r="M587" s="30"/>
      <c r="N587" s="27"/>
      <c r="O587" s="30"/>
      <c r="P587" s="27"/>
      <c r="Q587" s="30"/>
      <c r="R587" s="27"/>
      <c r="S587" s="30"/>
      <c r="W587" s="1"/>
      <c r="Y587" s="2"/>
      <c r="Z587" s="2"/>
      <c r="AA587" s="2"/>
      <c r="AB587" s="2"/>
      <c r="AC587" s="4"/>
    </row>
    <row r="588" spans="1:29" ht="13.5" customHeight="1">
      <c r="A588" s="2"/>
      <c r="C588" s="3"/>
      <c r="D588" s="3"/>
      <c r="E588" s="3"/>
      <c r="F588" s="3"/>
      <c r="G588" s="3"/>
      <c r="H588" s="22"/>
      <c r="I588" s="22"/>
      <c r="J588" s="22"/>
      <c r="K588" s="22"/>
      <c r="L588" s="27"/>
      <c r="M588" s="30"/>
      <c r="N588" s="27"/>
      <c r="O588" s="30"/>
      <c r="P588" s="27"/>
      <c r="Q588" s="30"/>
      <c r="R588" s="27"/>
      <c r="S588" s="30"/>
      <c r="W588" s="1"/>
      <c r="Y588" s="2"/>
      <c r="Z588" s="2"/>
      <c r="AA588" s="2"/>
      <c r="AB588" s="2"/>
      <c r="AC588" s="4"/>
    </row>
    <row r="589" spans="1:29" ht="13.5" customHeight="1">
      <c r="A589" s="2"/>
      <c r="C589" s="3"/>
      <c r="D589" s="3"/>
      <c r="E589" s="3"/>
      <c r="F589" s="3"/>
      <c r="G589" s="3"/>
      <c r="H589" s="22"/>
      <c r="I589" s="22"/>
      <c r="J589" s="22"/>
      <c r="K589" s="22"/>
      <c r="L589" s="27"/>
      <c r="M589" s="30"/>
      <c r="N589" s="27"/>
      <c r="O589" s="30"/>
      <c r="P589" s="27"/>
      <c r="Q589" s="30"/>
      <c r="R589" s="27"/>
      <c r="S589" s="30"/>
      <c r="W589" s="1"/>
      <c r="Y589" s="2"/>
      <c r="Z589" s="2"/>
      <c r="AA589" s="2"/>
      <c r="AB589" s="2"/>
      <c r="AC589" s="4"/>
    </row>
    <row r="590" spans="1:29" ht="13.5" customHeight="1">
      <c r="A590" s="2"/>
      <c r="C590" s="3"/>
      <c r="D590" s="3"/>
      <c r="E590" s="3"/>
      <c r="F590" s="3"/>
      <c r="G590" s="3"/>
      <c r="H590" s="22"/>
      <c r="I590" s="22"/>
      <c r="J590" s="22"/>
      <c r="K590" s="22"/>
      <c r="L590" s="27"/>
      <c r="M590" s="30"/>
      <c r="N590" s="27"/>
      <c r="O590" s="30"/>
      <c r="P590" s="27"/>
      <c r="Q590" s="30"/>
      <c r="R590" s="27"/>
      <c r="S590" s="30"/>
      <c r="W590" s="1"/>
      <c r="Y590" s="2"/>
      <c r="Z590" s="2"/>
      <c r="AA590" s="2"/>
      <c r="AB590" s="2"/>
      <c r="AC590" s="4"/>
    </row>
    <row r="591" spans="1:29" ht="13.5" customHeight="1">
      <c r="A591" s="2"/>
      <c r="C591" s="3"/>
      <c r="D591" s="3"/>
      <c r="E591" s="3"/>
      <c r="F591" s="3"/>
      <c r="G591" s="3"/>
      <c r="H591" s="22"/>
      <c r="I591" s="22"/>
      <c r="J591" s="22"/>
      <c r="K591" s="22"/>
      <c r="L591" s="27"/>
      <c r="M591" s="30"/>
      <c r="N591" s="27"/>
      <c r="O591" s="30"/>
      <c r="P591" s="27"/>
      <c r="Q591" s="30"/>
      <c r="R591" s="27"/>
      <c r="S591" s="30"/>
      <c r="W591" s="1"/>
      <c r="Y591" s="2"/>
      <c r="Z591" s="2"/>
      <c r="AA591" s="2"/>
      <c r="AB591" s="2"/>
      <c r="AC591" s="4"/>
    </row>
    <row r="592" spans="1:29" ht="13.5" customHeight="1">
      <c r="A592" s="2"/>
      <c r="C592" s="3"/>
      <c r="D592" s="3"/>
      <c r="E592" s="3"/>
      <c r="F592" s="3"/>
      <c r="G592" s="3"/>
      <c r="H592" s="22"/>
      <c r="I592" s="22"/>
      <c r="J592" s="22"/>
      <c r="K592" s="22"/>
      <c r="L592" s="27"/>
      <c r="M592" s="30"/>
      <c r="N592" s="27"/>
      <c r="O592" s="30"/>
      <c r="P592" s="27"/>
      <c r="Q592" s="30"/>
      <c r="R592" s="27"/>
      <c r="S592" s="30"/>
      <c r="W592" s="1"/>
      <c r="Y592" s="2"/>
      <c r="Z592" s="2"/>
      <c r="AA592" s="2"/>
      <c r="AB592" s="2"/>
      <c r="AC592" s="4"/>
    </row>
    <row r="593" spans="1:29" ht="13.5" customHeight="1">
      <c r="A593" s="2"/>
      <c r="C593" s="3"/>
      <c r="D593" s="3"/>
      <c r="E593" s="3"/>
      <c r="F593" s="3"/>
      <c r="G593" s="3"/>
      <c r="H593" s="22"/>
      <c r="I593" s="22"/>
      <c r="J593" s="22"/>
      <c r="K593" s="22"/>
      <c r="L593" s="27"/>
      <c r="M593" s="30"/>
      <c r="N593" s="27"/>
      <c r="O593" s="30"/>
      <c r="P593" s="27"/>
      <c r="Q593" s="30"/>
      <c r="R593" s="27"/>
      <c r="S593" s="30"/>
      <c r="W593" s="1"/>
      <c r="Y593" s="2"/>
      <c r="Z593" s="2"/>
      <c r="AA593" s="2"/>
      <c r="AB593" s="2"/>
      <c r="AC593" s="4"/>
    </row>
    <row r="594" spans="1:29" ht="13.5" customHeight="1">
      <c r="A594" s="2"/>
      <c r="C594" s="3"/>
      <c r="D594" s="3"/>
      <c r="E594" s="3"/>
      <c r="F594" s="3"/>
      <c r="G594" s="3"/>
      <c r="H594" s="22"/>
      <c r="I594" s="22"/>
      <c r="J594" s="22"/>
      <c r="K594" s="22"/>
      <c r="L594" s="27"/>
      <c r="M594" s="30"/>
      <c r="N594" s="27"/>
      <c r="O594" s="30"/>
      <c r="P594" s="27"/>
      <c r="Q594" s="30"/>
      <c r="R594" s="27"/>
      <c r="S594" s="30"/>
      <c r="W594" s="1"/>
      <c r="Y594" s="2"/>
      <c r="Z594" s="2"/>
      <c r="AA594" s="2"/>
      <c r="AB594" s="2"/>
      <c r="AC594" s="4"/>
    </row>
    <row r="595" spans="1:29" ht="13.5" customHeight="1">
      <c r="A595" s="2"/>
      <c r="C595" s="3"/>
      <c r="D595" s="3"/>
      <c r="E595" s="3"/>
      <c r="F595" s="3"/>
      <c r="G595" s="3"/>
      <c r="H595" s="22"/>
      <c r="I595" s="22"/>
      <c r="J595" s="22"/>
      <c r="K595" s="22"/>
      <c r="L595" s="27"/>
      <c r="M595" s="30"/>
      <c r="N595" s="27"/>
      <c r="O595" s="30"/>
      <c r="P595" s="27"/>
      <c r="Q595" s="30"/>
      <c r="R595" s="27"/>
      <c r="S595" s="30"/>
      <c r="W595" s="1"/>
      <c r="Y595" s="2"/>
      <c r="Z595" s="2"/>
      <c r="AA595" s="2"/>
      <c r="AB595" s="2"/>
      <c r="AC595" s="4"/>
    </row>
    <row r="596" spans="1:29" ht="13.5" customHeight="1">
      <c r="A596" s="2"/>
      <c r="C596" s="3"/>
      <c r="D596" s="3"/>
      <c r="E596" s="3"/>
      <c r="F596" s="3"/>
      <c r="G596" s="3"/>
      <c r="H596" s="22"/>
      <c r="I596" s="22"/>
      <c r="J596" s="22"/>
      <c r="K596" s="22"/>
      <c r="L596" s="27"/>
      <c r="M596" s="30"/>
      <c r="N596" s="27"/>
      <c r="O596" s="30"/>
      <c r="P596" s="27"/>
      <c r="Q596" s="30"/>
      <c r="R596" s="27"/>
      <c r="S596" s="30"/>
      <c r="W596" s="1"/>
      <c r="Y596" s="2"/>
      <c r="Z596" s="2"/>
      <c r="AA596" s="2"/>
      <c r="AB596" s="2"/>
      <c r="AC596" s="4"/>
    </row>
    <row r="597" spans="1:29" ht="13.5" customHeight="1">
      <c r="A597" s="2"/>
      <c r="C597" s="3"/>
      <c r="D597" s="3"/>
      <c r="E597" s="3"/>
      <c r="F597" s="3"/>
      <c r="G597" s="3"/>
      <c r="H597" s="22"/>
      <c r="I597" s="22"/>
      <c r="J597" s="22"/>
      <c r="K597" s="22"/>
      <c r="L597" s="27"/>
      <c r="M597" s="30"/>
      <c r="N597" s="27"/>
      <c r="O597" s="30"/>
      <c r="P597" s="27"/>
      <c r="Q597" s="30"/>
      <c r="R597" s="27"/>
      <c r="S597" s="30"/>
      <c r="W597" s="1"/>
      <c r="Y597" s="2"/>
      <c r="Z597" s="2"/>
      <c r="AA597" s="2"/>
      <c r="AB597" s="2"/>
      <c r="AC597" s="4"/>
    </row>
    <row r="598" spans="1:29" ht="13.5" customHeight="1">
      <c r="A598" s="2"/>
      <c r="C598" s="3"/>
      <c r="D598" s="3"/>
      <c r="E598" s="3"/>
      <c r="F598" s="3"/>
      <c r="G598" s="3"/>
      <c r="H598" s="22"/>
      <c r="I598" s="22"/>
      <c r="J598" s="22"/>
      <c r="K598" s="22"/>
      <c r="L598" s="27"/>
      <c r="M598" s="30"/>
      <c r="N598" s="27"/>
      <c r="O598" s="30"/>
      <c r="P598" s="27"/>
      <c r="Q598" s="30"/>
      <c r="R598" s="27"/>
      <c r="S598" s="30"/>
      <c r="W598" s="1"/>
      <c r="Y598" s="2"/>
      <c r="Z598" s="2"/>
      <c r="AA598" s="2"/>
      <c r="AB598" s="2"/>
      <c r="AC598" s="4"/>
    </row>
    <row r="599" spans="1:29" ht="13.5" customHeight="1">
      <c r="A599" s="2"/>
      <c r="C599" s="3"/>
      <c r="D599" s="3"/>
      <c r="E599" s="3"/>
      <c r="F599" s="3"/>
      <c r="G599" s="3"/>
      <c r="H599" s="22"/>
      <c r="I599" s="22"/>
      <c r="J599" s="22"/>
      <c r="K599" s="22"/>
      <c r="L599" s="27"/>
      <c r="M599" s="30"/>
      <c r="N599" s="27"/>
      <c r="O599" s="30"/>
      <c r="P599" s="27"/>
      <c r="Q599" s="30"/>
      <c r="R599" s="27"/>
      <c r="S599" s="30"/>
      <c r="W599" s="1"/>
      <c r="Y599" s="2"/>
      <c r="Z599" s="2"/>
      <c r="AA599" s="2"/>
      <c r="AB599" s="2"/>
      <c r="AC599" s="4"/>
    </row>
    <row r="600" spans="1:29" ht="13.5" customHeight="1">
      <c r="A600" s="2"/>
      <c r="C600" s="3"/>
      <c r="D600" s="3"/>
      <c r="E600" s="3"/>
      <c r="F600" s="3"/>
      <c r="G600" s="3"/>
      <c r="H600" s="22"/>
      <c r="I600" s="22"/>
      <c r="J600" s="22"/>
      <c r="K600" s="22"/>
      <c r="L600" s="27"/>
      <c r="M600" s="30"/>
      <c r="N600" s="27"/>
      <c r="O600" s="30"/>
      <c r="P600" s="27"/>
      <c r="Q600" s="30"/>
      <c r="R600" s="27"/>
      <c r="S600" s="30"/>
      <c r="W600" s="1"/>
      <c r="Y600" s="2"/>
      <c r="Z600" s="2"/>
      <c r="AA600" s="2"/>
      <c r="AB600" s="2"/>
      <c r="AC600" s="4"/>
    </row>
    <row r="601" spans="1:29" ht="13.5" customHeight="1">
      <c r="A601" s="2"/>
      <c r="C601" s="3"/>
      <c r="D601" s="3"/>
      <c r="E601" s="3"/>
      <c r="F601" s="3"/>
      <c r="G601" s="3"/>
      <c r="H601" s="22"/>
      <c r="I601" s="22"/>
      <c r="J601" s="22"/>
      <c r="K601" s="22"/>
      <c r="L601" s="27"/>
      <c r="M601" s="30"/>
      <c r="N601" s="27"/>
      <c r="O601" s="30"/>
      <c r="P601" s="27"/>
      <c r="Q601" s="30"/>
      <c r="R601" s="27"/>
      <c r="S601" s="30"/>
      <c r="W601" s="1"/>
      <c r="Y601" s="2"/>
      <c r="Z601" s="2"/>
      <c r="AA601" s="2"/>
      <c r="AB601" s="2"/>
      <c r="AC601" s="4"/>
    </row>
    <row r="602" spans="1:29" ht="13.5" customHeight="1">
      <c r="A602" s="2"/>
      <c r="C602" s="3"/>
      <c r="D602" s="3"/>
      <c r="E602" s="3"/>
      <c r="F602" s="3"/>
      <c r="G602" s="3"/>
      <c r="H602" s="22"/>
      <c r="I602" s="22"/>
      <c r="J602" s="22"/>
      <c r="K602" s="22"/>
      <c r="L602" s="27"/>
      <c r="M602" s="30"/>
      <c r="N602" s="27"/>
      <c r="O602" s="30"/>
      <c r="P602" s="27"/>
      <c r="Q602" s="30"/>
      <c r="R602" s="27"/>
      <c r="S602" s="30"/>
      <c r="W602" s="1"/>
      <c r="Y602" s="2"/>
      <c r="Z602" s="2"/>
      <c r="AA602" s="2"/>
      <c r="AB602" s="2"/>
      <c r="AC602" s="4"/>
    </row>
    <row r="603" spans="1:29" ht="13.5" customHeight="1">
      <c r="A603" s="2"/>
      <c r="C603" s="3"/>
      <c r="D603" s="3"/>
      <c r="E603" s="3"/>
      <c r="F603" s="3"/>
      <c r="G603" s="3"/>
      <c r="H603" s="22"/>
      <c r="I603" s="22"/>
      <c r="J603" s="22"/>
      <c r="K603" s="22"/>
      <c r="L603" s="27"/>
      <c r="M603" s="30"/>
      <c r="N603" s="27"/>
      <c r="O603" s="30"/>
      <c r="P603" s="27"/>
      <c r="Q603" s="30"/>
      <c r="R603" s="27"/>
      <c r="S603" s="30"/>
      <c r="W603" s="1"/>
      <c r="Y603" s="2"/>
      <c r="Z603" s="2"/>
      <c r="AA603" s="2"/>
      <c r="AB603" s="2"/>
      <c r="AC603" s="4"/>
    </row>
    <row r="604" spans="1:29" ht="13.5" customHeight="1">
      <c r="A604" s="2"/>
      <c r="C604" s="3"/>
      <c r="D604" s="3"/>
      <c r="E604" s="3"/>
      <c r="F604" s="3"/>
      <c r="G604" s="3"/>
      <c r="H604" s="22"/>
      <c r="I604" s="22"/>
      <c r="J604" s="22"/>
      <c r="K604" s="22"/>
      <c r="L604" s="27"/>
      <c r="M604" s="30"/>
      <c r="N604" s="27"/>
      <c r="O604" s="30"/>
      <c r="P604" s="27"/>
      <c r="Q604" s="30"/>
      <c r="R604" s="27"/>
      <c r="S604" s="30"/>
      <c r="W604" s="1"/>
      <c r="Y604" s="2"/>
      <c r="Z604" s="2"/>
      <c r="AA604" s="2"/>
      <c r="AB604" s="2"/>
      <c r="AC604" s="4"/>
    </row>
    <row r="605" spans="1:29" ht="13.5" customHeight="1">
      <c r="A605" s="2"/>
      <c r="C605" s="3"/>
      <c r="D605" s="3"/>
      <c r="E605" s="3"/>
      <c r="F605" s="3"/>
      <c r="G605" s="3"/>
      <c r="H605" s="22"/>
      <c r="I605" s="22"/>
      <c r="J605" s="22"/>
      <c r="K605" s="22"/>
      <c r="L605" s="27"/>
      <c r="M605" s="30"/>
      <c r="N605" s="27"/>
      <c r="O605" s="30"/>
      <c r="P605" s="27"/>
      <c r="Q605" s="30"/>
      <c r="R605" s="27"/>
      <c r="S605" s="30"/>
      <c r="W605" s="1"/>
      <c r="Y605" s="2"/>
      <c r="Z605" s="2"/>
      <c r="AA605" s="2"/>
      <c r="AB605" s="2"/>
      <c r="AC605" s="4"/>
    </row>
    <row r="606" spans="1:29" ht="13.5" customHeight="1">
      <c r="A606" s="2"/>
      <c r="C606" s="3"/>
      <c r="D606" s="3"/>
      <c r="E606" s="3"/>
      <c r="F606" s="3"/>
      <c r="G606" s="3"/>
      <c r="H606" s="22"/>
      <c r="I606" s="22"/>
      <c r="J606" s="22"/>
      <c r="K606" s="22"/>
      <c r="L606" s="27"/>
      <c r="M606" s="30"/>
      <c r="N606" s="27"/>
      <c r="O606" s="30"/>
      <c r="P606" s="27"/>
      <c r="Q606" s="30"/>
      <c r="R606" s="27"/>
      <c r="S606" s="30"/>
      <c r="W606" s="1"/>
      <c r="Y606" s="2"/>
      <c r="Z606" s="2"/>
      <c r="AA606" s="2"/>
      <c r="AB606" s="2"/>
      <c r="AC606" s="4"/>
    </row>
    <row r="607" spans="1:29" ht="13.5" customHeight="1">
      <c r="A607" s="2"/>
      <c r="C607" s="3"/>
      <c r="D607" s="3"/>
      <c r="E607" s="3"/>
      <c r="F607" s="3"/>
      <c r="G607" s="3"/>
      <c r="H607" s="22"/>
      <c r="I607" s="22"/>
      <c r="J607" s="22"/>
      <c r="K607" s="22"/>
      <c r="L607" s="27"/>
      <c r="M607" s="30"/>
      <c r="N607" s="27"/>
      <c r="O607" s="30"/>
      <c r="P607" s="27"/>
      <c r="Q607" s="30"/>
      <c r="R607" s="27"/>
      <c r="S607" s="30"/>
      <c r="W607" s="1"/>
      <c r="Y607" s="2"/>
      <c r="Z607" s="2"/>
      <c r="AA607" s="2"/>
      <c r="AB607" s="2"/>
      <c r="AC607" s="4"/>
    </row>
    <row r="608" spans="1:29" ht="13.5" customHeight="1">
      <c r="A608" s="2"/>
      <c r="C608" s="3"/>
      <c r="D608" s="3"/>
      <c r="E608" s="3"/>
      <c r="F608" s="3"/>
      <c r="G608" s="3"/>
      <c r="H608" s="22"/>
      <c r="I608" s="22"/>
      <c r="J608" s="22"/>
      <c r="K608" s="22"/>
      <c r="L608" s="27"/>
      <c r="M608" s="30"/>
      <c r="N608" s="27"/>
      <c r="O608" s="30"/>
      <c r="P608" s="27"/>
      <c r="Q608" s="30"/>
      <c r="R608" s="27"/>
      <c r="S608" s="30"/>
      <c r="W608" s="1"/>
      <c r="Y608" s="2"/>
      <c r="Z608" s="2"/>
      <c r="AA608" s="2"/>
      <c r="AB608" s="2"/>
      <c r="AC608" s="4"/>
    </row>
    <row r="609" spans="1:29" ht="13.5" customHeight="1">
      <c r="A609" s="2"/>
      <c r="C609" s="3"/>
      <c r="D609" s="3"/>
      <c r="E609" s="3"/>
      <c r="F609" s="3"/>
      <c r="G609" s="3"/>
      <c r="H609" s="22"/>
      <c r="I609" s="22"/>
      <c r="J609" s="22"/>
      <c r="K609" s="22"/>
      <c r="L609" s="27"/>
      <c r="M609" s="30"/>
      <c r="N609" s="27"/>
      <c r="O609" s="30"/>
      <c r="P609" s="27"/>
      <c r="Q609" s="30"/>
      <c r="R609" s="27"/>
      <c r="S609" s="30"/>
      <c r="W609" s="1"/>
      <c r="Y609" s="2"/>
      <c r="Z609" s="2"/>
      <c r="AA609" s="2"/>
      <c r="AB609" s="2"/>
      <c r="AC609" s="4"/>
    </row>
    <row r="610" spans="1:29" ht="13.5" customHeight="1">
      <c r="A610" s="2"/>
      <c r="C610" s="3"/>
      <c r="D610" s="3"/>
      <c r="E610" s="3"/>
      <c r="F610" s="3"/>
      <c r="G610" s="3"/>
      <c r="H610" s="22"/>
      <c r="I610" s="22"/>
      <c r="J610" s="22"/>
      <c r="K610" s="22"/>
      <c r="L610" s="27"/>
      <c r="M610" s="30"/>
      <c r="N610" s="27"/>
      <c r="O610" s="30"/>
      <c r="P610" s="27"/>
      <c r="Q610" s="30"/>
      <c r="R610" s="27"/>
      <c r="S610" s="30"/>
      <c r="W610" s="1"/>
      <c r="Y610" s="2"/>
      <c r="Z610" s="2"/>
      <c r="AA610" s="2"/>
      <c r="AB610" s="2"/>
      <c r="AC610" s="4"/>
    </row>
    <row r="611" spans="1:29" ht="13.5" customHeight="1">
      <c r="A611" s="2"/>
      <c r="C611" s="3"/>
      <c r="D611" s="3"/>
      <c r="E611" s="3"/>
      <c r="F611" s="3"/>
      <c r="G611" s="3"/>
      <c r="H611" s="22"/>
      <c r="I611" s="22"/>
      <c r="J611" s="22"/>
      <c r="K611" s="22"/>
      <c r="L611" s="27"/>
      <c r="M611" s="30"/>
      <c r="N611" s="27"/>
      <c r="O611" s="30"/>
      <c r="P611" s="27"/>
      <c r="Q611" s="30"/>
      <c r="R611" s="27"/>
      <c r="S611" s="30"/>
      <c r="W611" s="1"/>
      <c r="Y611" s="2"/>
      <c r="Z611" s="2"/>
      <c r="AA611" s="2"/>
      <c r="AB611" s="2"/>
      <c r="AC611" s="4"/>
    </row>
    <row r="612" spans="1:29" ht="13.5" customHeight="1">
      <c r="A612" s="2"/>
      <c r="C612" s="3"/>
      <c r="D612" s="3"/>
      <c r="E612" s="3"/>
      <c r="F612" s="3"/>
      <c r="G612" s="3"/>
      <c r="H612" s="22"/>
      <c r="I612" s="22"/>
      <c r="J612" s="22"/>
      <c r="K612" s="22"/>
      <c r="L612" s="27"/>
      <c r="M612" s="30"/>
      <c r="N612" s="27"/>
      <c r="O612" s="30"/>
      <c r="P612" s="27"/>
      <c r="Q612" s="30"/>
      <c r="R612" s="27"/>
      <c r="S612" s="30"/>
      <c r="W612" s="1"/>
      <c r="Y612" s="2"/>
      <c r="Z612" s="2"/>
      <c r="AA612" s="2"/>
      <c r="AB612" s="2"/>
      <c r="AC612" s="4"/>
    </row>
    <row r="613" spans="1:29" ht="13.5" customHeight="1">
      <c r="A613" s="2"/>
      <c r="C613" s="3"/>
      <c r="D613" s="3"/>
      <c r="E613" s="3"/>
      <c r="F613" s="3"/>
      <c r="G613" s="3"/>
      <c r="H613" s="22"/>
      <c r="I613" s="22"/>
      <c r="J613" s="22"/>
      <c r="K613" s="22"/>
      <c r="L613" s="27"/>
      <c r="M613" s="30"/>
      <c r="N613" s="27"/>
      <c r="O613" s="30"/>
      <c r="P613" s="27"/>
      <c r="Q613" s="30"/>
      <c r="R613" s="27"/>
      <c r="S613" s="30"/>
      <c r="W613" s="1"/>
      <c r="Y613" s="2"/>
      <c r="Z613" s="2"/>
      <c r="AA613" s="2"/>
      <c r="AB613" s="2"/>
      <c r="AC613" s="4"/>
    </row>
    <row r="614" spans="1:29" ht="13.5" customHeight="1">
      <c r="A614" s="2"/>
      <c r="C614" s="3"/>
      <c r="D614" s="3"/>
      <c r="E614" s="3"/>
      <c r="F614" s="3"/>
      <c r="G614" s="3"/>
      <c r="H614" s="22"/>
      <c r="I614" s="22"/>
      <c r="J614" s="22"/>
      <c r="K614" s="22"/>
      <c r="L614" s="27"/>
      <c r="M614" s="30"/>
      <c r="N614" s="27"/>
      <c r="O614" s="30"/>
      <c r="P614" s="27"/>
      <c r="Q614" s="30"/>
      <c r="R614" s="27"/>
      <c r="S614" s="30"/>
      <c r="W614" s="1"/>
      <c r="Y614" s="2"/>
      <c r="Z614" s="2"/>
      <c r="AA614" s="2"/>
      <c r="AB614" s="2"/>
      <c r="AC614" s="4"/>
    </row>
    <row r="615" spans="1:29" ht="13.5" customHeight="1">
      <c r="A615" s="2"/>
      <c r="C615" s="3"/>
      <c r="D615" s="3"/>
      <c r="E615" s="3"/>
      <c r="F615" s="3"/>
      <c r="G615" s="3"/>
      <c r="H615" s="22"/>
      <c r="I615" s="22"/>
      <c r="J615" s="22"/>
      <c r="K615" s="22"/>
      <c r="L615" s="27"/>
      <c r="M615" s="30"/>
      <c r="N615" s="27"/>
      <c r="O615" s="30"/>
      <c r="P615" s="27"/>
      <c r="Q615" s="30"/>
      <c r="R615" s="27"/>
      <c r="S615" s="30"/>
      <c r="W615" s="1"/>
      <c r="Y615" s="2"/>
      <c r="Z615" s="2"/>
      <c r="AA615" s="2"/>
      <c r="AB615" s="2"/>
      <c r="AC615" s="4"/>
    </row>
    <row r="616" spans="1:29" ht="13.5" customHeight="1">
      <c r="A616" s="2"/>
      <c r="C616" s="3"/>
      <c r="D616" s="3"/>
      <c r="E616" s="3"/>
      <c r="F616" s="3"/>
      <c r="G616" s="3"/>
      <c r="H616" s="22"/>
      <c r="I616" s="22"/>
      <c r="J616" s="22"/>
      <c r="K616" s="22"/>
      <c r="L616" s="27"/>
      <c r="M616" s="30"/>
      <c r="N616" s="27"/>
      <c r="O616" s="30"/>
      <c r="P616" s="27"/>
      <c r="Q616" s="30"/>
      <c r="R616" s="27"/>
      <c r="S616" s="30"/>
      <c r="W616" s="1"/>
      <c r="Y616" s="2"/>
      <c r="Z616" s="2"/>
      <c r="AA616" s="2"/>
      <c r="AB616" s="2"/>
      <c r="AC616" s="4"/>
    </row>
    <row r="617" spans="1:29" ht="13.5" customHeight="1">
      <c r="A617" s="2"/>
      <c r="C617" s="3"/>
      <c r="D617" s="3"/>
      <c r="E617" s="3"/>
      <c r="F617" s="3"/>
      <c r="G617" s="3"/>
      <c r="H617" s="22"/>
      <c r="I617" s="22"/>
      <c r="J617" s="22"/>
      <c r="K617" s="22"/>
      <c r="L617" s="27"/>
      <c r="M617" s="30"/>
      <c r="N617" s="27"/>
      <c r="O617" s="30"/>
      <c r="P617" s="27"/>
      <c r="Q617" s="30"/>
      <c r="R617" s="27"/>
      <c r="S617" s="30"/>
      <c r="W617" s="1"/>
      <c r="Y617" s="2"/>
      <c r="Z617" s="2"/>
      <c r="AA617" s="2"/>
      <c r="AB617" s="2"/>
      <c r="AC617" s="4"/>
    </row>
    <row r="618" spans="1:29" ht="13.5" customHeight="1">
      <c r="A618" s="2"/>
      <c r="C618" s="3"/>
      <c r="D618" s="3"/>
      <c r="E618" s="3"/>
      <c r="F618" s="3"/>
      <c r="G618" s="3"/>
      <c r="H618" s="22"/>
      <c r="I618" s="22"/>
      <c r="J618" s="22"/>
      <c r="K618" s="22"/>
      <c r="L618" s="27"/>
      <c r="M618" s="30"/>
      <c r="N618" s="27"/>
      <c r="O618" s="30"/>
      <c r="P618" s="27"/>
      <c r="Q618" s="30"/>
      <c r="R618" s="27"/>
      <c r="S618" s="30"/>
      <c r="W618" s="1"/>
      <c r="Y618" s="2"/>
      <c r="Z618" s="2"/>
      <c r="AA618" s="2"/>
      <c r="AB618" s="2"/>
      <c r="AC618" s="4"/>
    </row>
    <row r="619" spans="1:29" ht="13.5" customHeight="1">
      <c r="A619" s="2"/>
      <c r="C619" s="3"/>
      <c r="D619" s="3"/>
      <c r="E619" s="3"/>
      <c r="F619" s="3"/>
      <c r="G619" s="3"/>
      <c r="H619" s="22"/>
      <c r="I619" s="22"/>
      <c r="J619" s="22"/>
      <c r="K619" s="22"/>
      <c r="L619" s="27"/>
      <c r="M619" s="30"/>
      <c r="N619" s="27"/>
      <c r="O619" s="30"/>
      <c r="P619" s="27"/>
      <c r="Q619" s="30"/>
      <c r="R619" s="27"/>
      <c r="S619" s="30"/>
      <c r="W619" s="1"/>
      <c r="Y619" s="2"/>
      <c r="Z619" s="2"/>
      <c r="AA619" s="2"/>
      <c r="AB619" s="2"/>
      <c r="AC619" s="4"/>
    </row>
    <row r="620" spans="1:29" ht="13.5" customHeight="1">
      <c r="A620" s="2"/>
      <c r="C620" s="3"/>
      <c r="D620" s="3"/>
      <c r="E620" s="3"/>
      <c r="F620" s="3"/>
      <c r="G620" s="3"/>
      <c r="H620" s="22"/>
      <c r="I620" s="22"/>
      <c r="J620" s="22"/>
      <c r="K620" s="22"/>
      <c r="L620" s="27"/>
      <c r="M620" s="30"/>
      <c r="N620" s="27"/>
      <c r="O620" s="30"/>
      <c r="P620" s="27"/>
      <c r="Q620" s="30"/>
      <c r="R620" s="27"/>
      <c r="S620" s="30"/>
      <c r="W620" s="1"/>
      <c r="Y620" s="2"/>
      <c r="Z620" s="2"/>
      <c r="AA620" s="2"/>
      <c r="AB620" s="2"/>
      <c r="AC620" s="4"/>
    </row>
    <row r="621" spans="1:29" ht="13.5" customHeight="1">
      <c r="A621" s="2"/>
      <c r="C621" s="3"/>
      <c r="D621" s="3"/>
      <c r="E621" s="3"/>
      <c r="F621" s="3"/>
      <c r="G621" s="3"/>
      <c r="H621" s="22"/>
      <c r="I621" s="22"/>
      <c r="J621" s="22"/>
      <c r="K621" s="22"/>
      <c r="L621" s="27"/>
      <c r="M621" s="30"/>
      <c r="N621" s="27"/>
      <c r="O621" s="30"/>
      <c r="P621" s="27"/>
      <c r="Q621" s="30"/>
      <c r="R621" s="27"/>
      <c r="S621" s="30"/>
      <c r="W621" s="1"/>
      <c r="Y621" s="2"/>
      <c r="Z621" s="2"/>
      <c r="AA621" s="2"/>
      <c r="AB621" s="2"/>
      <c r="AC621" s="4"/>
    </row>
    <row r="622" spans="1:29" ht="13.5" customHeight="1">
      <c r="A622" s="2"/>
      <c r="C622" s="3"/>
      <c r="D622" s="3"/>
      <c r="E622" s="3"/>
      <c r="F622" s="3"/>
      <c r="G622" s="3"/>
      <c r="H622" s="22"/>
      <c r="I622" s="22"/>
      <c r="J622" s="22"/>
      <c r="K622" s="22"/>
      <c r="L622" s="27"/>
      <c r="M622" s="30"/>
      <c r="N622" s="27"/>
      <c r="O622" s="30"/>
      <c r="P622" s="27"/>
      <c r="Q622" s="30"/>
      <c r="R622" s="27"/>
      <c r="S622" s="30"/>
      <c r="W622" s="1"/>
      <c r="Y622" s="2"/>
      <c r="Z622" s="2"/>
      <c r="AA622" s="2"/>
      <c r="AB622" s="2"/>
      <c r="AC622" s="4"/>
    </row>
    <row r="623" spans="1:29" ht="13.5" customHeight="1">
      <c r="A623" s="2"/>
      <c r="C623" s="3"/>
      <c r="D623" s="3"/>
      <c r="E623" s="3"/>
      <c r="F623" s="3"/>
      <c r="G623" s="3"/>
      <c r="H623" s="22"/>
      <c r="I623" s="22"/>
      <c r="J623" s="22"/>
      <c r="K623" s="22"/>
      <c r="L623" s="27"/>
      <c r="M623" s="30"/>
      <c r="N623" s="27"/>
      <c r="O623" s="30"/>
      <c r="P623" s="27"/>
      <c r="Q623" s="30"/>
      <c r="R623" s="27"/>
      <c r="S623" s="30"/>
      <c r="W623" s="1"/>
      <c r="Y623" s="2"/>
      <c r="Z623" s="2"/>
      <c r="AA623" s="2"/>
      <c r="AB623" s="2"/>
      <c r="AC623" s="4"/>
    </row>
    <row r="624" spans="1:29" ht="13.5" customHeight="1">
      <c r="A624" s="2"/>
      <c r="C624" s="3"/>
      <c r="D624" s="3"/>
      <c r="E624" s="3"/>
      <c r="F624" s="3"/>
      <c r="G624" s="3"/>
      <c r="H624" s="22"/>
      <c r="I624" s="22"/>
      <c r="J624" s="22"/>
      <c r="K624" s="22"/>
      <c r="L624" s="27"/>
      <c r="M624" s="30"/>
      <c r="N624" s="27"/>
      <c r="O624" s="30"/>
      <c r="P624" s="27"/>
      <c r="Q624" s="30"/>
      <c r="R624" s="27"/>
      <c r="S624" s="30"/>
      <c r="W624" s="1"/>
      <c r="Y624" s="2"/>
      <c r="Z624" s="2"/>
      <c r="AA624" s="2"/>
      <c r="AB624" s="2"/>
      <c r="AC624" s="4"/>
    </row>
    <row r="625" spans="1:29" ht="13.5" customHeight="1">
      <c r="A625" s="2"/>
      <c r="C625" s="3"/>
      <c r="D625" s="3"/>
      <c r="E625" s="3"/>
      <c r="F625" s="3"/>
      <c r="G625" s="3"/>
      <c r="H625" s="22"/>
      <c r="I625" s="22"/>
      <c r="J625" s="22"/>
      <c r="K625" s="22"/>
      <c r="L625" s="27"/>
      <c r="M625" s="30"/>
      <c r="N625" s="27"/>
      <c r="O625" s="30"/>
      <c r="P625" s="27"/>
      <c r="Q625" s="30"/>
      <c r="R625" s="27"/>
      <c r="S625" s="30"/>
      <c r="W625" s="1"/>
      <c r="Y625" s="2"/>
      <c r="Z625" s="2"/>
      <c r="AA625" s="2"/>
      <c r="AB625" s="2"/>
      <c r="AC625" s="4"/>
    </row>
    <row r="626" spans="1:29" ht="13.5" customHeight="1">
      <c r="A626" s="2"/>
      <c r="C626" s="3"/>
      <c r="D626" s="3"/>
      <c r="E626" s="3"/>
      <c r="F626" s="3"/>
      <c r="G626" s="3"/>
      <c r="H626" s="22"/>
      <c r="I626" s="22"/>
      <c r="J626" s="22"/>
      <c r="K626" s="22"/>
      <c r="L626" s="27"/>
      <c r="M626" s="30"/>
      <c r="N626" s="27"/>
      <c r="O626" s="30"/>
      <c r="P626" s="27"/>
      <c r="Q626" s="30"/>
      <c r="R626" s="27"/>
      <c r="S626" s="30"/>
      <c r="W626" s="1"/>
      <c r="Y626" s="2"/>
      <c r="Z626" s="2"/>
      <c r="AA626" s="2"/>
      <c r="AB626" s="2"/>
      <c r="AC626" s="4"/>
    </row>
    <row r="627" spans="1:29" ht="13.5" customHeight="1">
      <c r="A627" s="2"/>
      <c r="C627" s="3"/>
      <c r="D627" s="3"/>
      <c r="E627" s="3"/>
      <c r="F627" s="3"/>
      <c r="G627" s="3"/>
      <c r="H627" s="22"/>
      <c r="I627" s="22"/>
      <c r="J627" s="22"/>
      <c r="K627" s="22"/>
      <c r="L627" s="27"/>
      <c r="M627" s="30"/>
      <c r="N627" s="27"/>
      <c r="O627" s="30"/>
      <c r="P627" s="27"/>
      <c r="Q627" s="30"/>
      <c r="R627" s="27"/>
      <c r="S627" s="30"/>
      <c r="W627" s="1"/>
      <c r="Y627" s="2"/>
      <c r="Z627" s="2"/>
      <c r="AA627" s="2"/>
      <c r="AB627" s="2"/>
      <c r="AC627" s="4"/>
    </row>
    <row r="628" spans="1:29" ht="13.5" customHeight="1">
      <c r="A628" s="2"/>
      <c r="C628" s="3"/>
      <c r="D628" s="3"/>
      <c r="E628" s="3"/>
      <c r="F628" s="3"/>
      <c r="G628" s="3"/>
      <c r="H628" s="22"/>
      <c r="I628" s="22"/>
      <c r="J628" s="22"/>
      <c r="K628" s="22"/>
      <c r="L628" s="27"/>
      <c r="M628" s="30"/>
      <c r="N628" s="27"/>
      <c r="O628" s="30"/>
      <c r="P628" s="27"/>
      <c r="Q628" s="30"/>
      <c r="R628" s="27"/>
      <c r="S628" s="30"/>
      <c r="W628" s="1"/>
      <c r="Y628" s="2"/>
      <c r="Z628" s="2"/>
      <c r="AA628" s="2"/>
      <c r="AB628" s="2"/>
      <c r="AC628" s="4"/>
    </row>
    <row r="629" spans="1:29" ht="13.5" customHeight="1">
      <c r="A629" s="2"/>
      <c r="C629" s="3"/>
      <c r="D629" s="3"/>
      <c r="E629" s="3"/>
      <c r="F629" s="3"/>
      <c r="G629" s="3"/>
      <c r="H629" s="22"/>
      <c r="I629" s="22"/>
      <c r="J629" s="22"/>
      <c r="K629" s="22"/>
      <c r="L629" s="27"/>
      <c r="M629" s="30"/>
      <c r="N629" s="27"/>
      <c r="O629" s="30"/>
      <c r="P629" s="27"/>
      <c r="Q629" s="30"/>
      <c r="R629" s="27"/>
      <c r="S629" s="30"/>
      <c r="W629" s="1"/>
      <c r="Y629" s="2"/>
      <c r="Z629" s="2"/>
      <c r="AA629" s="2"/>
      <c r="AB629" s="2"/>
      <c r="AC629" s="4"/>
    </row>
    <row r="630" spans="1:29" ht="13.5" customHeight="1">
      <c r="A630" s="2"/>
      <c r="C630" s="3"/>
      <c r="D630" s="3"/>
      <c r="E630" s="3"/>
      <c r="F630" s="3"/>
      <c r="G630" s="3"/>
      <c r="H630" s="22"/>
      <c r="I630" s="22"/>
      <c r="J630" s="22"/>
      <c r="K630" s="22"/>
      <c r="L630" s="27"/>
      <c r="M630" s="30"/>
      <c r="N630" s="27"/>
      <c r="O630" s="30"/>
      <c r="P630" s="27"/>
      <c r="Q630" s="30"/>
      <c r="R630" s="27"/>
      <c r="S630" s="30"/>
      <c r="W630" s="1"/>
      <c r="Y630" s="2"/>
      <c r="Z630" s="2"/>
      <c r="AA630" s="2"/>
      <c r="AB630" s="2"/>
      <c r="AC630" s="4"/>
    </row>
    <row r="631" spans="1:29" ht="13.5" customHeight="1">
      <c r="A631" s="2"/>
      <c r="C631" s="3"/>
      <c r="D631" s="3"/>
      <c r="E631" s="3"/>
      <c r="F631" s="3"/>
      <c r="G631" s="3"/>
      <c r="H631" s="22"/>
      <c r="I631" s="22"/>
      <c r="J631" s="22"/>
      <c r="K631" s="22"/>
      <c r="L631" s="27"/>
      <c r="M631" s="30"/>
      <c r="N631" s="27"/>
      <c r="O631" s="30"/>
      <c r="P631" s="27"/>
      <c r="Q631" s="30"/>
      <c r="R631" s="27"/>
      <c r="S631" s="30"/>
      <c r="W631" s="1"/>
      <c r="Y631" s="2"/>
      <c r="Z631" s="2"/>
      <c r="AA631" s="2"/>
      <c r="AB631" s="2"/>
      <c r="AC631" s="4"/>
    </row>
    <row r="632" spans="1:29" ht="13.5" customHeight="1">
      <c r="A632" s="2"/>
      <c r="C632" s="3"/>
      <c r="D632" s="3"/>
      <c r="E632" s="3"/>
      <c r="F632" s="3"/>
      <c r="G632" s="3"/>
      <c r="H632" s="22"/>
      <c r="I632" s="22"/>
      <c r="J632" s="22"/>
      <c r="K632" s="22"/>
      <c r="L632" s="27"/>
      <c r="M632" s="30"/>
      <c r="N632" s="27"/>
      <c r="O632" s="30"/>
      <c r="P632" s="27"/>
      <c r="Q632" s="30"/>
      <c r="R632" s="27"/>
      <c r="S632" s="30"/>
      <c r="W632" s="1"/>
      <c r="Y632" s="2"/>
      <c r="Z632" s="2"/>
      <c r="AA632" s="2"/>
      <c r="AB632" s="2"/>
      <c r="AC632" s="4"/>
    </row>
    <row r="633" spans="1:29" ht="13.5" customHeight="1">
      <c r="A633" s="2"/>
      <c r="C633" s="3"/>
      <c r="D633" s="3"/>
      <c r="E633" s="3"/>
      <c r="F633" s="3"/>
      <c r="G633" s="3"/>
      <c r="H633" s="22"/>
      <c r="I633" s="22"/>
      <c r="J633" s="22"/>
      <c r="K633" s="22"/>
      <c r="L633" s="27"/>
      <c r="M633" s="30"/>
      <c r="N633" s="27"/>
      <c r="O633" s="30"/>
      <c r="P633" s="27"/>
      <c r="Q633" s="30"/>
      <c r="R633" s="27"/>
      <c r="S633" s="30"/>
      <c r="W633" s="1"/>
      <c r="Y633" s="2"/>
      <c r="Z633" s="2"/>
      <c r="AA633" s="2"/>
      <c r="AB633" s="2"/>
      <c r="AC633" s="4"/>
    </row>
    <row r="634" spans="1:29" ht="13.5" customHeight="1">
      <c r="A634" s="2"/>
      <c r="C634" s="3"/>
      <c r="D634" s="3"/>
      <c r="E634" s="3"/>
      <c r="F634" s="3"/>
      <c r="G634" s="3"/>
      <c r="H634" s="22"/>
      <c r="I634" s="22"/>
      <c r="J634" s="22"/>
      <c r="K634" s="22"/>
      <c r="L634" s="27"/>
      <c r="M634" s="30"/>
      <c r="N634" s="27"/>
      <c r="O634" s="30"/>
      <c r="P634" s="27"/>
      <c r="Q634" s="30"/>
      <c r="R634" s="27"/>
      <c r="S634" s="30"/>
      <c r="W634" s="1"/>
      <c r="Y634" s="2"/>
      <c r="Z634" s="2"/>
      <c r="AA634" s="2"/>
      <c r="AB634" s="2"/>
      <c r="AC634" s="4"/>
    </row>
    <row r="635" spans="1:29" ht="13.5" customHeight="1">
      <c r="A635" s="2"/>
      <c r="C635" s="3"/>
      <c r="D635" s="3"/>
      <c r="E635" s="3"/>
      <c r="F635" s="3"/>
      <c r="G635" s="3"/>
      <c r="H635" s="22"/>
      <c r="I635" s="22"/>
      <c r="J635" s="22"/>
      <c r="K635" s="22"/>
      <c r="L635" s="27"/>
      <c r="M635" s="30"/>
      <c r="N635" s="27"/>
      <c r="O635" s="30"/>
      <c r="P635" s="27"/>
      <c r="Q635" s="30"/>
      <c r="R635" s="27"/>
      <c r="S635" s="30"/>
      <c r="W635" s="1"/>
      <c r="Y635" s="2"/>
      <c r="Z635" s="2"/>
      <c r="AA635" s="2"/>
      <c r="AB635" s="2"/>
      <c r="AC635" s="4"/>
    </row>
    <row r="636" spans="1:29" ht="13.5" customHeight="1">
      <c r="A636" s="2"/>
      <c r="C636" s="3"/>
      <c r="D636" s="3"/>
      <c r="E636" s="3"/>
      <c r="F636" s="3"/>
      <c r="G636" s="3"/>
      <c r="H636" s="22"/>
      <c r="I636" s="22"/>
      <c r="J636" s="22"/>
      <c r="K636" s="22"/>
      <c r="L636" s="27"/>
      <c r="M636" s="30"/>
      <c r="N636" s="27"/>
      <c r="O636" s="30"/>
      <c r="P636" s="27"/>
      <c r="Q636" s="30"/>
      <c r="R636" s="27"/>
      <c r="S636" s="30"/>
      <c r="W636" s="1"/>
      <c r="Y636" s="2"/>
      <c r="Z636" s="2"/>
      <c r="AA636" s="2"/>
      <c r="AB636" s="2"/>
      <c r="AC636" s="4"/>
    </row>
    <row r="637" spans="1:29" ht="13.5" customHeight="1">
      <c r="A637" s="2"/>
      <c r="C637" s="3"/>
      <c r="D637" s="3"/>
      <c r="E637" s="3"/>
      <c r="F637" s="3"/>
      <c r="G637" s="3"/>
      <c r="H637" s="22"/>
      <c r="I637" s="22"/>
      <c r="J637" s="22"/>
      <c r="K637" s="22"/>
      <c r="L637" s="27"/>
      <c r="M637" s="30"/>
      <c r="N637" s="27"/>
      <c r="O637" s="30"/>
      <c r="P637" s="27"/>
      <c r="Q637" s="30"/>
      <c r="R637" s="27"/>
      <c r="S637" s="30"/>
      <c r="W637" s="1"/>
      <c r="Y637" s="2"/>
      <c r="Z637" s="2"/>
      <c r="AA637" s="2"/>
      <c r="AB637" s="2"/>
      <c r="AC637" s="4"/>
    </row>
    <row r="638" spans="1:29" ht="13.5" customHeight="1">
      <c r="A638" s="2"/>
      <c r="C638" s="3"/>
      <c r="D638" s="3"/>
      <c r="E638" s="3"/>
      <c r="F638" s="3"/>
      <c r="G638" s="3"/>
      <c r="H638" s="22"/>
      <c r="I638" s="22"/>
      <c r="J638" s="22"/>
      <c r="K638" s="22"/>
      <c r="L638" s="27"/>
      <c r="M638" s="30"/>
      <c r="N638" s="27"/>
      <c r="O638" s="30"/>
      <c r="P638" s="27"/>
      <c r="Q638" s="30"/>
      <c r="R638" s="27"/>
      <c r="S638" s="30"/>
      <c r="W638" s="1"/>
      <c r="Y638" s="2"/>
      <c r="Z638" s="2"/>
      <c r="AA638" s="2"/>
      <c r="AB638" s="2"/>
      <c r="AC638" s="4"/>
    </row>
    <row r="639" spans="1:29" ht="13.5" customHeight="1">
      <c r="A639" s="2"/>
      <c r="C639" s="3"/>
      <c r="D639" s="3"/>
      <c r="E639" s="3"/>
      <c r="F639" s="3"/>
      <c r="G639" s="3"/>
      <c r="H639" s="22"/>
      <c r="I639" s="22"/>
      <c r="J639" s="22"/>
      <c r="K639" s="22"/>
      <c r="L639" s="27"/>
      <c r="M639" s="30"/>
      <c r="N639" s="27"/>
      <c r="O639" s="30"/>
      <c r="P639" s="27"/>
      <c r="Q639" s="30"/>
      <c r="R639" s="27"/>
      <c r="S639" s="30"/>
      <c r="W639" s="1"/>
      <c r="Y639" s="2"/>
      <c r="Z639" s="2"/>
      <c r="AA639" s="2"/>
      <c r="AB639" s="2"/>
      <c r="AC639" s="4"/>
    </row>
    <row r="640" spans="1:29" ht="13.5" customHeight="1">
      <c r="A640" s="2"/>
      <c r="C640" s="3"/>
      <c r="D640" s="3"/>
      <c r="E640" s="3"/>
      <c r="F640" s="3"/>
      <c r="G640" s="3"/>
      <c r="H640" s="22"/>
      <c r="I640" s="22"/>
      <c r="J640" s="22"/>
      <c r="K640" s="22"/>
      <c r="L640" s="27"/>
      <c r="M640" s="30"/>
      <c r="N640" s="27"/>
      <c r="O640" s="30"/>
      <c r="P640" s="27"/>
      <c r="Q640" s="30"/>
      <c r="R640" s="27"/>
      <c r="S640" s="30"/>
      <c r="W640" s="1"/>
      <c r="Y640" s="2"/>
      <c r="Z640" s="2"/>
      <c r="AA640" s="2"/>
      <c r="AB640" s="2"/>
      <c r="AC640" s="4"/>
    </row>
    <row r="641" spans="1:29" ht="13.5" customHeight="1">
      <c r="A641" s="2"/>
      <c r="C641" s="3"/>
      <c r="D641" s="3"/>
      <c r="E641" s="3"/>
      <c r="F641" s="3"/>
      <c r="G641" s="3"/>
      <c r="H641" s="22"/>
      <c r="I641" s="22"/>
      <c r="J641" s="22"/>
      <c r="K641" s="22"/>
      <c r="L641" s="27"/>
      <c r="M641" s="30"/>
      <c r="N641" s="27"/>
      <c r="O641" s="30"/>
      <c r="P641" s="27"/>
      <c r="Q641" s="30"/>
      <c r="R641" s="27"/>
      <c r="S641" s="30"/>
      <c r="W641" s="1"/>
      <c r="Y641" s="2"/>
      <c r="Z641" s="2"/>
      <c r="AA641" s="2"/>
      <c r="AB641" s="2"/>
      <c r="AC641" s="4"/>
    </row>
    <row r="642" spans="1:29" ht="13.5" customHeight="1">
      <c r="A642" s="2"/>
      <c r="C642" s="3"/>
      <c r="D642" s="3"/>
      <c r="E642" s="3"/>
      <c r="F642" s="3"/>
      <c r="G642" s="3"/>
      <c r="H642" s="22"/>
      <c r="I642" s="22"/>
      <c r="J642" s="22"/>
      <c r="K642" s="22"/>
      <c r="L642" s="27"/>
      <c r="M642" s="30"/>
      <c r="N642" s="27"/>
      <c r="O642" s="30"/>
      <c r="P642" s="27"/>
      <c r="Q642" s="30"/>
      <c r="R642" s="27"/>
      <c r="S642" s="30"/>
      <c r="W642" s="1"/>
      <c r="Y642" s="2"/>
      <c r="Z642" s="2"/>
      <c r="AA642" s="2"/>
      <c r="AB642" s="2"/>
      <c r="AC642" s="4"/>
    </row>
    <row r="643" spans="1:29" ht="13.5" customHeight="1">
      <c r="A643" s="2"/>
      <c r="C643" s="3"/>
      <c r="D643" s="3"/>
      <c r="E643" s="3"/>
      <c r="F643" s="3"/>
      <c r="G643" s="3"/>
      <c r="H643" s="22"/>
      <c r="I643" s="22"/>
      <c r="J643" s="22"/>
      <c r="K643" s="22"/>
      <c r="L643" s="27"/>
      <c r="M643" s="30"/>
      <c r="N643" s="27"/>
      <c r="O643" s="30"/>
      <c r="P643" s="27"/>
      <c r="Q643" s="30"/>
      <c r="R643" s="27"/>
      <c r="S643" s="30"/>
      <c r="W643" s="1"/>
      <c r="Y643" s="2"/>
      <c r="Z643" s="2"/>
      <c r="AA643" s="2"/>
      <c r="AB643" s="2"/>
      <c r="AC643" s="4"/>
    </row>
    <row r="644" spans="1:29" ht="13.5" customHeight="1">
      <c r="A644" s="2"/>
      <c r="C644" s="3"/>
      <c r="D644" s="3"/>
      <c r="E644" s="3"/>
      <c r="F644" s="3"/>
      <c r="G644" s="3"/>
      <c r="H644" s="22"/>
      <c r="I644" s="22"/>
      <c r="J644" s="22"/>
      <c r="K644" s="22"/>
      <c r="L644" s="27"/>
      <c r="M644" s="30"/>
      <c r="N644" s="27"/>
      <c r="O644" s="30"/>
      <c r="P644" s="27"/>
      <c r="Q644" s="30"/>
      <c r="R644" s="27"/>
      <c r="S644" s="30"/>
      <c r="W644" s="1"/>
      <c r="Y644" s="2"/>
      <c r="Z644" s="2"/>
      <c r="AA644" s="2"/>
      <c r="AB644" s="2"/>
      <c r="AC644" s="4"/>
    </row>
    <row r="645" spans="1:29" ht="13.5" customHeight="1">
      <c r="A645" s="2"/>
      <c r="C645" s="3"/>
      <c r="D645" s="3"/>
      <c r="E645" s="3"/>
      <c r="F645" s="3"/>
      <c r="G645" s="3"/>
      <c r="H645" s="22"/>
      <c r="I645" s="22"/>
      <c r="J645" s="22"/>
      <c r="K645" s="22"/>
      <c r="L645" s="27"/>
      <c r="M645" s="30"/>
      <c r="N645" s="27"/>
      <c r="O645" s="30"/>
      <c r="P645" s="27"/>
      <c r="Q645" s="30"/>
      <c r="R645" s="27"/>
      <c r="S645" s="30"/>
      <c r="W645" s="1"/>
      <c r="Y645" s="2"/>
      <c r="Z645" s="2"/>
      <c r="AA645" s="2"/>
      <c r="AB645" s="2"/>
      <c r="AC645" s="4"/>
    </row>
    <row r="646" spans="1:29" ht="13.5" customHeight="1">
      <c r="A646" s="2"/>
      <c r="C646" s="3"/>
      <c r="D646" s="3"/>
      <c r="E646" s="3"/>
      <c r="F646" s="3"/>
      <c r="G646" s="3"/>
      <c r="H646" s="22"/>
      <c r="I646" s="22"/>
      <c r="J646" s="22"/>
      <c r="K646" s="22"/>
      <c r="L646" s="27"/>
      <c r="M646" s="30"/>
      <c r="N646" s="27"/>
      <c r="O646" s="30"/>
      <c r="P646" s="27"/>
      <c r="Q646" s="30"/>
      <c r="R646" s="27"/>
      <c r="S646" s="30"/>
      <c r="W646" s="1"/>
      <c r="Y646" s="2"/>
      <c r="Z646" s="2"/>
      <c r="AA646" s="2"/>
      <c r="AB646" s="2"/>
      <c r="AC646" s="4"/>
    </row>
    <row r="647" spans="1:29" ht="13.5" customHeight="1">
      <c r="A647" s="2"/>
      <c r="C647" s="3"/>
      <c r="D647" s="3"/>
      <c r="E647" s="3"/>
      <c r="F647" s="3"/>
      <c r="G647" s="3"/>
      <c r="H647" s="22"/>
      <c r="I647" s="22"/>
      <c r="J647" s="22"/>
      <c r="K647" s="22"/>
      <c r="L647" s="27"/>
      <c r="M647" s="30"/>
      <c r="N647" s="27"/>
      <c r="O647" s="30"/>
      <c r="P647" s="27"/>
      <c r="Q647" s="30"/>
      <c r="R647" s="27"/>
      <c r="S647" s="30"/>
      <c r="W647" s="1"/>
      <c r="Y647" s="2"/>
      <c r="Z647" s="2"/>
      <c r="AA647" s="2"/>
      <c r="AB647" s="2"/>
      <c r="AC647" s="4"/>
    </row>
    <row r="648" spans="1:29" ht="13.5" customHeight="1">
      <c r="A648" s="2"/>
      <c r="C648" s="3"/>
      <c r="D648" s="3"/>
      <c r="E648" s="3"/>
      <c r="F648" s="3"/>
      <c r="G648" s="3"/>
      <c r="H648" s="22"/>
      <c r="I648" s="22"/>
      <c r="J648" s="22"/>
      <c r="K648" s="22"/>
      <c r="L648" s="27"/>
      <c r="M648" s="30"/>
      <c r="N648" s="27"/>
      <c r="O648" s="30"/>
      <c r="P648" s="27"/>
      <c r="Q648" s="30"/>
      <c r="R648" s="27"/>
      <c r="S648" s="30"/>
      <c r="W648" s="1"/>
      <c r="Y648" s="2"/>
      <c r="Z648" s="2"/>
      <c r="AA648" s="2"/>
      <c r="AB648" s="2"/>
      <c r="AC648" s="4"/>
    </row>
    <row r="649" spans="1:29" ht="13.5" customHeight="1">
      <c r="A649" s="2"/>
      <c r="C649" s="3"/>
      <c r="D649" s="3"/>
      <c r="E649" s="3"/>
      <c r="F649" s="3"/>
      <c r="G649" s="3"/>
      <c r="H649" s="22"/>
      <c r="I649" s="22"/>
      <c r="J649" s="22"/>
      <c r="K649" s="22"/>
      <c r="L649" s="27"/>
      <c r="M649" s="30"/>
      <c r="N649" s="27"/>
      <c r="O649" s="30"/>
      <c r="P649" s="27"/>
      <c r="Q649" s="30"/>
      <c r="R649" s="27"/>
      <c r="S649" s="30"/>
      <c r="W649" s="1"/>
      <c r="Y649" s="2"/>
      <c r="Z649" s="2"/>
      <c r="AA649" s="2"/>
      <c r="AB649" s="2"/>
      <c r="AC649" s="4"/>
    </row>
    <row r="650" spans="1:29" ht="13.5" customHeight="1">
      <c r="A650" s="2"/>
      <c r="C650" s="3"/>
      <c r="D650" s="3"/>
      <c r="E650" s="3"/>
      <c r="F650" s="3"/>
      <c r="G650" s="3"/>
      <c r="H650" s="22"/>
      <c r="I650" s="22"/>
      <c r="J650" s="22"/>
      <c r="K650" s="22"/>
      <c r="L650" s="27"/>
      <c r="M650" s="30"/>
      <c r="N650" s="27"/>
      <c r="O650" s="30"/>
      <c r="P650" s="27"/>
      <c r="Q650" s="30"/>
      <c r="R650" s="27"/>
      <c r="S650" s="30"/>
      <c r="W650" s="1"/>
      <c r="Y650" s="2"/>
      <c r="Z650" s="2"/>
      <c r="AA650" s="2"/>
      <c r="AB650" s="2"/>
      <c r="AC650" s="4"/>
    </row>
    <row r="651" spans="1:29" ht="13.5" customHeight="1">
      <c r="A651" s="2"/>
      <c r="C651" s="3"/>
      <c r="D651" s="3"/>
      <c r="E651" s="3"/>
      <c r="F651" s="3"/>
      <c r="G651" s="3"/>
      <c r="H651" s="22"/>
      <c r="I651" s="22"/>
      <c r="J651" s="22"/>
      <c r="K651" s="22"/>
      <c r="L651" s="27"/>
      <c r="M651" s="30"/>
      <c r="N651" s="27"/>
      <c r="O651" s="30"/>
      <c r="P651" s="27"/>
      <c r="Q651" s="30"/>
      <c r="R651" s="27"/>
      <c r="S651" s="30"/>
      <c r="W651" s="1"/>
      <c r="Y651" s="2"/>
      <c r="Z651" s="2"/>
      <c r="AA651" s="2"/>
      <c r="AB651" s="2"/>
      <c r="AC651" s="4"/>
    </row>
    <row r="652" spans="1:29" ht="13.5" customHeight="1">
      <c r="A652" s="2"/>
      <c r="C652" s="3"/>
      <c r="D652" s="3"/>
      <c r="E652" s="3"/>
      <c r="F652" s="3"/>
      <c r="G652" s="3"/>
      <c r="H652" s="22"/>
      <c r="I652" s="22"/>
      <c r="J652" s="22"/>
      <c r="K652" s="22"/>
      <c r="L652" s="27"/>
      <c r="M652" s="30"/>
      <c r="N652" s="27"/>
      <c r="O652" s="30"/>
      <c r="P652" s="27"/>
      <c r="Q652" s="30"/>
      <c r="R652" s="27"/>
      <c r="S652" s="30"/>
      <c r="W652" s="1"/>
      <c r="Y652" s="2"/>
      <c r="Z652" s="2"/>
      <c r="AA652" s="2"/>
      <c r="AB652" s="2"/>
      <c r="AC652" s="4"/>
    </row>
    <row r="653" spans="1:29" ht="13.5" customHeight="1">
      <c r="A653" s="2"/>
      <c r="C653" s="3"/>
      <c r="D653" s="3"/>
      <c r="E653" s="3"/>
      <c r="F653" s="3"/>
      <c r="G653" s="3"/>
      <c r="H653" s="22"/>
      <c r="I653" s="22"/>
      <c r="J653" s="22"/>
      <c r="K653" s="22"/>
      <c r="L653" s="27"/>
      <c r="M653" s="30"/>
      <c r="N653" s="27"/>
      <c r="O653" s="30"/>
      <c r="P653" s="27"/>
      <c r="Q653" s="30"/>
      <c r="R653" s="27"/>
      <c r="S653" s="30"/>
      <c r="W653" s="1"/>
      <c r="Y653" s="2"/>
      <c r="Z653" s="2"/>
      <c r="AA653" s="2"/>
      <c r="AB653" s="2"/>
      <c r="AC653" s="4"/>
    </row>
    <row r="654" spans="1:29" ht="13.5" customHeight="1">
      <c r="A654" s="2"/>
      <c r="C654" s="3"/>
      <c r="D654" s="3"/>
      <c r="E654" s="3"/>
      <c r="F654" s="3"/>
      <c r="G654" s="3"/>
      <c r="H654" s="22"/>
      <c r="I654" s="22"/>
      <c r="J654" s="22"/>
      <c r="K654" s="22"/>
      <c r="L654" s="27"/>
      <c r="M654" s="30"/>
      <c r="N654" s="27"/>
      <c r="O654" s="30"/>
      <c r="P654" s="27"/>
      <c r="Q654" s="30"/>
      <c r="R654" s="27"/>
      <c r="S654" s="30"/>
      <c r="W654" s="1"/>
      <c r="Y654" s="2"/>
      <c r="Z654" s="2"/>
      <c r="AA654" s="2"/>
      <c r="AB654" s="2"/>
      <c r="AC654" s="4"/>
    </row>
    <row r="655" spans="1:29" ht="13.5" customHeight="1">
      <c r="A655" s="2"/>
      <c r="C655" s="3"/>
      <c r="D655" s="3"/>
      <c r="E655" s="3"/>
      <c r="F655" s="3"/>
      <c r="G655" s="3"/>
      <c r="H655" s="22"/>
      <c r="I655" s="22"/>
      <c r="J655" s="22"/>
      <c r="K655" s="22"/>
      <c r="L655" s="27"/>
      <c r="M655" s="30"/>
      <c r="N655" s="27"/>
      <c r="O655" s="30"/>
      <c r="P655" s="27"/>
      <c r="Q655" s="30"/>
      <c r="R655" s="27"/>
      <c r="S655" s="30"/>
      <c r="W655" s="1"/>
      <c r="Y655" s="2"/>
      <c r="Z655" s="2"/>
      <c r="AA655" s="2"/>
      <c r="AB655" s="2"/>
      <c r="AC655" s="4"/>
    </row>
    <row r="656" spans="1:29" ht="13.5" customHeight="1">
      <c r="A656" s="2"/>
      <c r="C656" s="3"/>
      <c r="D656" s="3"/>
      <c r="E656" s="3"/>
      <c r="F656" s="3"/>
      <c r="G656" s="3"/>
      <c r="H656" s="22"/>
      <c r="I656" s="22"/>
      <c r="J656" s="22"/>
      <c r="K656" s="22"/>
      <c r="L656" s="27"/>
      <c r="M656" s="30"/>
      <c r="N656" s="27"/>
      <c r="O656" s="30"/>
      <c r="P656" s="27"/>
      <c r="Q656" s="30"/>
      <c r="R656" s="27"/>
      <c r="S656" s="30"/>
      <c r="W656" s="1"/>
      <c r="Y656" s="2"/>
      <c r="Z656" s="2"/>
      <c r="AA656" s="2"/>
      <c r="AB656" s="2"/>
      <c r="AC656" s="4"/>
    </row>
    <row r="657" spans="1:29" ht="13.5" customHeight="1">
      <c r="A657" s="2"/>
      <c r="C657" s="3"/>
      <c r="D657" s="3"/>
      <c r="E657" s="3"/>
      <c r="F657" s="3"/>
      <c r="G657" s="3"/>
      <c r="H657" s="22"/>
      <c r="I657" s="22"/>
      <c r="J657" s="22"/>
      <c r="K657" s="22"/>
      <c r="L657" s="27"/>
      <c r="M657" s="30"/>
      <c r="N657" s="27"/>
      <c r="O657" s="30"/>
      <c r="P657" s="27"/>
      <c r="Q657" s="30"/>
      <c r="R657" s="27"/>
      <c r="S657" s="30"/>
      <c r="W657" s="1"/>
      <c r="Y657" s="2"/>
      <c r="Z657" s="2"/>
      <c r="AA657" s="2"/>
      <c r="AB657" s="2"/>
      <c r="AC657" s="4"/>
    </row>
    <row r="658" spans="1:29" ht="13.5" customHeight="1">
      <c r="A658" s="2"/>
      <c r="C658" s="3"/>
      <c r="D658" s="3"/>
      <c r="E658" s="3"/>
      <c r="F658" s="3"/>
      <c r="G658" s="3"/>
      <c r="H658" s="22"/>
      <c r="I658" s="22"/>
      <c r="J658" s="22"/>
      <c r="K658" s="22"/>
      <c r="L658" s="27"/>
      <c r="M658" s="30"/>
      <c r="N658" s="27"/>
      <c r="O658" s="30"/>
      <c r="P658" s="27"/>
      <c r="Q658" s="30"/>
      <c r="R658" s="27"/>
      <c r="S658" s="30"/>
      <c r="W658" s="1"/>
      <c r="Y658" s="2"/>
      <c r="Z658" s="2"/>
      <c r="AA658" s="2"/>
      <c r="AB658" s="2"/>
      <c r="AC658" s="4"/>
    </row>
    <row r="659" spans="1:29" ht="13.5" customHeight="1">
      <c r="A659" s="2"/>
      <c r="C659" s="3"/>
      <c r="D659" s="3"/>
      <c r="E659" s="3"/>
      <c r="F659" s="3"/>
      <c r="G659" s="3"/>
      <c r="H659" s="22"/>
      <c r="I659" s="22"/>
      <c r="J659" s="22"/>
      <c r="K659" s="22"/>
      <c r="L659" s="27"/>
      <c r="M659" s="30"/>
      <c r="N659" s="27"/>
      <c r="O659" s="30"/>
      <c r="P659" s="27"/>
      <c r="Q659" s="30"/>
      <c r="R659" s="27"/>
      <c r="S659" s="30"/>
      <c r="W659" s="1"/>
      <c r="Y659" s="2"/>
      <c r="Z659" s="2"/>
      <c r="AA659" s="2"/>
      <c r="AB659" s="2"/>
      <c r="AC659" s="4"/>
    </row>
    <row r="660" spans="1:29" ht="13.5" customHeight="1">
      <c r="A660" s="2"/>
      <c r="C660" s="3"/>
      <c r="D660" s="3"/>
      <c r="E660" s="3"/>
      <c r="F660" s="3"/>
      <c r="G660" s="3"/>
      <c r="H660" s="22"/>
      <c r="I660" s="22"/>
      <c r="J660" s="22"/>
      <c r="K660" s="22"/>
      <c r="L660" s="27"/>
      <c r="M660" s="30"/>
      <c r="N660" s="27"/>
      <c r="O660" s="30"/>
      <c r="P660" s="27"/>
      <c r="Q660" s="30"/>
      <c r="R660" s="27"/>
      <c r="S660" s="30"/>
      <c r="W660" s="1"/>
      <c r="Y660" s="2"/>
      <c r="Z660" s="2"/>
      <c r="AA660" s="2"/>
      <c r="AB660" s="2"/>
      <c r="AC660" s="4"/>
    </row>
    <row r="661" spans="1:29" ht="13.5" customHeight="1">
      <c r="A661" s="2"/>
      <c r="C661" s="3"/>
      <c r="D661" s="3"/>
      <c r="E661" s="3"/>
      <c r="F661" s="3"/>
      <c r="G661" s="3"/>
      <c r="H661" s="22"/>
      <c r="I661" s="22"/>
      <c r="J661" s="22"/>
      <c r="K661" s="22"/>
      <c r="L661" s="27"/>
      <c r="M661" s="30"/>
      <c r="N661" s="27"/>
      <c r="O661" s="30"/>
      <c r="P661" s="27"/>
      <c r="Q661" s="30"/>
      <c r="R661" s="27"/>
      <c r="S661" s="30"/>
      <c r="W661" s="1"/>
      <c r="Y661" s="2"/>
      <c r="Z661" s="2"/>
      <c r="AA661" s="2"/>
      <c r="AB661" s="2"/>
      <c r="AC661" s="4"/>
    </row>
    <row r="662" spans="1:29" ht="13.5" customHeight="1">
      <c r="A662" s="2"/>
      <c r="C662" s="3"/>
      <c r="D662" s="3"/>
      <c r="E662" s="3"/>
      <c r="F662" s="3"/>
      <c r="G662" s="3"/>
      <c r="H662" s="22"/>
      <c r="I662" s="22"/>
      <c r="J662" s="22"/>
      <c r="K662" s="22"/>
      <c r="L662" s="27"/>
      <c r="M662" s="30"/>
      <c r="N662" s="27"/>
      <c r="O662" s="30"/>
      <c r="P662" s="27"/>
      <c r="Q662" s="30"/>
      <c r="R662" s="27"/>
      <c r="S662" s="30"/>
      <c r="W662" s="1"/>
      <c r="Y662" s="2"/>
      <c r="Z662" s="2"/>
      <c r="AA662" s="2"/>
      <c r="AB662" s="2"/>
      <c r="AC662" s="4"/>
    </row>
    <row r="663" spans="1:29" ht="13.5" customHeight="1">
      <c r="A663" s="2"/>
      <c r="C663" s="3"/>
      <c r="D663" s="3"/>
      <c r="E663" s="3"/>
      <c r="F663" s="3"/>
      <c r="G663" s="3"/>
      <c r="H663" s="22"/>
      <c r="I663" s="22"/>
      <c r="J663" s="22"/>
      <c r="K663" s="22"/>
      <c r="L663" s="27"/>
      <c r="M663" s="30"/>
      <c r="N663" s="27"/>
      <c r="O663" s="30"/>
      <c r="P663" s="27"/>
      <c r="Q663" s="30"/>
      <c r="R663" s="27"/>
      <c r="S663" s="30"/>
      <c r="W663" s="1"/>
      <c r="Y663" s="2"/>
      <c r="Z663" s="2"/>
      <c r="AA663" s="2"/>
      <c r="AB663" s="2"/>
      <c r="AC663" s="4"/>
    </row>
    <row r="664" spans="1:29" ht="13.5" customHeight="1">
      <c r="A664" s="2"/>
      <c r="C664" s="3"/>
      <c r="D664" s="3"/>
      <c r="E664" s="3"/>
      <c r="F664" s="3"/>
      <c r="G664" s="3"/>
      <c r="H664" s="22"/>
      <c r="I664" s="22"/>
      <c r="J664" s="22"/>
      <c r="K664" s="22"/>
      <c r="L664" s="27"/>
      <c r="M664" s="30"/>
      <c r="N664" s="27"/>
      <c r="O664" s="30"/>
      <c r="P664" s="27"/>
      <c r="Q664" s="30"/>
      <c r="R664" s="27"/>
      <c r="S664" s="30"/>
      <c r="W664" s="1"/>
      <c r="Y664" s="2"/>
      <c r="Z664" s="2"/>
      <c r="AA664" s="2"/>
      <c r="AB664" s="2"/>
      <c r="AC664" s="4"/>
    </row>
    <row r="665" spans="1:29" ht="13.5" customHeight="1">
      <c r="A665" s="2"/>
      <c r="C665" s="3"/>
      <c r="D665" s="3"/>
      <c r="E665" s="3"/>
      <c r="F665" s="3"/>
      <c r="G665" s="3"/>
      <c r="H665" s="22"/>
      <c r="I665" s="22"/>
      <c r="J665" s="22"/>
      <c r="K665" s="22"/>
      <c r="L665" s="27"/>
      <c r="M665" s="30"/>
      <c r="N665" s="27"/>
      <c r="O665" s="30"/>
      <c r="P665" s="27"/>
      <c r="Q665" s="30"/>
      <c r="R665" s="27"/>
      <c r="S665" s="30"/>
      <c r="W665" s="1"/>
      <c r="Y665" s="2"/>
      <c r="Z665" s="2"/>
      <c r="AA665" s="2"/>
      <c r="AB665" s="2"/>
      <c r="AC665" s="4"/>
    </row>
    <row r="666" spans="1:29" ht="13.5" customHeight="1">
      <c r="A666" s="2"/>
      <c r="C666" s="3"/>
      <c r="D666" s="3"/>
      <c r="E666" s="3"/>
      <c r="F666" s="3"/>
      <c r="G666" s="3"/>
      <c r="H666" s="22"/>
      <c r="I666" s="22"/>
      <c r="J666" s="22"/>
      <c r="K666" s="22"/>
      <c r="L666" s="27"/>
      <c r="M666" s="30"/>
      <c r="N666" s="27"/>
      <c r="O666" s="30"/>
      <c r="P666" s="27"/>
      <c r="Q666" s="30"/>
      <c r="R666" s="27"/>
      <c r="S666" s="30"/>
      <c r="W666" s="1"/>
      <c r="Y666" s="2"/>
      <c r="Z666" s="2"/>
      <c r="AA666" s="2"/>
      <c r="AB666" s="2"/>
      <c r="AC666" s="4"/>
    </row>
    <row r="667" spans="1:29" ht="13.5" customHeight="1">
      <c r="A667" s="2"/>
      <c r="C667" s="3"/>
      <c r="D667" s="3"/>
      <c r="E667" s="3"/>
      <c r="F667" s="3"/>
      <c r="G667" s="3"/>
      <c r="H667" s="22"/>
      <c r="I667" s="22"/>
      <c r="J667" s="22"/>
      <c r="K667" s="22"/>
      <c r="L667" s="27"/>
      <c r="M667" s="30"/>
      <c r="N667" s="27"/>
      <c r="O667" s="30"/>
      <c r="P667" s="27"/>
      <c r="Q667" s="30"/>
      <c r="R667" s="27"/>
      <c r="S667" s="30"/>
      <c r="W667" s="1"/>
      <c r="Y667" s="2"/>
      <c r="Z667" s="2"/>
      <c r="AA667" s="2"/>
      <c r="AB667" s="2"/>
      <c r="AC667" s="4"/>
    </row>
    <row r="668" spans="1:29" ht="13.5" customHeight="1">
      <c r="A668" s="2"/>
      <c r="C668" s="3"/>
      <c r="D668" s="3"/>
      <c r="E668" s="3"/>
      <c r="F668" s="3"/>
      <c r="G668" s="3"/>
      <c r="H668" s="22"/>
      <c r="I668" s="22"/>
      <c r="J668" s="22"/>
      <c r="K668" s="22"/>
      <c r="L668" s="27"/>
      <c r="M668" s="30"/>
      <c r="N668" s="27"/>
      <c r="O668" s="30"/>
      <c r="P668" s="27"/>
      <c r="Q668" s="30"/>
      <c r="R668" s="27"/>
      <c r="S668" s="30"/>
      <c r="W668" s="1"/>
      <c r="Y668" s="2"/>
      <c r="Z668" s="2"/>
      <c r="AA668" s="2"/>
      <c r="AB668" s="2"/>
      <c r="AC668" s="4"/>
    </row>
    <row r="669" spans="1:29" ht="13.5" customHeight="1">
      <c r="A669" s="2"/>
      <c r="C669" s="3"/>
      <c r="D669" s="3"/>
      <c r="E669" s="3"/>
      <c r="F669" s="3"/>
      <c r="G669" s="3"/>
      <c r="H669" s="22"/>
      <c r="I669" s="22"/>
      <c r="J669" s="22"/>
      <c r="K669" s="22"/>
      <c r="L669" s="27"/>
      <c r="M669" s="30"/>
      <c r="N669" s="27"/>
      <c r="O669" s="30"/>
      <c r="P669" s="27"/>
      <c r="Q669" s="30"/>
      <c r="R669" s="27"/>
      <c r="S669" s="30"/>
      <c r="W669" s="1"/>
      <c r="Y669" s="2"/>
      <c r="Z669" s="2"/>
      <c r="AA669" s="2"/>
      <c r="AB669" s="2"/>
      <c r="AC669" s="4"/>
    </row>
    <row r="670" spans="1:29" ht="13.5" customHeight="1">
      <c r="A670" s="2"/>
      <c r="C670" s="3"/>
      <c r="D670" s="3"/>
      <c r="E670" s="3"/>
      <c r="F670" s="3"/>
      <c r="G670" s="3"/>
      <c r="H670" s="22"/>
      <c r="I670" s="22"/>
      <c r="J670" s="22"/>
      <c r="K670" s="22"/>
      <c r="L670" s="27"/>
      <c r="M670" s="30"/>
      <c r="N670" s="27"/>
      <c r="O670" s="30"/>
      <c r="P670" s="27"/>
      <c r="Q670" s="30"/>
      <c r="R670" s="27"/>
      <c r="S670" s="30"/>
      <c r="W670" s="1"/>
      <c r="Y670" s="2"/>
      <c r="Z670" s="2"/>
      <c r="AA670" s="2"/>
      <c r="AB670" s="2"/>
      <c r="AC670" s="4"/>
    </row>
    <row r="671" spans="1:29" ht="13.5" customHeight="1">
      <c r="A671" s="2"/>
      <c r="C671" s="3"/>
      <c r="D671" s="3"/>
      <c r="E671" s="3"/>
      <c r="F671" s="3"/>
      <c r="G671" s="3"/>
      <c r="H671" s="22"/>
      <c r="I671" s="22"/>
      <c r="J671" s="22"/>
      <c r="K671" s="22"/>
      <c r="L671" s="27"/>
      <c r="M671" s="30"/>
      <c r="N671" s="27"/>
      <c r="O671" s="30"/>
      <c r="P671" s="27"/>
      <c r="Q671" s="30"/>
      <c r="R671" s="27"/>
      <c r="S671" s="30"/>
      <c r="W671" s="1"/>
      <c r="Y671" s="2"/>
      <c r="Z671" s="2"/>
      <c r="AA671" s="2"/>
      <c r="AB671" s="2"/>
      <c r="AC671" s="4"/>
    </row>
    <row r="672" spans="1:29" ht="13.5" customHeight="1">
      <c r="A672" s="2"/>
      <c r="C672" s="3"/>
      <c r="D672" s="3"/>
      <c r="E672" s="3"/>
      <c r="F672" s="3"/>
      <c r="G672" s="3"/>
      <c r="H672" s="22"/>
      <c r="I672" s="22"/>
      <c r="J672" s="22"/>
      <c r="K672" s="22"/>
      <c r="L672" s="27"/>
      <c r="M672" s="30"/>
      <c r="N672" s="27"/>
      <c r="O672" s="30"/>
      <c r="P672" s="27"/>
      <c r="Q672" s="30"/>
      <c r="R672" s="27"/>
      <c r="S672" s="30"/>
      <c r="W672" s="1"/>
      <c r="Y672" s="2"/>
      <c r="Z672" s="2"/>
      <c r="AA672" s="2"/>
      <c r="AB672" s="2"/>
      <c r="AC672" s="4"/>
    </row>
    <row r="673" spans="1:29" ht="13.5" customHeight="1">
      <c r="A673" s="2"/>
      <c r="C673" s="3"/>
      <c r="D673" s="3"/>
      <c r="E673" s="3"/>
      <c r="F673" s="3"/>
      <c r="G673" s="3"/>
      <c r="H673" s="22"/>
      <c r="I673" s="22"/>
      <c r="J673" s="22"/>
      <c r="K673" s="22"/>
      <c r="L673" s="27"/>
      <c r="M673" s="30"/>
      <c r="N673" s="27"/>
      <c r="O673" s="30"/>
      <c r="P673" s="27"/>
      <c r="Q673" s="30"/>
      <c r="R673" s="27"/>
      <c r="S673" s="30"/>
      <c r="W673" s="1"/>
      <c r="Y673" s="2"/>
      <c r="Z673" s="2"/>
      <c r="AA673" s="2"/>
      <c r="AB673" s="2"/>
      <c r="AC673" s="4"/>
    </row>
    <row r="674" spans="1:29" ht="13.5" customHeight="1">
      <c r="A674" s="2"/>
      <c r="C674" s="3"/>
      <c r="D674" s="3"/>
      <c r="E674" s="3"/>
      <c r="F674" s="3"/>
      <c r="G674" s="3"/>
      <c r="H674" s="22"/>
      <c r="I674" s="22"/>
      <c r="J674" s="22"/>
      <c r="K674" s="22"/>
      <c r="L674" s="27"/>
      <c r="M674" s="30"/>
      <c r="N674" s="27"/>
      <c r="O674" s="30"/>
      <c r="P674" s="27"/>
      <c r="Q674" s="30"/>
      <c r="R674" s="27"/>
      <c r="S674" s="30"/>
      <c r="W674" s="1"/>
      <c r="Y674" s="2"/>
      <c r="Z674" s="2"/>
      <c r="AA674" s="2"/>
      <c r="AB674" s="2"/>
      <c r="AC674" s="4"/>
    </row>
    <row r="675" spans="1:29" ht="13.5" customHeight="1">
      <c r="A675" s="2"/>
      <c r="C675" s="3"/>
      <c r="D675" s="3"/>
      <c r="E675" s="3"/>
      <c r="F675" s="3"/>
      <c r="G675" s="3"/>
      <c r="H675" s="22"/>
      <c r="I675" s="22"/>
      <c r="J675" s="22"/>
      <c r="K675" s="22"/>
      <c r="L675" s="27"/>
      <c r="M675" s="30"/>
      <c r="N675" s="27"/>
      <c r="O675" s="30"/>
      <c r="P675" s="27"/>
      <c r="Q675" s="30"/>
      <c r="R675" s="27"/>
      <c r="S675" s="30"/>
      <c r="W675" s="1"/>
      <c r="Y675" s="2"/>
      <c r="Z675" s="2"/>
      <c r="AA675" s="2"/>
      <c r="AB675" s="2"/>
      <c r="AC675" s="4"/>
    </row>
    <row r="676" spans="1:29" ht="13.5" customHeight="1">
      <c r="A676" s="2"/>
      <c r="C676" s="3"/>
      <c r="D676" s="3"/>
      <c r="E676" s="3"/>
      <c r="F676" s="3"/>
      <c r="G676" s="3"/>
      <c r="H676" s="22"/>
      <c r="I676" s="22"/>
      <c r="J676" s="22"/>
      <c r="K676" s="22"/>
      <c r="L676" s="27"/>
      <c r="M676" s="30"/>
      <c r="N676" s="27"/>
      <c r="O676" s="30"/>
      <c r="P676" s="27"/>
      <c r="Q676" s="30"/>
      <c r="R676" s="27"/>
      <c r="S676" s="30"/>
      <c r="W676" s="1"/>
      <c r="Y676" s="2"/>
      <c r="Z676" s="2"/>
      <c r="AA676" s="2"/>
      <c r="AB676" s="2"/>
      <c r="AC676" s="4"/>
    </row>
    <row r="677" spans="1:29" ht="13.5" customHeight="1">
      <c r="A677" s="2"/>
      <c r="C677" s="3"/>
      <c r="D677" s="3"/>
      <c r="E677" s="3"/>
      <c r="F677" s="3"/>
      <c r="G677" s="3"/>
      <c r="H677" s="22"/>
      <c r="I677" s="22"/>
      <c r="J677" s="22"/>
      <c r="K677" s="22"/>
      <c r="L677" s="27"/>
      <c r="M677" s="30"/>
      <c r="N677" s="27"/>
      <c r="O677" s="30"/>
      <c r="P677" s="27"/>
      <c r="Q677" s="30"/>
      <c r="R677" s="27"/>
      <c r="S677" s="30"/>
      <c r="W677" s="1"/>
      <c r="Y677" s="2"/>
      <c r="Z677" s="2"/>
      <c r="AA677" s="2"/>
      <c r="AB677" s="2"/>
      <c r="AC677" s="4"/>
    </row>
    <row r="678" spans="1:29" ht="13.5" customHeight="1">
      <c r="A678" s="2"/>
      <c r="C678" s="3"/>
      <c r="D678" s="3"/>
      <c r="E678" s="3"/>
      <c r="F678" s="3"/>
      <c r="G678" s="3"/>
      <c r="H678" s="22"/>
      <c r="I678" s="22"/>
      <c r="J678" s="22"/>
      <c r="K678" s="22"/>
      <c r="L678" s="27"/>
      <c r="M678" s="30"/>
      <c r="N678" s="27"/>
      <c r="O678" s="30"/>
      <c r="P678" s="27"/>
      <c r="Q678" s="30"/>
      <c r="R678" s="27"/>
      <c r="S678" s="30"/>
      <c r="W678" s="1"/>
      <c r="Y678" s="2"/>
      <c r="Z678" s="2"/>
      <c r="AA678" s="2"/>
      <c r="AB678" s="2"/>
      <c r="AC678" s="4"/>
    </row>
    <row r="679" spans="1:29" ht="13.5" customHeight="1">
      <c r="A679" s="2"/>
      <c r="C679" s="3"/>
      <c r="D679" s="3"/>
      <c r="E679" s="3"/>
      <c r="F679" s="3"/>
      <c r="G679" s="3"/>
      <c r="H679" s="22"/>
      <c r="I679" s="22"/>
      <c r="J679" s="22"/>
      <c r="K679" s="22"/>
      <c r="L679" s="27"/>
      <c r="M679" s="30"/>
      <c r="N679" s="27"/>
      <c r="O679" s="30"/>
      <c r="P679" s="27"/>
      <c r="Q679" s="30"/>
      <c r="R679" s="27"/>
      <c r="S679" s="30"/>
      <c r="W679" s="1"/>
      <c r="Y679" s="2"/>
      <c r="Z679" s="2"/>
      <c r="AA679" s="2"/>
      <c r="AB679" s="2"/>
      <c r="AC679" s="4"/>
    </row>
    <row r="680" spans="1:29" ht="13.5" customHeight="1">
      <c r="A680" s="2"/>
      <c r="C680" s="3"/>
      <c r="D680" s="3"/>
      <c r="E680" s="3"/>
      <c r="F680" s="3"/>
      <c r="G680" s="3"/>
      <c r="H680" s="22"/>
      <c r="I680" s="22"/>
      <c r="J680" s="22"/>
      <c r="K680" s="22"/>
      <c r="L680" s="27"/>
      <c r="M680" s="30"/>
      <c r="N680" s="27"/>
      <c r="O680" s="30"/>
      <c r="P680" s="27"/>
      <c r="Q680" s="30"/>
      <c r="R680" s="27"/>
      <c r="S680" s="30"/>
      <c r="W680" s="1"/>
      <c r="Y680" s="2"/>
      <c r="Z680" s="2"/>
      <c r="AA680" s="2"/>
      <c r="AB680" s="2"/>
      <c r="AC680" s="4"/>
    </row>
    <row r="681" spans="1:29" ht="13.5" customHeight="1">
      <c r="A681" s="2"/>
      <c r="C681" s="3"/>
      <c r="D681" s="3"/>
      <c r="E681" s="3"/>
      <c r="F681" s="3"/>
      <c r="G681" s="3"/>
      <c r="H681" s="22"/>
      <c r="I681" s="22"/>
      <c r="J681" s="22"/>
      <c r="K681" s="22"/>
      <c r="L681" s="27"/>
      <c r="M681" s="30"/>
      <c r="N681" s="27"/>
      <c r="O681" s="30"/>
      <c r="P681" s="27"/>
      <c r="Q681" s="30"/>
      <c r="R681" s="27"/>
      <c r="S681" s="30"/>
      <c r="W681" s="1"/>
      <c r="Y681" s="2"/>
      <c r="Z681" s="2"/>
      <c r="AA681" s="2"/>
      <c r="AB681" s="2"/>
      <c r="AC681" s="4"/>
    </row>
    <row r="682" spans="1:29" ht="13.5" customHeight="1">
      <c r="A682" s="2"/>
      <c r="C682" s="3"/>
      <c r="D682" s="3"/>
      <c r="E682" s="3"/>
      <c r="F682" s="3"/>
      <c r="G682" s="3"/>
      <c r="H682" s="22"/>
      <c r="I682" s="22"/>
      <c r="J682" s="22"/>
      <c r="K682" s="22"/>
      <c r="L682" s="27"/>
      <c r="M682" s="30"/>
      <c r="N682" s="27"/>
      <c r="O682" s="30"/>
      <c r="P682" s="27"/>
      <c r="Q682" s="30"/>
      <c r="R682" s="27"/>
      <c r="S682" s="30"/>
      <c r="W682" s="1"/>
      <c r="Y682" s="2"/>
      <c r="Z682" s="2"/>
      <c r="AA682" s="2"/>
      <c r="AB682" s="2"/>
      <c r="AC682" s="4"/>
    </row>
    <row r="683" spans="1:29" ht="13.5" customHeight="1">
      <c r="A683" s="2"/>
      <c r="C683" s="3"/>
      <c r="D683" s="3"/>
      <c r="E683" s="3"/>
      <c r="F683" s="3"/>
      <c r="G683" s="3"/>
      <c r="H683" s="22"/>
      <c r="I683" s="22"/>
      <c r="J683" s="22"/>
      <c r="K683" s="22"/>
      <c r="L683" s="27"/>
      <c r="M683" s="30"/>
      <c r="N683" s="27"/>
      <c r="O683" s="30"/>
      <c r="P683" s="27"/>
      <c r="Q683" s="30"/>
      <c r="R683" s="27"/>
      <c r="S683" s="30"/>
      <c r="W683" s="1"/>
      <c r="Y683" s="2"/>
      <c r="Z683" s="2"/>
      <c r="AA683" s="2"/>
      <c r="AB683" s="2"/>
      <c r="AC683" s="4"/>
    </row>
    <row r="684" spans="1:29" ht="13.5" customHeight="1">
      <c r="A684" s="2"/>
      <c r="C684" s="3"/>
      <c r="D684" s="3"/>
      <c r="E684" s="3"/>
      <c r="F684" s="3"/>
      <c r="G684" s="3"/>
      <c r="H684" s="22"/>
      <c r="I684" s="22"/>
      <c r="J684" s="22"/>
      <c r="K684" s="22"/>
      <c r="L684" s="27"/>
      <c r="M684" s="30"/>
      <c r="N684" s="27"/>
      <c r="O684" s="30"/>
      <c r="P684" s="27"/>
      <c r="Q684" s="30"/>
      <c r="R684" s="27"/>
      <c r="S684" s="30"/>
      <c r="W684" s="1"/>
      <c r="Y684" s="2"/>
      <c r="Z684" s="2"/>
      <c r="AA684" s="2"/>
      <c r="AB684" s="2"/>
      <c r="AC684" s="4"/>
    </row>
    <row r="685" spans="1:29" ht="13.5" customHeight="1">
      <c r="A685" s="2"/>
      <c r="C685" s="3"/>
      <c r="D685" s="3"/>
      <c r="E685" s="3"/>
      <c r="F685" s="3"/>
      <c r="G685" s="3"/>
      <c r="H685" s="22"/>
      <c r="I685" s="22"/>
      <c r="J685" s="22"/>
      <c r="K685" s="22"/>
      <c r="L685" s="27"/>
      <c r="M685" s="30"/>
      <c r="N685" s="27"/>
      <c r="O685" s="30"/>
      <c r="P685" s="27"/>
      <c r="Q685" s="30"/>
      <c r="R685" s="27"/>
      <c r="S685" s="30"/>
      <c r="W685" s="1"/>
      <c r="Y685" s="2"/>
      <c r="Z685" s="2"/>
      <c r="AA685" s="2"/>
      <c r="AB685" s="2"/>
      <c r="AC685" s="4"/>
    </row>
    <row r="686" spans="1:29" ht="13.5" customHeight="1">
      <c r="A686" s="2"/>
      <c r="C686" s="3"/>
      <c r="D686" s="3"/>
      <c r="E686" s="3"/>
      <c r="F686" s="3"/>
      <c r="G686" s="3"/>
      <c r="H686" s="22"/>
      <c r="I686" s="22"/>
      <c r="J686" s="22"/>
      <c r="K686" s="22"/>
      <c r="L686" s="27"/>
      <c r="M686" s="30"/>
      <c r="N686" s="27"/>
      <c r="O686" s="30"/>
      <c r="P686" s="27"/>
      <c r="Q686" s="30"/>
      <c r="R686" s="27"/>
      <c r="S686" s="30"/>
      <c r="W686" s="1"/>
      <c r="Y686" s="2"/>
      <c r="Z686" s="2"/>
      <c r="AA686" s="2"/>
      <c r="AB686" s="2"/>
      <c r="AC686" s="4"/>
    </row>
    <row r="687" spans="1:29" ht="13.5" customHeight="1">
      <c r="A687" s="2"/>
      <c r="C687" s="3"/>
      <c r="D687" s="3"/>
      <c r="E687" s="3"/>
      <c r="F687" s="3"/>
      <c r="G687" s="3"/>
      <c r="H687" s="22"/>
      <c r="I687" s="22"/>
      <c r="J687" s="22"/>
      <c r="K687" s="22"/>
      <c r="L687" s="27"/>
      <c r="M687" s="30"/>
      <c r="N687" s="27"/>
      <c r="O687" s="30"/>
      <c r="P687" s="27"/>
      <c r="Q687" s="30"/>
      <c r="R687" s="27"/>
      <c r="S687" s="30"/>
      <c r="W687" s="1"/>
      <c r="Y687" s="2"/>
      <c r="Z687" s="2"/>
      <c r="AA687" s="2"/>
      <c r="AB687" s="2"/>
      <c r="AC687" s="4"/>
    </row>
    <row r="688" spans="1:29" ht="13.5" customHeight="1">
      <c r="A688" s="2"/>
      <c r="C688" s="3"/>
      <c r="D688" s="3"/>
      <c r="E688" s="3"/>
      <c r="F688" s="3"/>
      <c r="G688" s="3"/>
      <c r="H688" s="22"/>
      <c r="I688" s="22"/>
      <c r="J688" s="22"/>
      <c r="K688" s="22"/>
      <c r="L688" s="27"/>
      <c r="M688" s="30"/>
      <c r="N688" s="27"/>
      <c r="O688" s="30"/>
      <c r="P688" s="27"/>
      <c r="Q688" s="30"/>
      <c r="R688" s="27"/>
      <c r="S688" s="30"/>
      <c r="W688" s="1"/>
      <c r="Y688" s="2"/>
      <c r="Z688" s="2"/>
      <c r="AA688" s="2"/>
      <c r="AB688" s="2"/>
      <c r="AC688" s="4"/>
    </row>
    <row r="689" spans="1:29" ht="13.5" customHeight="1">
      <c r="A689" s="2"/>
      <c r="C689" s="3"/>
      <c r="D689" s="3"/>
      <c r="E689" s="3"/>
      <c r="F689" s="3"/>
      <c r="G689" s="3"/>
      <c r="H689" s="22"/>
      <c r="I689" s="22"/>
      <c r="J689" s="22"/>
      <c r="K689" s="22"/>
      <c r="L689" s="27"/>
      <c r="M689" s="30"/>
      <c r="N689" s="27"/>
      <c r="O689" s="30"/>
      <c r="P689" s="27"/>
      <c r="Q689" s="30"/>
      <c r="R689" s="27"/>
      <c r="S689" s="30"/>
      <c r="W689" s="1"/>
      <c r="Y689" s="2"/>
      <c r="Z689" s="2"/>
      <c r="AA689" s="2"/>
      <c r="AB689" s="2"/>
      <c r="AC689" s="4"/>
    </row>
    <row r="690" spans="1:29" ht="13.5" customHeight="1">
      <c r="A690" s="2"/>
      <c r="C690" s="3"/>
      <c r="D690" s="3"/>
      <c r="E690" s="3"/>
      <c r="F690" s="3"/>
      <c r="G690" s="3"/>
      <c r="H690" s="22"/>
      <c r="I690" s="22"/>
      <c r="J690" s="22"/>
      <c r="K690" s="22"/>
      <c r="L690" s="27"/>
      <c r="M690" s="30"/>
      <c r="N690" s="27"/>
      <c r="O690" s="30"/>
      <c r="P690" s="27"/>
      <c r="Q690" s="30"/>
      <c r="R690" s="27"/>
      <c r="S690" s="30"/>
      <c r="W690" s="1"/>
      <c r="Y690" s="2"/>
      <c r="Z690" s="2"/>
      <c r="AA690" s="2"/>
      <c r="AB690" s="2"/>
      <c r="AC690" s="4"/>
    </row>
    <row r="691" spans="1:29" ht="13.5" customHeight="1">
      <c r="A691" s="2"/>
      <c r="C691" s="3"/>
      <c r="D691" s="3"/>
      <c r="E691" s="3"/>
      <c r="F691" s="3"/>
      <c r="G691" s="3"/>
      <c r="H691" s="22"/>
      <c r="I691" s="22"/>
      <c r="J691" s="22"/>
      <c r="K691" s="22"/>
      <c r="L691" s="27"/>
      <c r="M691" s="30"/>
      <c r="N691" s="27"/>
      <c r="O691" s="30"/>
      <c r="P691" s="27"/>
      <c r="Q691" s="30"/>
      <c r="R691" s="27"/>
      <c r="S691" s="30"/>
      <c r="W691" s="1"/>
      <c r="Y691" s="2"/>
      <c r="Z691" s="2"/>
      <c r="AA691" s="2"/>
      <c r="AB691" s="2"/>
      <c r="AC691" s="4"/>
    </row>
    <row r="692" spans="1:29" ht="13.5" customHeight="1">
      <c r="A692" s="2"/>
      <c r="C692" s="3"/>
      <c r="D692" s="3"/>
      <c r="E692" s="3"/>
      <c r="F692" s="3"/>
      <c r="G692" s="3"/>
      <c r="H692" s="22"/>
      <c r="I692" s="22"/>
      <c r="J692" s="22"/>
      <c r="K692" s="22"/>
      <c r="L692" s="27"/>
      <c r="M692" s="30"/>
      <c r="N692" s="27"/>
      <c r="O692" s="30"/>
      <c r="P692" s="27"/>
      <c r="Q692" s="30"/>
      <c r="R692" s="27"/>
      <c r="S692" s="30"/>
      <c r="W692" s="1"/>
      <c r="Y692" s="2"/>
      <c r="Z692" s="2"/>
      <c r="AA692" s="2"/>
      <c r="AB692" s="2"/>
      <c r="AC692" s="4"/>
    </row>
    <row r="693" spans="1:29" ht="13.5" customHeight="1">
      <c r="A693" s="2"/>
      <c r="C693" s="3"/>
      <c r="D693" s="3"/>
      <c r="E693" s="3"/>
      <c r="F693" s="3"/>
      <c r="G693" s="3"/>
      <c r="H693" s="22"/>
      <c r="I693" s="22"/>
      <c r="J693" s="22"/>
      <c r="K693" s="22"/>
      <c r="L693" s="27"/>
      <c r="M693" s="30"/>
      <c r="N693" s="27"/>
      <c r="O693" s="30"/>
      <c r="P693" s="27"/>
      <c r="Q693" s="30"/>
      <c r="R693" s="27"/>
      <c r="S693" s="30"/>
      <c r="W693" s="1"/>
      <c r="Y693" s="2"/>
      <c r="Z693" s="2"/>
      <c r="AA693" s="2"/>
      <c r="AB693" s="2"/>
      <c r="AC693" s="4"/>
    </row>
    <row r="694" spans="1:29" ht="13.5" customHeight="1">
      <c r="A694" s="2"/>
      <c r="C694" s="3"/>
      <c r="D694" s="3"/>
      <c r="E694" s="3"/>
      <c r="F694" s="3"/>
      <c r="G694" s="3"/>
      <c r="H694" s="22"/>
      <c r="I694" s="22"/>
      <c r="J694" s="22"/>
      <c r="K694" s="22"/>
      <c r="L694" s="27"/>
      <c r="M694" s="30"/>
      <c r="N694" s="27"/>
      <c r="O694" s="30"/>
      <c r="P694" s="27"/>
      <c r="Q694" s="30"/>
      <c r="R694" s="27"/>
      <c r="S694" s="30"/>
      <c r="W694" s="1"/>
      <c r="Y694" s="2"/>
      <c r="Z694" s="2"/>
      <c r="AA694" s="2"/>
      <c r="AB694" s="2"/>
      <c r="AC694" s="4"/>
    </row>
    <row r="695" spans="1:29" ht="13.5" customHeight="1">
      <c r="A695" s="2"/>
      <c r="C695" s="3"/>
      <c r="D695" s="3"/>
      <c r="E695" s="3"/>
      <c r="F695" s="3"/>
      <c r="G695" s="3"/>
      <c r="H695" s="22"/>
      <c r="I695" s="22"/>
      <c r="J695" s="22"/>
      <c r="K695" s="22"/>
      <c r="L695" s="27"/>
      <c r="M695" s="30"/>
      <c r="N695" s="27"/>
      <c r="O695" s="30"/>
      <c r="P695" s="27"/>
      <c r="Q695" s="30"/>
      <c r="R695" s="27"/>
      <c r="S695" s="30"/>
      <c r="W695" s="1"/>
      <c r="Y695" s="2"/>
      <c r="Z695" s="2"/>
      <c r="AA695" s="2"/>
      <c r="AB695" s="2"/>
      <c r="AC695" s="4"/>
    </row>
    <row r="696" spans="1:29" ht="13.5" customHeight="1">
      <c r="A696" s="2"/>
      <c r="C696" s="3"/>
      <c r="D696" s="3"/>
      <c r="E696" s="3"/>
      <c r="F696" s="3"/>
      <c r="G696" s="3"/>
      <c r="H696" s="22"/>
      <c r="I696" s="22"/>
      <c r="J696" s="22"/>
      <c r="K696" s="22"/>
      <c r="L696" s="27"/>
      <c r="M696" s="30"/>
      <c r="N696" s="27"/>
      <c r="O696" s="30"/>
      <c r="P696" s="27"/>
      <c r="Q696" s="30"/>
      <c r="R696" s="27"/>
      <c r="S696" s="30"/>
      <c r="W696" s="1"/>
      <c r="Y696" s="2"/>
      <c r="Z696" s="2"/>
      <c r="AA696" s="2"/>
      <c r="AB696" s="2"/>
      <c r="AC696" s="4"/>
    </row>
    <row r="697" spans="1:29" ht="13.5" customHeight="1">
      <c r="A697" s="2"/>
      <c r="C697" s="3"/>
      <c r="D697" s="3"/>
      <c r="E697" s="3"/>
      <c r="F697" s="3"/>
      <c r="G697" s="3"/>
      <c r="H697" s="22"/>
      <c r="I697" s="22"/>
      <c r="J697" s="22"/>
      <c r="K697" s="22"/>
      <c r="L697" s="27"/>
      <c r="M697" s="30"/>
      <c r="N697" s="27"/>
      <c r="O697" s="30"/>
      <c r="P697" s="27"/>
      <c r="Q697" s="30"/>
      <c r="R697" s="27"/>
      <c r="S697" s="30"/>
      <c r="W697" s="1"/>
      <c r="Y697" s="2"/>
      <c r="Z697" s="2"/>
      <c r="AA697" s="2"/>
      <c r="AB697" s="2"/>
      <c r="AC697" s="4"/>
    </row>
    <row r="698" spans="1:29" ht="13.5" customHeight="1">
      <c r="A698" s="2"/>
      <c r="C698" s="3"/>
      <c r="D698" s="3"/>
      <c r="E698" s="3"/>
      <c r="F698" s="3"/>
      <c r="G698" s="3"/>
      <c r="H698" s="22"/>
      <c r="I698" s="22"/>
      <c r="J698" s="22"/>
      <c r="K698" s="22"/>
      <c r="L698" s="27"/>
      <c r="M698" s="30"/>
      <c r="N698" s="27"/>
      <c r="O698" s="30"/>
      <c r="P698" s="27"/>
      <c r="Q698" s="30"/>
      <c r="R698" s="27"/>
      <c r="S698" s="30"/>
      <c r="W698" s="1"/>
      <c r="Y698" s="2"/>
      <c r="Z698" s="2"/>
      <c r="AA698" s="2"/>
      <c r="AB698" s="2"/>
      <c r="AC698" s="4"/>
    </row>
    <row r="699" spans="1:29" ht="13.5" customHeight="1">
      <c r="A699" s="2"/>
      <c r="C699" s="3"/>
      <c r="D699" s="3"/>
      <c r="E699" s="3"/>
      <c r="F699" s="3"/>
      <c r="G699" s="3"/>
      <c r="H699" s="22"/>
      <c r="I699" s="22"/>
      <c r="J699" s="22"/>
      <c r="K699" s="22"/>
      <c r="L699" s="27"/>
      <c r="M699" s="30"/>
      <c r="N699" s="27"/>
      <c r="O699" s="30"/>
      <c r="P699" s="27"/>
      <c r="Q699" s="30"/>
      <c r="R699" s="27"/>
      <c r="S699" s="30"/>
      <c r="W699" s="1"/>
      <c r="Y699" s="2"/>
      <c r="Z699" s="2"/>
      <c r="AA699" s="2"/>
      <c r="AB699" s="2"/>
      <c r="AC699" s="4"/>
    </row>
    <row r="700" spans="1:29" ht="13.5" customHeight="1">
      <c r="A700" s="2"/>
      <c r="C700" s="3"/>
      <c r="D700" s="3"/>
      <c r="E700" s="3"/>
      <c r="F700" s="3"/>
      <c r="G700" s="3"/>
      <c r="H700" s="22"/>
      <c r="I700" s="22"/>
      <c r="J700" s="22"/>
      <c r="K700" s="22"/>
      <c r="L700" s="27"/>
      <c r="M700" s="30"/>
      <c r="N700" s="27"/>
      <c r="O700" s="30"/>
      <c r="P700" s="27"/>
      <c r="Q700" s="30"/>
      <c r="R700" s="27"/>
      <c r="S700" s="30"/>
      <c r="W700" s="1"/>
      <c r="Y700" s="2"/>
      <c r="Z700" s="2"/>
      <c r="AA700" s="2"/>
      <c r="AB700" s="2"/>
      <c r="AC700" s="4"/>
    </row>
    <row r="701" spans="1:29" ht="13.5" customHeight="1">
      <c r="A701" s="2"/>
      <c r="C701" s="3"/>
      <c r="D701" s="3"/>
      <c r="E701" s="3"/>
      <c r="F701" s="3"/>
      <c r="G701" s="3"/>
      <c r="H701" s="22"/>
      <c r="I701" s="22"/>
      <c r="J701" s="22"/>
      <c r="K701" s="22"/>
      <c r="L701" s="27"/>
      <c r="M701" s="30"/>
      <c r="N701" s="27"/>
      <c r="O701" s="30"/>
      <c r="P701" s="27"/>
      <c r="Q701" s="30"/>
      <c r="R701" s="27"/>
      <c r="S701" s="30"/>
      <c r="W701" s="1"/>
      <c r="Y701" s="2"/>
      <c r="Z701" s="2"/>
      <c r="AA701" s="2"/>
      <c r="AB701" s="2"/>
      <c r="AC701" s="4"/>
    </row>
    <row r="702" spans="1:29" ht="13.5" customHeight="1">
      <c r="A702" s="2"/>
      <c r="C702" s="3"/>
      <c r="D702" s="3"/>
      <c r="E702" s="3"/>
      <c r="F702" s="3"/>
      <c r="G702" s="3"/>
      <c r="H702" s="22"/>
      <c r="I702" s="22"/>
      <c r="J702" s="22"/>
      <c r="K702" s="22"/>
      <c r="L702" s="27"/>
      <c r="M702" s="30"/>
      <c r="N702" s="27"/>
      <c r="O702" s="30"/>
      <c r="P702" s="27"/>
      <c r="Q702" s="30"/>
      <c r="R702" s="27"/>
      <c r="S702" s="30"/>
      <c r="W702" s="1"/>
      <c r="Y702" s="2"/>
      <c r="Z702" s="2"/>
      <c r="AA702" s="2"/>
      <c r="AB702" s="2"/>
      <c r="AC702" s="4"/>
    </row>
    <row r="703" spans="1:29" ht="13.5" customHeight="1">
      <c r="A703" s="2"/>
      <c r="C703" s="3"/>
      <c r="D703" s="3"/>
      <c r="E703" s="3"/>
      <c r="F703" s="3"/>
      <c r="G703" s="3"/>
      <c r="H703" s="22"/>
      <c r="I703" s="22"/>
      <c r="J703" s="22"/>
      <c r="K703" s="22"/>
      <c r="L703" s="27"/>
      <c r="M703" s="30"/>
      <c r="N703" s="27"/>
      <c r="O703" s="30"/>
      <c r="P703" s="27"/>
      <c r="Q703" s="30"/>
      <c r="R703" s="27"/>
      <c r="S703" s="30"/>
      <c r="W703" s="1"/>
      <c r="Y703" s="2"/>
      <c r="Z703" s="2"/>
      <c r="AA703" s="2"/>
      <c r="AB703" s="2"/>
      <c r="AC703" s="4"/>
    </row>
    <row r="704" spans="1:29" ht="13.5" customHeight="1">
      <c r="A704" s="2"/>
      <c r="C704" s="3"/>
      <c r="D704" s="3"/>
      <c r="E704" s="3"/>
      <c r="F704" s="3"/>
      <c r="G704" s="3"/>
      <c r="H704" s="22"/>
      <c r="I704" s="22"/>
      <c r="J704" s="22"/>
      <c r="K704" s="22"/>
      <c r="L704" s="27"/>
      <c r="M704" s="30"/>
      <c r="N704" s="27"/>
      <c r="O704" s="30"/>
      <c r="P704" s="27"/>
      <c r="Q704" s="30"/>
      <c r="R704" s="27"/>
      <c r="S704" s="30"/>
      <c r="W704" s="1"/>
      <c r="Y704" s="2"/>
      <c r="Z704" s="2"/>
      <c r="AA704" s="2"/>
      <c r="AB704" s="2"/>
      <c r="AC704" s="4"/>
    </row>
    <row r="705" spans="1:29" ht="13.5" customHeight="1">
      <c r="A705" s="2"/>
      <c r="C705" s="3"/>
      <c r="D705" s="3"/>
      <c r="E705" s="3"/>
      <c r="F705" s="3"/>
      <c r="G705" s="3"/>
      <c r="H705" s="22"/>
      <c r="I705" s="22"/>
      <c r="J705" s="22"/>
      <c r="K705" s="22"/>
      <c r="L705" s="27"/>
      <c r="M705" s="30"/>
      <c r="N705" s="27"/>
      <c r="O705" s="30"/>
      <c r="P705" s="27"/>
      <c r="Q705" s="30"/>
      <c r="R705" s="27"/>
      <c r="S705" s="30"/>
      <c r="W705" s="1"/>
      <c r="Y705" s="2"/>
      <c r="Z705" s="2"/>
      <c r="AA705" s="2"/>
      <c r="AB705" s="2"/>
      <c r="AC705" s="4"/>
    </row>
    <row r="706" spans="1:29" ht="13.5" customHeight="1">
      <c r="A706" s="2"/>
      <c r="C706" s="3"/>
      <c r="D706" s="3"/>
      <c r="E706" s="3"/>
      <c r="F706" s="3"/>
      <c r="G706" s="3"/>
      <c r="H706" s="22"/>
      <c r="I706" s="22"/>
      <c r="J706" s="22"/>
      <c r="K706" s="22"/>
      <c r="L706" s="27"/>
      <c r="M706" s="30"/>
      <c r="N706" s="27"/>
      <c r="O706" s="30"/>
      <c r="P706" s="27"/>
      <c r="Q706" s="30"/>
      <c r="R706" s="27"/>
      <c r="S706" s="30"/>
      <c r="W706" s="1"/>
      <c r="Y706" s="2"/>
      <c r="Z706" s="2"/>
      <c r="AA706" s="2"/>
      <c r="AB706" s="2"/>
      <c r="AC706" s="4"/>
    </row>
    <row r="707" spans="1:29" ht="13.5" customHeight="1">
      <c r="A707" s="2"/>
      <c r="C707" s="3"/>
      <c r="D707" s="3"/>
      <c r="E707" s="3"/>
      <c r="F707" s="3"/>
      <c r="G707" s="3"/>
      <c r="H707" s="22"/>
      <c r="I707" s="22"/>
      <c r="J707" s="22"/>
      <c r="K707" s="22"/>
      <c r="L707" s="27"/>
      <c r="M707" s="30"/>
      <c r="N707" s="27"/>
      <c r="O707" s="30"/>
      <c r="P707" s="27"/>
      <c r="Q707" s="30"/>
      <c r="R707" s="27"/>
      <c r="S707" s="30"/>
      <c r="W707" s="1"/>
      <c r="Y707" s="2"/>
      <c r="Z707" s="2"/>
      <c r="AA707" s="2"/>
      <c r="AB707" s="2"/>
      <c r="AC707" s="4"/>
    </row>
    <row r="708" spans="1:29" ht="13.5" customHeight="1">
      <c r="A708" s="2"/>
      <c r="C708" s="3"/>
      <c r="D708" s="3"/>
      <c r="E708" s="3"/>
      <c r="F708" s="3"/>
      <c r="G708" s="3"/>
      <c r="H708" s="22"/>
      <c r="I708" s="22"/>
      <c r="J708" s="22"/>
      <c r="K708" s="22"/>
      <c r="L708" s="27"/>
      <c r="M708" s="30"/>
      <c r="N708" s="27"/>
      <c r="O708" s="30"/>
      <c r="P708" s="27"/>
      <c r="Q708" s="30"/>
      <c r="R708" s="27"/>
      <c r="S708" s="30"/>
      <c r="W708" s="1"/>
      <c r="Y708" s="2"/>
      <c r="Z708" s="2"/>
      <c r="AA708" s="2"/>
      <c r="AB708" s="2"/>
      <c r="AC708" s="4"/>
    </row>
    <row r="709" spans="1:29" ht="13.5" customHeight="1">
      <c r="A709" s="2"/>
      <c r="C709" s="3"/>
      <c r="D709" s="3"/>
      <c r="E709" s="3"/>
      <c r="F709" s="3"/>
      <c r="G709" s="3"/>
      <c r="H709" s="22"/>
      <c r="I709" s="22"/>
      <c r="J709" s="22"/>
      <c r="K709" s="22"/>
      <c r="L709" s="27"/>
      <c r="M709" s="30"/>
      <c r="N709" s="27"/>
      <c r="O709" s="30"/>
      <c r="P709" s="27"/>
      <c r="Q709" s="30"/>
      <c r="R709" s="27"/>
      <c r="S709" s="30"/>
      <c r="W709" s="1"/>
      <c r="Y709" s="2"/>
      <c r="Z709" s="2"/>
      <c r="AA709" s="2"/>
      <c r="AB709" s="2"/>
      <c r="AC709" s="4"/>
    </row>
    <row r="710" spans="1:29" ht="13.5" customHeight="1">
      <c r="A710" s="2"/>
      <c r="C710" s="3"/>
      <c r="D710" s="3"/>
      <c r="E710" s="3"/>
      <c r="F710" s="3"/>
      <c r="G710" s="3"/>
      <c r="H710" s="22"/>
      <c r="I710" s="22"/>
      <c r="J710" s="22"/>
      <c r="K710" s="22"/>
      <c r="L710" s="27"/>
      <c r="M710" s="30"/>
      <c r="N710" s="27"/>
      <c r="O710" s="30"/>
      <c r="P710" s="27"/>
      <c r="Q710" s="30"/>
      <c r="R710" s="27"/>
      <c r="S710" s="30"/>
      <c r="W710" s="1"/>
      <c r="Y710" s="2"/>
      <c r="Z710" s="2"/>
      <c r="AA710" s="2"/>
      <c r="AB710" s="2"/>
      <c r="AC710" s="4"/>
    </row>
    <row r="711" spans="1:29" ht="13.5" customHeight="1">
      <c r="A711" s="2"/>
      <c r="C711" s="3"/>
      <c r="D711" s="3"/>
      <c r="E711" s="3"/>
      <c r="F711" s="3"/>
      <c r="G711" s="3"/>
      <c r="H711" s="22"/>
      <c r="I711" s="22"/>
      <c r="J711" s="22"/>
      <c r="K711" s="22"/>
      <c r="L711" s="27"/>
      <c r="M711" s="30"/>
      <c r="N711" s="27"/>
      <c r="O711" s="30"/>
      <c r="P711" s="27"/>
      <c r="Q711" s="30"/>
      <c r="R711" s="27"/>
      <c r="S711" s="30"/>
      <c r="W711" s="1"/>
      <c r="Y711" s="2"/>
      <c r="Z711" s="2"/>
      <c r="AA711" s="2"/>
      <c r="AB711" s="2"/>
      <c r="AC711" s="4"/>
    </row>
    <row r="712" spans="1:29" ht="13.5" customHeight="1">
      <c r="A712" s="2"/>
      <c r="C712" s="3"/>
      <c r="D712" s="3"/>
      <c r="E712" s="3"/>
      <c r="F712" s="3"/>
      <c r="G712" s="3"/>
      <c r="H712" s="22"/>
      <c r="I712" s="22"/>
      <c r="J712" s="22"/>
      <c r="K712" s="22"/>
      <c r="L712" s="27"/>
      <c r="M712" s="30"/>
      <c r="N712" s="27"/>
      <c r="O712" s="30"/>
      <c r="P712" s="27"/>
      <c r="Q712" s="30"/>
      <c r="R712" s="27"/>
      <c r="S712" s="30"/>
      <c r="W712" s="1"/>
      <c r="Y712" s="2"/>
      <c r="Z712" s="2"/>
      <c r="AA712" s="2"/>
      <c r="AB712" s="2"/>
      <c r="AC712" s="4"/>
    </row>
    <row r="713" spans="1:29" ht="13.5" customHeight="1">
      <c r="A713" s="2"/>
      <c r="C713" s="3"/>
      <c r="D713" s="3"/>
      <c r="E713" s="3"/>
      <c r="F713" s="3"/>
      <c r="G713" s="3"/>
      <c r="H713" s="22"/>
      <c r="I713" s="22"/>
      <c r="J713" s="22"/>
      <c r="K713" s="22"/>
      <c r="L713" s="27"/>
      <c r="M713" s="30"/>
      <c r="N713" s="27"/>
      <c r="O713" s="30"/>
      <c r="P713" s="27"/>
      <c r="Q713" s="30"/>
      <c r="R713" s="27"/>
      <c r="S713" s="30"/>
      <c r="W713" s="1"/>
      <c r="Y713" s="2"/>
      <c r="Z713" s="2"/>
      <c r="AA713" s="2"/>
      <c r="AB713" s="2"/>
      <c r="AC713" s="4"/>
    </row>
    <row r="714" spans="1:29" ht="13.5" customHeight="1">
      <c r="A714" s="2"/>
      <c r="C714" s="3"/>
      <c r="D714" s="3"/>
      <c r="E714" s="3"/>
      <c r="F714" s="3"/>
      <c r="G714" s="3"/>
      <c r="H714" s="22"/>
      <c r="I714" s="22"/>
      <c r="J714" s="22"/>
      <c r="K714" s="22"/>
      <c r="L714" s="27"/>
      <c r="M714" s="30"/>
      <c r="N714" s="27"/>
      <c r="O714" s="30"/>
      <c r="P714" s="27"/>
      <c r="Q714" s="30"/>
      <c r="R714" s="27"/>
      <c r="S714" s="30"/>
      <c r="W714" s="1"/>
      <c r="Y714" s="2"/>
      <c r="Z714" s="2"/>
      <c r="AA714" s="2"/>
      <c r="AB714" s="2"/>
      <c r="AC714" s="4"/>
    </row>
    <row r="715" spans="1:29" ht="13.5" customHeight="1">
      <c r="A715" s="2"/>
      <c r="C715" s="3"/>
      <c r="D715" s="3"/>
      <c r="E715" s="3"/>
      <c r="F715" s="3"/>
      <c r="G715" s="3"/>
      <c r="H715" s="22"/>
      <c r="I715" s="22"/>
      <c r="J715" s="22"/>
      <c r="K715" s="22"/>
      <c r="L715" s="27"/>
      <c r="M715" s="30"/>
      <c r="N715" s="27"/>
      <c r="O715" s="30"/>
      <c r="P715" s="27"/>
      <c r="Q715" s="30"/>
      <c r="R715" s="27"/>
      <c r="S715" s="30"/>
      <c r="W715" s="1"/>
      <c r="Y715" s="2"/>
      <c r="Z715" s="2"/>
      <c r="AA715" s="2"/>
      <c r="AB715" s="2"/>
      <c r="AC715" s="4"/>
    </row>
    <row r="716" spans="1:29" ht="13.5" customHeight="1">
      <c r="A716" s="2"/>
      <c r="C716" s="3"/>
      <c r="D716" s="3"/>
      <c r="E716" s="3"/>
      <c r="F716" s="3"/>
      <c r="G716" s="3"/>
      <c r="H716" s="22"/>
      <c r="I716" s="22"/>
      <c r="J716" s="22"/>
      <c r="K716" s="22"/>
      <c r="L716" s="27"/>
      <c r="M716" s="30"/>
      <c r="N716" s="27"/>
      <c r="O716" s="30"/>
      <c r="P716" s="27"/>
      <c r="Q716" s="30"/>
      <c r="R716" s="27"/>
      <c r="S716" s="30"/>
      <c r="W716" s="1"/>
      <c r="Y716" s="2"/>
      <c r="Z716" s="2"/>
      <c r="AA716" s="2"/>
      <c r="AB716" s="2"/>
      <c r="AC716" s="4"/>
    </row>
    <row r="717" spans="1:29" ht="13.5" customHeight="1">
      <c r="A717" s="2"/>
      <c r="C717" s="3"/>
      <c r="D717" s="3"/>
      <c r="E717" s="3"/>
      <c r="F717" s="3"/>
      <c r="G717" s="3"/>
      <c r="H717" s="22"/>
      <c r="I717" s="22"/>
      <c r="J717" s="22"/>
      <c r="K717" s="22"/>
      <c r="L717" s="27"/>
      <c r="M717" s="30"/>
      <c r="N717" s="27"/>
      <c r="O717" s="30"/>
      <c r="P717" s="27"/>
      <c r="Q717" s="30"/>
      <c r="R717" s="27"/>
      <c r="S717" s="30"/>
      <c r="W717" s="1"/>
      <c r="Y717" s="2"/>
      <c r="Z717" s="2"/>
      <c r="AA717" s="2"/>
      <c r="AB717" s="2"/>
      <c r="AC717" s="4"/>
    </row>
    <row r="718" spans="1:29" ht="13.5" customHeight="1">
      <c r="A718" s="2"/>
      <c r="C718" s="3"/>
      <c r="D718" s="3"/>
      <c r="E718" s="3"/>
      <c r="F718" s="3"/>
      <c r="G718" s="3"/>
      <c r="H718" s="22"/>
      <c r="I718" s="22"/>
      <c r="J718" s="22"/>
      <c r="K718" s="22"/>
      <c r="L718" s="27"/>
      <c r="M718" s="30"/>
      <c r="N718" s="27"/>
      <c r="O718" s="30"/>
      <c r="P718" s="27"/>
      <c r="Q718" s="30"/>
      <c r="R718" s="27"/>
      <c r="S718" s="30"/>
      <c r="W718" s="1"/>
      <c r="Y718" s="2"/>
      <c r="Z718" s="2"/>
      <c r="AA718" s="2"/>
      <c r="AB718" s="2"/>
      <c r="AC718" s="4"/>
    </row>
    <row r="719" spans="1:29" ht="13.5" customHeight="1">
      <c r="A719" s="2"/>
      <c r="C719" s="3"/>
      <c r="D719" s="3"/>
      <c r="E719" s="3"/>
      <c r="F719" s="3"/>
      <c r="G719" s="3"/>
      <c r="H719" s="22"/>
      <c r="I719" s="22"/>
      <c r="J719" s="22"/>
      <c r="K719" s="22"/>
      <c r="L719" s="27"/>
      <c r="M719" s="30"/>
      <c r="N719" s="27"/>
      <c r="O719" s="30"/>
      <c r="P719" s="27"/>
      <c r="Q719" s="30"/>
      <c r="R719" s="27"/>
      <c r="S719" s="30"/>
      <c r="W719" s="1"/>
      <c r="Y719" s="2"/>
      <c r="Z719" s="2"/>
      <c r="AA719" s="2"/>
      <c r="AB719" s="2"/>
      <c r="AC719" s="4"/>
    </row>
    <row r="720" spans="1:29" ht="13.5" customHeight="1">
      <c r="A720" s="2"/>
      <c r="C720" s="3"/>
      <c r="D720" s="3"/>
      <c r="E720" s="3"/>
      <c r="F720" s="3"/>
      <c r="G720" s="3"/>
      <c r="H720" s="22"/>
      <c r="I720" s="22"/>
      <c r="J720" s="22"/>
      <c r="K720" s="22"/>
      <c r="L720" s="27"/>
      <c r="M720" s="30"/>
      <c r="N720" s="27"/>
      <c r="O720" s="30"/>
      <c r="P720" s="27"/>
      <c r="Q720" s="30"/>
      <c r="R720" s="27"/>
      <c r="S720" s="30"/>
      <c r="W720" s="1"/>
      <c r="Y720" s="2"/>
      <c r="Z720" s="2"/>
      <c r="AA720" s="2"/>
      <c r="AB720" s="2"/>
      <c r="AC720" s="4"/>
    </row>
    <row r="721" spans="1:29" ht="13.5" customHeight="1">
      <c r="A721" s="2"/>
      <c r="C721" s="3"/>
      <c r="D721" s="3"/>
      <c r="E721" s="3"/>
      <c r="F721" s="3"/>
      <c r="G721" s="3"/>
      <c r="H721" s="22"/>
      <c r="I721" s="22"/>
      <c r="J721" s="22"/>
      <c r="K721" s="22"/>
      <c r="L721" s="27"/>
      <c r="M721" s="30"/>
      <c r="N721" s="27"/>
      <c r="O721" s="30"/>
      <c r="P721" s="27"/>
      <c r="Q721" s="30"/>
      <c r="R721" s="27"/>
      <c r="S721" s="30"/>
      <c r="W721" s="1"/>
      <c r="Y721" s="2"/>
      <c r="Z721" s="2"/>
      <c r="AA721" s="2"/>
      <c r="AB721" s="2"/>
      <c r="AC721" s="4"/>
    </row>
    <row r="722" spans="1:29" ht="13.5" customHeight="1">
      <c r="A722" s="2"/>
      <c r="C722" s="3"/>
      <c r="D722" s="3"/>
      <c r="E722" s="3"/>
      <c r="F722" s="3"/>
      <c r="G722" s="3"/>
      <c r="H722" s="22"/>
      <c r="I722" s="22"/>
      <c r="J722" s="22"/>
      <c r="K722" s="22"/>
      <c r="L722" s="27"/>
      <c r="M722" s="30"/>
      <c r="N722" s="27"/>
      <c r="O722" s="30"/>
      <c r="P722" s="27"/>
      <c r="Q722" s="30"/>
      <c r="R722" s="27"/>
      <c r="S722" s="30"/>
      <c r="W722" s="1"/>
      <c r="Y722" s="2"/>
      <c r="Z722" s="2"/>
      <c r="AA722" s="2"/>
      <c r="AB722" s="2"/>
      <c r="AC722" s="4"/>
    </row>
    <row r="723" spans="1:29" ht="13.5" customHeight="1">
      <c r="A723" s="2"/>
      <c r="C723" s="3"/>
      <c r="D723" s="3"/>
      <c r="E723" s="3"/>
      <c r="F723" s="3"/>
      <c r="G723" s="3"/>
      <c r="H723" s="22"/>
      <c r="I723" s="22"/>
      <c r="J723" s="22"/>
      <c r="K723" s="22"/>
      <c r="L723" s="27"/>
      <c r="M723" s="30"/>
      <c r="N723" s="27"/>
      <c r="O723" s="30"/>
      <c r="P723" s="27"/>
      <c r="Q723" s="30"/>
      <c r="R723" s="27"/>
      <c r="S723" s="30"/>
      <c r="W723" s="1"/>
      <c r="Y723" s="2"/>
      <c r="Z723" s="2"/>
      <c r="AA723" s="2"/>
      <c r="AB723" s="2"/>
      <c r="AC723" s="4"/>
    </row>
    <row r="724" spans="1:29" ht="13.5" customHeight="1">
      <c r="A724" s="2"/>
      <c r="C724" s="3"/>
      <c r="D724" s="3"/>
      <c r="E724" s="3"/>
      <c r="F724" s="3"/>
      <c r="G724" s="3"/>
      <c r="H724" s="22"/>
      <c r="I724" s="22"/>
      <c r="J724" s="22"/>
      <c r="K724" s="22"/>
      <c r="L724" s="27"/>
      <c r="M724" s="30"/>
      <c r="N724" s="27"/>
      <c r="O724" s="30"/>
      <c r="P724" s="27"/>
      <c r="Q724" s="30"/>
      <c r="R724" s="27"/>
      <c r="S724" s="30"/>
      <c r="W724" s="1"/>
      <c r="Y724" s="2"/>
      <c r="Z724" s="2"/>
      <c r="AA724" s="2"/>
      <c r="AB724" s="2"/>
      <c r="AC724" s="4"/>
    </row>
    <row r="725" spans="1:29" ht="13.5" customHeight="1">
      <c r="A725" s="2"/>
      <c r="C725" s="3"/>
      <c r="D725" s="3"/>
      <c r="E725" s="3"/>
      <c r="F725" s="3"/>
      <c r="G725" s="3"/>
      <c r="H725" s="22"/>
      <c r="I725" s="22"/>
      <c r="J725" s="22"/>
      <c r="K725" s="22"/>
      <c r="L725" s="27"/>
      <c r="M725" s="30"/>
      <c r="N725" s="27"/>
      <c r="O725" s="30"/>
      <c r="P725" s="27"/>
      <c r="Q725" s="30"/>
      <c r="R725" s="27"/>
      <c r="S725" s="30"/>
      <c r="W725" s="1"/>
      <c r="Y725" s="2"/>
      <c r="Z725" s="2"/>
      <c r="AA725" s="2"/>
      <c r="AB725" s="2"/>
      <c r="AC725" s="4"/>
    </row>
    <row r="726" spans="1:29" ht="13.5" customHeight="1">
      <c r="A726" s="2"/>
      <c r="C726" s="3"/>
      <c r="D726" s="3"/>
      <c r="E726" s="3"/>
      <c r="F726" s="3"/>
      <c r="G726" s="3"/>
      <c r="H726" s="22"/>
      <c r="I726" s="22"/>
      <c r="J726" s="22"/>
      <c r="K726" s="22"/>
      <c r="L726" s="27"/>
      <c r="M726" s="30"/>
      <c r="N726" s="27"/>
      <c r="O726" s="30"/>
      <c r="P726" s="27"/>
      <c r="Q726" s="30"/>
      <c r="R726" s="27"/>
      <c r="S726" s="30"/>
      <c r="W726" s="1"/>
      <c r="Y726" s="2"/>
      <c r="Z726" s="2"/>
      <c r="AA726" s="2"/>
      <c r="AB726" s="2"/>
      <c r="AC726" s="4"/>
    </row>
    <row r="727" spans="1:29" ht="13.5" customHeight="1">
      <c r="A727" s="2"/>
      <c r="C727" s="3"/>
      <c r="D727" s="3"/>
      <c r="E727" s="3"/>
      <c r="F727" s="3"/>
      <c r="G727" s="3"/>
      <c r="H727" s="22"/>
      <c r="I727" s="22"/>
      <c r="J727" s="22"/>
      <c r="K727" s="22"/>
      <c r="L727" s="27"/>
      <c r="M727" s="30"/>
      <c r="N727" s="27"/>
      <c r="O727" s="30"/>
      <c r="P727" s="27"/>
      <c r="Q727" s="30"/>
      <c r="R727" s="27"/>
      <c r="S727" s="30"/>
      <c r="W727" s="1"/>
      <c r="Y727" s="2"/>
      <c r="Z727" s="2"/>
      <c r="AA727" s="2"/>
      <c r="AB727" s="2"/>
      <c r="AC727" s="4"/>
    </row>
    <row r="728" spans="1:29" ht="13.5" customHeight="1">
      <c r="A728" s="2"/>
      <c r="C728" s="3"/>
      <c r="D728" s="3"/>
      <c r="E728" s="3"/>
      <c r="F728" s="3"/>
      <c r="G728" s="3"/>
      <c r="H728" s="22"/>
      <c r="I728" s="22"/>
      <c r="J728" s="22"/>
      <c r="K728" s="22"/>
      <c r="L728" s="27"/>
      <c r="M728" s="30"/>
      <c r="N728" s="27"/>
      <c r="O728" s="30"/>
      <c r="P728" s="27"/>
      <c r="Q728" s="30"/>
      <c r="R728" s="27"/>
      <c r="S728" s="30"/>
      <c r="W728" s="1"/>
      <c r="Y728" s="2"/>
      <c r="Z728" s="2"/>
      <c r="AA728" s="2"/>
      <c r="AB728" s="2"/>
      <c r="AC728" s="4"/>
    </row>
    <row r="729" spans="1:29" ht="13.5" customHeight="1">
      <c r="A729" s="2"/>
      <c r="C729" s="3"/>
      <c r="D729" s="3"/>
      <c r="E729" s="3"/>
      <c r="F729" s="3"/>
      <c r="G729" s="3"/>
      <c r="H729" s="22"/>
      <c r="I729" s="22"/>
      <c r="J729" s="22"/>
      <c r="K729" s="22"/>
      <c r="L729" s="27"/>
      <c r="M729" s="30"/>
      <c r="N729" s="27"/>
      <c r="O729" s="30"/>
      <c r="P729" s="27"/>
      <c r="Q729" s="30"/>
      <c r="R729" s="27"/>
      <c r="S729" s="30"/>
      <c r="W729" s="1"/>
      <c r="Y729" s="2"/>
      <c r="Z729" s="2"/>
      <c r="AA729" s="2"/>
      <c r="AB729" s="2"/>
      <c r="AC729" s="4"/>
    </row>
    <row r="730" spans="1:29" ht="13.5" customHeight="1">
      <c r="A730" s="2"/>
      <c r="C730" s="3"/>
      <c r="D730" s="3"/>
      <c r="E730" s="3"/>
      <c r="F730" s="3"/>
      <c r="G730" s="3"/>
      <c r="H730" s="22"/>
      <c r="I730" s="22"/>
      <c r="J730" s="22"/>
      <c r="K730" s="22"/>
      <c r="L730" s="27"/>
      <c r="M730" s="30"/>
      <c r="N730" s="27"/>
      <c r="O730" s="30"/>
      <c r="P730" s="27"/>
      <c r="Q730" s="30"/>
      <c r="R730" s="27"/>
      <c r="S730" s="30"/>
      <c r="W730" s="1"/>
      <c r="Y730" s="2"/>
      <c r="Z730" s="2"/>
      <c r="AA730" s="2"/>
      <c r="AB730" s="2"/>
      <c r="AC730" s="4"/>
    </row>
    <row r="731" spans="1:29" ht="13.5" customHeight="1">
      <c r="A731" s="2"/>
      <c r="C731" s="3"/>
      <c r="D731" s="3"/>
      <c r="E731" s="3"/>
      <c r="F731" s="3"/>
      <c r="G731" s="3"/>
      <c r="H731" s="22"/>
      <c r="I731" s="22"/>
      <c r="J731" s="22"/>
      <c r="K731" s="22"/>
      <c r="L731" s="27"/>
      <c r="M731" s="30"/>
      <c r="N731" s="27"/>
      <c r="O731" s="30"/>
      <c r="P731" s="27"/>
      <c r="Q731" s="30"/>
      <c r="R731" s="27"/>
      <c r="S731" s="30"/>
      <c r="W731" s="1"/>
      <c r="Y731" s="2"/>
      <c r="Z731" s="2"/>
      <c r="AA731" s="2"/>
      <c r="AB731" s="2"/>
      <c r="AC731" s="4"/>
    </row>
    <row r="732" spans="1:29" ht="13.5" customHeight="1">
      <c r="A732" s="2"/>
      <c r="C732" s="3"/>
      <c r="D732" s="3"/>
      <c r="E732" s="3"/>
      <c r="F732" s="3"/>
      <c r="G732" s="3"/>
      <c r="H732" s="22"/>
      <c r="I732" s="22"/>
      <c r="J732" s="22"/>
      <c r="K732" s="22"/>
      <c r="L732" s="27"/>
      <c r="M732" s="30"/>
      <c r="N732" s="27"/>
      <c r="O732" s="30"/>
      <c r="P732" s="27"/>
      <c r="Q732" s="30"/>
      <c r="R732" s="27"/>
      <c r="S732" s="30"/>
      <c r="W732" s="1"/>
      <c r="Y732" s="2"/>
      <c r="Z732" s="2"/>
      <c r="AA732" s="2"/>
      <c r="AB732" s="2"/>
      <c r="AC732" s="4"/>
    </row>
    <row r="733" spans="1:29" ht="13.5" customHeight="1">
      <c r="A733" s="2"/>
      <c r="C733" s="3"/>
      <c r="D733" s="3"/>
      <c r="E733" s="3"/>
      <c r="F733" s="3"/>
      <c r="G733" s="3"/>
      <c r="H733" s="22"/>
      <c r="I733" s="22"/>
      <c r="J733" s="22"/>
      <c r="K733" s="22"/>
      <c r="L733" s="27"/>
      <c r="M733" s="30"/>
      <c r="N733" s="27"/>
      <c r="O733" s="30"/>
      <c r="P733" s="27"/>
      <c r="Q733" s="30"/>
      <c r="R733" s="27"/>
      <c r="S733" s="30"/>
      <c r="W733" s="1"/>
      <c r="Y733" s="2"/>
      <c r="Z733" s="2"/>
      <c r="AA733" s="2"/>
      <c r="AB733" s="2"/>
      <c r="AC733" s="4"/>
    </row>
    <row r="734" spans="1:29" ht="13.5" customHeight="1">
      <c r="A734" s="2"/>
      <c r="C734" s="3"/>
      <c r="D734" s="3"/>
      <c r="E734" s="3"/>
      <c r="F734" s="3"/>
      <c r="G734" s="3"/>
      <c r="H734" s="22"/>
      <c r="I734" s="22"/>
      <c r="J734" s="22"/>
      <c r="K734" s="22"/>
      <c r="L734" s="27"/>
      <c r="M734" s="30"/>
      <c r="N734" s="27"/>
      <c r="O734" s="30"/>
      <c r="P734" s="27"/>
      <c r="Q734" s="30"/>
      <c r="R734" s="27"/>
      <c r="S734" s="30"/>
      <c r="W734" s="1"/>
      <c r="Y734" s="2"/>
      <c r="Z734" s="2"/>
      <c r="AA734" s="2"/>
      <c r="AB734" s="2"/>
      <c r="AC734" s="4"/>
    </row>
    <row r="735" spans="1:29" ht="13.5" customHeight="1">
      <c r="A735" s="2"/>
      <c r="C735" s="3"/>
      <c r="D735" s="3"/>
      <c r="E735" s="3"/>
      <c r="F735" s="3"/>
      <c r="G735" s="3"/>
      <c r="H735" s="22"/>
      <c r="I735" s="22"/>
      <c r="J735" s="22"/>
      <c r="K735" s="22"/>
      <c r="L735" s="27"/>
      <c r="M735" s="30"/>
      <c r="N735" s="27"/>
      <c r="O735" s="30"/>
      <c r="P735" s="27"/>
      <c r="Q735" s="30"/>
      <c r="R735" s="27"/>
      <c r="S735" s="30"/>
      <c r="W735" s="1"/>
      <c r="Y735" s="2"/>
      <c r="Z735" s="2"/>
      <c r="AA735" s="2"/>
      <c r="AB735" s="2"/>
      <c r="AC735" s="4"/>
    </row>
    <row r="736" spans="1:29" ht="13.5" customHeight="1">
      <c r="A736" s="2"/>
      <c r="C736" s="3"/>
      <c r="D736" s="3"/>
      <c r="E736" s="3"/>
      <c r="F736" s="3"/>
      <c r="G736" s="3"/>
      <c r="H736" s="22"/>
      <c r="I736" s="22"/>
      <c r="J736" s="22"/>
      <c r="K736" s="22"/>
      <c r="L736" s="27"/>
      <c r="M736" s="30"/>
      <c r="N736" s="27"/>
      <c r="O736" s="30"/>
      <c r="P736" s="27"/>
      <c r="Q736" s="30"/>
      <c r="R736" s="27"/>
      <c r="S736" s="30"/>
      <c r="W736" s="1"/>
      <c r="Y736" s="2"/>
      <c r="Z736" s="2"/>
      <c r="AA736" s="2"/>
      <c r="AB736" s="2"/>
      <c r="AC736" s="4"/>
    </row>
    <row r="737" spans="1:29" ht="13.5" customHeight="1">
      <c r="A737" s="2"/>
      <c r="C737" s="3"/>
      <c r="D737" s="3"/>
      <c r="E737" s="3"/>
      <c r="F737" s="3"/>
      <c r="G737" s="3"/>
      <c r="H737" s="22"/>
      <c r="I737" s="22"/>
      <c r="J737" s="22"/>
      <c r="K737" s="22"/>
      <c r="L737" s="27"/>
      <c r="M737" s="30"/>
      <c r="N737" s="27"/>
      <c r="O737" s="30"/>
      <c r="P737" s="27"/>
      <c r="Q737" s="30"/>
      <c r="R737" s="27"/>
      <c r="S737" s="30"/>
      <c r="W737" s="1"/>
      <c r="Y737" s="2"/>
      <c r="Z737" s="2"/>
      <c r="AA737" s="2"/>
      <c r="AB737" s="2"/>
      <c r="AC737" s="4"/>
    </row>
    <row r="738" spans="1:29" ht="13.5" customHeight="1">
      <c r="A738" s="2"/>
      <c r="C738" s="3"/>
      <c r="D738" s="3"/>
      <c r="E738" s="3"/>
      <c r="F738" s="3"/>
      <c r="G738" s="3"/>
      <c r="H738" s="22"/>
      <c r="I738" s="22"/>
      <c r="J738" s="22"/>
      <c r="K738" s="22"/>
      <c r="L738" s="27"/>
      <c r="M738" s="30"/>
      <c r="N738" s="27"/>
      <c r="O738" s="30"/>
      <c r="P738" s="27"/>
      <c r="Q738" s="30"/>
      <c r="R738" s="27"/>
      <c r="S738" s="30"/>
      <c r="W738" s="1"/>
      <c r="Y738" s="2"/>
      <c r="Z738" s="2"/>
      <c r="AA738" s="2"/>
      <c r="AB738" s="2"/>
      <c r="AC738" s="4"/>
    </row>
    <row r="739" spans="1:29" ht="13.5" customHeight="1">
      <c r="A739" s="2"/>
      <c r="C739" s="3"/>
      <c r="D739" s="3"/>
      <c r="E739" s="3"/>
      <c r="F739" s="3"/>
      <c r="G739" s="3"/>
      <c r="H739" s="22"/>
      <c r="I739" s="22"/>
      <c r="J739" s="22"/>
      <c r="K739" s="22"/>
      <c r="L739" s="27"/>
      <c r="M739" s="30"/>
      <c r="N739" s="27"/>
      <c r="O739" s="30"/>
      <c r="P739" s="27"/>
      <c r="Q739" s="30"/>
      <c r="R739" s="27"/>
      <c r="S739" s="30"/>
      <c r="W739" s="1"/>
      <c r="Y739" s="2"/>
      <c r="Z739" s="2"/>
      <c r="AA739" s="2"/>
      <c r="AB739" s="2"/>
      <c r="AC739" s="4"/>
    </row>
    <row r="740" spans="1:29" ht="13.5" customHeight="1">
      <c r="A740" s="2"/>
      <c r="C740" s="3"/>
      <c r="D740" s="3"/>
      <c r="E740" s="3"/>
      <c r="F740" s="3"/>
      <c r="G740" s="3"/>
      <c r="H740" s="22"/>
      <c r="I740" s="22"/>
      <c r="J740" s="22"/>
      <c r="K740" s="22"/>
      <c r="L740" s="27"/>
      <c r="M740" s="30"/>
      <c r="N740" s="27"/>
      <c r="O740" s="30"/>
      <c r="P740" s="27"/>
      <c r="Q740" s="30"/>
      <c r="R740" s="27"/>
      <c r="S740" s="30"/>
      <c r="W740" s="1"/>
      <c r="Y740" s="2"/>
      <c r="Z740" s="2"/>
      <c r="AA740" s="2"/>
      <c r="AB740" s="2"/>
      <c r="AC740" s="4"/>
    </row>
    <row r="741" spans="1:29" ht="13.5" customHeight="1">
      <c r="A741" s="2"/>
      <c r="C741" s="3"/>
      <c r="D741" s="3"/>
      <c r="E741" s="3"/>
      <c r="F741" s="3"/>
      <c r="G741" s="3"/>
      <c r="H741" s="22"/>
      <c r="I741" s="22"/>
      <c r="J741" s="22"/>
      <c r="K741" s="22"/>
      <c r="L741" s="27"/>
      <c r="M741" s="30"/>
      <c r="N741" s="27"/>
      <c r="O741" s="30"/>
      <c r="P741" s="27"/>
      <c r="Q741" s="30"/>
      <c r="R741" s="27"/>
      <c r="S741" s="30"/>
      <c r="W741" s="1"/>
      <c r="Y741" s="2"/>
      <c r="Z741" s="2"/>
      <c r="AA741" s="2"/>
      <c r="AB741" s="2"/>
      <c r="AC741" s="4"/>
    </row>
    <row r="742" spans="1:29" ht="13.5" customHeight="1">
      <c r="A742" s="2"/>
      <c r="C742" s="3"/>
      <c r="D742" s="3"/>
      <c r="E742" s="3"/>
      <c r="F742" s="3"/>
      <c r="G742" s="3"/>
      <c r="H742" s="22"/>
      <c r="I742" s="22"/>
      <c r="J742" s="22"/>
      <c r="K742" s="22"/>
      <c r="L742" s="27"/>
      <c r="M742" s="30"/>
      <c r="N742" s="27"/>
      <c r="O742" s="30"/>
      <c r="P742" s="27"/>
      <c r="Q742" s="30"/>
      <c r="R742" s="27"/>
      <c r="S742" s="30"/>
      <c r="W742" s="1"/>
      <c r="Y742" s="2"/>
      <c r="Z742" s="2"/>
      <c r="AA742" s="2"/>
      <c r="AB742" s="2"/>
      <c r="AC742" s="4"/>
    </row>
    <row r="743" spans="1:29" ht="13.5" customHeight="1">
      <c r="A743" s="2"/>
      <c r="C743" s="3"/>
      <c r="D743" s="3"/>
      <c r="E743" s="3"/>
      <c r="F743" s="3"/>
      <c r="G743" s="3"/>
      <c r="H743" s="22"/>
      <c r="I743" s="22"/>
      <c r="J743" s="22"/>
      <c r="K743" s="22"/>
      <c r="L743" s="27"/>
      <c r="M743" s="30"/>
      <c r="N743" s="27"/>
      <c r="O743" s="30"/>
      <c r="P743" s="27"/>
      <c r="Q743" s="30"/>
      <c r="R743" s="27"/>
      <c r="S743" s="30"/>
      <c r="W743" s="1"/>
      <c r="Y743" s="2"/>
      <c r="Z743" s="2"/>
      <c r="AA743" s="2"/>
      <c r="AB743" s="2"/>
      <c r="AC743" s="4"/>
    </row>
    <row r="744" spans="1:29" ht="13.5" customHeight="1">
      <c r="A744" s="2"/>
      <c r="C744" s="3"/>
      <c r="D744" s="3"/>
      <c r="E744" s="3"/>
      <c r="F744" s="3"/>
      <c r="G744" s="3"/>
      <c r="H744" s="22"/>
      <c r="I744" s="22"/>
      <c r="J744" s="22"/>
      <c r="K744" s="22"/>
      <c r="L744" s="27"/>
      <c r="M744" s="30"/>
      <c r="N744" s="27"/>
      <c r="O744" s="30"/>
      <c r="P744" s="27"/>
      <c r="Q744" s="30"/>
      <c r="R744" s="27"/>
      <c r="S744" s="30"/>
      <c r="W744" s="1"/>
      <c r="Y744" s="2"/>
      <c r="Z744" s="2"/>
      <c r="AA744" s="2"/>
      <c r="AB744" s="2"/>
      <c r="AC744" s="4"/>
    </row>
    <row r="745" spans="1:29" ht="13.5" customHeight="1">
      <c r="A745" s="2"/>
      <c r="C745" s="3"/>
      <c r="D745" s="3"/>
      <c r="E745" s="3"/>
      <c r="F745" s="3"/>
      <c r="G745" s="3"/>
      <c r="H745" s="22"/>
      <c r="I745" s="22"/>
      <c r="J745" s="22"/>
      <c r="K745" s="22"/>
      <c r="L745" s="27"/>
      <c r="M745" s="30"/>
      <c r="N745" s="27"/>
      <c r="O745" s="30"/>
      <c r="P745" s="27"/>
      <c r="Q745" s="30"/>
      <c r="R745" s="27"/>
      <c r="S745" s="30"/>
      <c r="W745" s="1"/>
      <c r="Y745" s="2"/>
      <c r="Z745" s="2"/>
      <c r="AA745" s="2"/>
      <c r="AB745" s="2"/>
      <c r="AC745" s="4"/>
    </row>
    <row r="746" spans="1:29" ht="13.5" customHeight="1">
      <c r="A746" s="2"/>
      <c r="C746" s="3"/>
      <c r="D746" s="3"/>
      <c r="E746" s="3"/>
      <c r="F746" s="3"/>
      <c r="G746" s="3"/>
      <c r="H746" s="22"/>
      <c r="I746" s="22"/>
      <c r="J746" s="22"/>
      <c r="K746" s="22"/>
      <c r="L746" s="27"/>
      <c r="M746" s="30"/>
      <c r="N746" s="27"/>
      <c r="O746" s="30"/>
      <c r="P746" s="27"/>
      <c r="Q746" s="30"/>
      <c r="R746" s="27"/>
      <c r="S746" s="30"/>
      <c r="W746" s="1"/>
      <c r="Y746" s="2"/>
      <c r="Z746" s="2"/>
      <c r="AA746" s="2"/>
      <c r="AB746" s="2"/>
      <c r="AC746" s="4"/>
    </row>
    <row r="747" spans="1:29" ht="13.5" customHeight="1">
      <c r="A747" s="2"/>
      <c r="C747" s="3"/>
      <c r="D747" s="3"/>
      <c r="E747" s="3"/>
      <c r="F747" s="3"/>
      <c r="G747" s="3"/>
      <c r="H747" s="22"/>
      <c r="I747" s="22"/>
      <c r="J747" s="22"/>
      <c r="K747" s="22"/>
      <c r="L747" s="27"/>
      <c r="M747" s="30"/>
      <c r="N747" s="27"/>
      <c r="O747" s="30"/>
      <c r="P747" s="27"/>
      <c r="Q747" s="30"/>
      <c r="R747" s="27"/>
      <c r="S747" s="30"/>
      <c r="W747" s="1"/>
      <c r="Y747" s="2"/>
      <c r="Z747" s="2"/>
      <c r="AA747" s="2"/>
      <c r="AB747" s="2"/>
      <c r="AC747" s="4"/>
    </row>
    <row r="748" spans="1:29" ht="13.5" customHeight="1">
      <c r="A748" s="2"/>
      <c r="C748" s="3"/>
      <c r="D748" s="3"/>
      <c r="E748" s="3"/>
      <c r="F748" s="3"/>
      <c r="G748" s="3"/>
      <c r="H748" s="22"/>
      <c r="I748" s="22"/>
      <c r="J748" s="22"/>
      <c r="K748" s="22"/>
      <c r="L748" s="27"/>
      <c r="M748" s="30"/>
      <c r="N748" s="27"/>
      <c r="O748" s="30"/>
      <c r="P748" s="27"/>
      <c r="Q748" s="30"/>
      <c r="R748" s="27"/>
      <c r="S748" s="30"/>
      <c r="W748" s="1"/>
      <c r="Y748" s="2"/>
      <c r="Z748" s="2"/>
      <c r="AA748" s="2"/>
      <c r="AB748" s="2"/>
      <c r="AC748" s="4"/>
    </row>
    <row r="749" spans="1:29" ht="13.5" customHeight="1">
      <c r="A749" s="2"/>
      <c r="C749" s="3"/>
      <c r="D749" s="3"/>
      <c r="E749" s="3"/>
      <c r="F749" s="3"/>
      <c r="G749" s="3"/>
      <c r="H749" s="22"/>
      <c r="I749" s="22"/>
      <c r="J749" s="22"/>
      <c r="K749" s="22"/>
      <c r="L749" s="27"/>
      <c r="M749" s="30"/>
      <c r="N749" s="27"/>
      <c r="O749" s="30"/>
      <c r="P749" s="27"/>
      <c r="Q749" s="30"/>
      <c r="R749" s="27"/>
      <c r="S749" s="30"/>
      <c r="W749" s="1"/>
      <c r="Y749" s="2"/>
      <c r="Z749" s="2"/>
      <c r="AA749" s="2"/>
      <c r="AB749" s="2"/>
      <c r="AC749" s="4"/>
    </row>
    <row r="750" spans="1:29" ht="13.5" customHeight="1">
      <c r="A750" s="2"/>
      <c r="C750" s="3"/>
      <c r="D750" s="3"/>
      <c r="E750" s="3"/>
      <c r="F750" s="3"/>
      <c r="G750" s="3"/>
      <c r="H750" s="22"/>
      <c r="I750" s="22"/>
      <c r="J750" s="22"/>
      <c r="K750" s="22"/>
      <c r="L750" s="27"/>
      <c r="M750" s="30"/>
      <c r="N750" s="27"/>
      <c r="O750" s="30"/>
      <c r="P750" s="27"/>
      <c r="Q750" s="30"/>
      <c r="R750" s="27"/>
      <c r="S750" s="30"/>
      <c r="W750" s="1"/>
      <c r="Y750" s="2"/>
      <c r="Z750" s="2"/>
      <c r="AA750" s="2"/>
      <c r="AB750" s="2"/>
      <c r="AC750" s="4"/>
    </row>
    <row r="751" spans="1:29" ht="13.5" customHeight="1">
      <c r="A751" s="2"/>
      <c r="C751" s="3"/>
      <c r="D751" s="3"/>
      <c r="E751" s="3"/>
      <c r="F751" s="3"/>
      <c r="G751" s="3"/>
      <c r="H751" s="22"/>
      <c r="I751" s="22"/>
      <c r="J751" s="22"/>
      <c r="K751" s="22"/>
      <c r="L751" s="27"/>
      <c r="M751" s="30"/>
      <c r="N751" s="27"/>
      <c r="O751" s="30"/>
      <c r="P751" s="27"/>
      <c r="Q751" s="30"/>
      <c r="R751" s="27"/>
      <c r="S751" s="30"/>
      <c r="W751" s="1"/>
      <c r="Y751" s="2"/>
      <c r="Z751" s="2"/>
      <c r="AA751" s="2"/>
      <c r="AB751" s="2"/>
      <c r="AC751" s="4"/>
    </row>
    <row r="752" spans="1:29" ht="13.5" customHeight="1">
      <c r="A752" s="2"/>
      <c r="C752" s="3"/>
      <c r="D752" s="3"/>
      <c r="E752" s="3"/>
      <c r="F752" s="3"/>
      <c r="G752" s="3"/>
      <c r="H752" s="22"/>
      <c r="I752" s="22"/>
      <c r="J752" s="22"/>
      <c r="K752" s="22"/>
      <c r="L752" s="27"/>
      <c r="M752" s="30"/>
      <c r="N752" s="27"/>
      <c r="O752" s="30"/>
      <c r="P752" s="27"/>
      <c r="Q752" s="30"/>
      <c r="R752" s="27"/>
      <c r="S752" s="30"/>
      <c r="W752" s="1"/>
      <c r="Y752" s="2"/>
      <c r="Z752" s="2"/>
      <c r="AA752" s="2"/>
      <c r="AB752" s="2"/>
      <c r="AC752" s="4"/>
    </row>
    <row r="753" spans="1:29" ht="13.5" customHeight="1">
      <c r="A753" s="2"/>
      <c r="C753" s="3"/>
      <c r="D753" s="3"/>
      <c r="E753" s="3"/>
      <c r="F753" s="3"/>
      <c r="G753" s="3"/>
      <c r="H753" s="22"/>
      <c r="I753" s="22"/>
      <c r="J753" s="22"/>
      <c r="K753" s="22"/>
      <c r="L753" s="27"/>
      <c r="M753" s="30"/>
      <c r="N753" s="27"/>
      <c r="O753" s="30"/>
      <c r="P753" s="27"/>
      <c r="Q753" s="30"/>
      <c r="R753" s="27"/>
      <c r="S753" s="30"/>
      <c r="W753" s="1"/>
      <c r="Y753" s="2"/>
      <c r="Z753" s="2"/>
      <c r="AA753" s="2"/>
      <c r="AB753" s="2"/>
      <c r="AC753" s="4"/>
    </row>
    <row r="754" spans="1:29" ht="13.5" customHeight="1">
      <c r="A754" s="2"/>
      <c r="C754" s="3"/>
      <c r="D754" s="3"/>
      <c r="E754" s="3"/>
      <c r="F754" s="3"/>
      <c r="G754" s="3"/>
      <c r="H754" s="22"/>
      <c r="I754" s="22"/>
      <c r="J754" s="22"/>
      <c r="K754" s="22"/>
      <c r="L754" s="27"/>
      <c r="M754" s="30"/>
      <c r="N754" s="27"/>
      <c r="O754" s="30"/>
      <c r="P754" s="27"/>
      <c r="Q754" s="30"/>
      <c r="R754" s="27"/>
      <c r="S754" s="30"/>
      <c r="W754" s="1"/>
      <c r="Y754" s="2"/>
      <c r="Z754" s="2"/>
      <c r="AA754" s="2"/>
      <c r="AB754" s="2"/>
      <c r="AC754" s="4"/>
    </row>
    <row r="755" spans="1:29" ht="13.5" customHeight="1">
      <c r="A755" s="2"/>
      <c r="C755" s="3"/>
      <c r="D755" s="3"/>
      <c r="E755" s="3"/>
      <c r="F755" s="3"/>
      <c r="G755" s="3"/>
      <c r="H755" s="22"/>
      <c r="I755" s="22"/>
      <c r="J755" s="22"/>
      <c r="K755" s="22"/>
      <c r="L755" s="27"/>
      <c r="M755" s="30"/>
      <c r="N755" s="27"/>
      <c r="O755" s="30"/>
      <c r="P755" s="27"/>
      <c r="Q755" s="30"/>
      <c r="R755" s="27"/>
      <c r="S755" s="30"/>
      <c r="W755" s="1"/>
      <c r="Y755" s="2"/>
      <c r="Z755" s="2"/>
      <c r="AA755" s="2"/>
      <c r="AB755" s="2"/>
      <c r="AC755" s="4"/>
    </row>
    <row r="756" spans="1:29" ht="13.5" customHeight="1">
      <c r="A756" s="2"/>
      <c r="C756" s="3"/>
      <c r="D756" s="3"/>
      <c r="E756" s="3"/>
      <c r="F756" s="3"/>
      <c r="G756" s="3"/>
      <c r="H756" s="22"/>
      <c r="I756" s="22"/>
      <c r="J756" s="22"/>
      <c r="K756" s="22"/>
      <c r="L756" s="27"/>
      <c r="M756" s="30"/>
      <c r="N756" s="27"/>
      <c r="O756" s="30"/>
      <c r="P756" s="27"/>
      <c r="Q756" s="30"/>
      <c r="R756" s="27"/>
      <c r="S756" s="30"/>
      <c r="W756" s="1"/>
      <c r="Y756" s="2"/>
      <c r="Z756" s="2"/>
      <c r="AA756" s="2"/>
      <c r="AB756" s="2"/>
      <c r="AC756" s="4"/>
    </row>
    <row r="757" spans="1:29" ht="13.5" customHeight="1">
      <c r="A757" s="2"/>
      <c r="C757" s="3"/>
      <c r="D757" s="3"/>
      <c r="E757" s="3"/>
      <c r="F757" s="3"/>
      <c r="G757" s="3"/>
      <c r="H757" s="22"/>
      <c r="I757" s="22"/>
      <c r="J757" s="22"/>
      <c r="K757" s="22"/>
      <c r="L757" s="27"/>
      <c r="M757" s="30"/>
      <c r="N757" s="27"/>
      <c r="O757" s="30"/>
      <c r="P757" s="27"/>
      <c r="Q757" s="30"/>
      <c r="R757" s="27"/>
      <c r="S757" s="30"/>
      <c r="W757" s="1"/>
      <c r="Y757" s="2"/>
      <c r="Z757" s="2"/>
      <c r="AA757" s="2"/>
      <c r="AB757" s="2"/>
      <c r="AC757" s="4"/>
    </row>
    <row r="758" spans="1:29" ht="13.5" customHeight="1">
      <c r="A758" s="2"/>
      <c r="C758" s="3"/>
      <c r="D758" s="3"/>
      <c r="E758" s="3"/>
      <c r="F758" s="3"/>
      <c r="G758" s="3"/>
      <c r="H758" s="22"/>
      <c r="I758" s="22"/>
      <c r="J758" s="22"/>
      <c r="K758" s="22"/>
      <c r="L758" s="27"/>
      <c r="M758" s="30"/>
      <c r="N758" s="27"/>
      <c r="O758" s="30"/>
      <c r="P758" s="27"/>
      <c r="Q758" s="30"/>
      <c r="R758" s="27"/>
      <c r="S758" s="30"/>
      <c r="W758" s="1"/>
      <c r="Y758" s="2"/>
      <c r="Z758" s="2"/>
      <c r="AA758" s="2"/>
      <c r="AB758" s="2"/>
      <c r="AC758" s="4"/>
    </row>
    <row r="759" spans="1:29" ht="13.5" customHeight="1">
      <c r="A759" s="2"/>
      <c r="C759" s="3"/>
      <c r="D759" s="3"/>
      <c r="E759" s="3"/>
      <c r="F759" s="3"/>
      <c r="G759" s="3"/>
      <c r="H759" s="22"/>
      <c r="I759" s="22"/>
      <c r="J759" s="22"/>
      <c r="K759" s="22"/>
      <c r="L759" s="27"/>
      <c r="M759" s="30"/>
      <c r="N759" s="27"/>
      <c r="O759" s="30"/>
      <c r="P759" s="27"/>
      <c r="Q759" s="30"/>
      <c r="R759" s="27"/>
      <c r="S759" s="30"/>
      <c r="W759" s="1"/>
      <c r="Y759" s="2"/>
      <c r="Z759" s="2"/>
      <c r="AA759" s="2"/>
      <c r="AB759" s="2"/>
      <c r="AC759" s="4"/>
    </row>
    <row r="760" spans="1:29" ht="13.5" customHeight="1">
      <c r="A760" s="2"/>
      <c r="C760" s="3"/>
      <c r="D760" s="3"/>
      <c r="E760" s="3"/>
      <c r="F760" s="3"/>
      <c r="G760" s="3"/>
      <c r="H760" s="22"/>
      <c r="I760" s="22"/>
      <c r="J760" s="22"/>
      <c r="K760" s="22"/>
      <c r="L760" s="27"/>
      <c r="M760" s="30"/>
      <c r="N760" s="27"/>
      <c r="O760" s="30"/>
      <c r="P760" s="27"/>
      <c r="Q760" s="30"/>
      <c r="R760" s="27"/>
      <c r="S760" s="30"/>
      <c r="W760" s="1"/>
      <c r="Y760" s="2"/>
      <c r="Z760" s="2"/>
      <c r="AA760" s="2"/>
      <c r="AB760" s="2"/>
      <c r="AC760" s="4"/>
    </row>
    <row r="761" spans="1:29" ht="13.5" customHeight="1">
      <c r="A761" s="2"/>
      <c r="C761" s="3"/>
      <c r="D761" s="3"/>
      <c r="E761" s="3"/>
      <c r="F761" s="3"/>
      <c r="G761" s="3"/>
      <c r="H761" s="22"/>
      <c r="I761" s="22"/>
      <c r="J761" s="22"/>
      <c r="K761" s="22"/>
      <c r="L761" s="27"/>
      <c r="M761" s="30"/>
      <c r="N761" s="27"/>
      <c r="O761" s="30"/>
      <c r="P761" s="27"/>
      <c r="Q761" s="30"/>
      <c r="R761" s="27"/>
      <c r="S761" s="30"/>
      <c r="W761" s="1"/>
      <c r="Y761" s="2"/>
      <c r="Z761" s="2"/>
      <c r="AA761" s="2"/>
      <c r="AB761" s="2"/>
      <c r="AC761" s="4"/>
    </row>
    <row r="762" spans="1:29" ht="13.5" customHeight="1">
      <c r="A762" s="2"/>
      <c r="C762" s="3"/>
      <c r="D762" s="3"/>
      <c r="E762" s="3"/>
      <c r="F762" s="3"/>
      <c r="G762" s="3"/>
      <c r="H762" s="22"/>
      <c r="I762" s="22"/>
      <c r="J762" s="22"/>
      <c r="K762" s="22"/>
      <c r="L762" s="27"/>
      <c r="M762" s="30"/>
      <c r="N762" s="27"/>
      <c r="O762" s="30"/>
      <c r="P762" s="27"/>
      <c r="Q762" s="30"/>
      <c r="R762" s="27"/>
      <c r="S762" s="30"/>
      <c r="W762" s="1"/>
      <c r="Y762" s="2"/>
      <c r="Z762" s="2"/>
      <c r="AA762" s="2"/>
      <c r="AB762" s="2"/>
      <c r="AC762" s="4"/>
    </row>
    <row r="763" spans="1:29" ht="13.5" customHeight="1">
      <c r="A763" s="2"/>
      <c r="C763" s="3"/>
      <c r="D763" s="3"/>
      <c r="E763" s="3"/>
      <c r="F763" s="3"/>
      <c r="G763" s="3"/>
      <c r="H763" s="22"/>
      <c r="I763" s="22"/>
      <c r="J763" s="22"/>
      <c r="K763" s="22"/>
      <c r="L763" s="27"/>
      <c r="M763" s="30"/>
      <c r="N763" s="27"/>
      <c r="O763" s="30"/>
      <c r="P763" s="27"/>
      <c r="Q763" s="30"/>
      <c r="R763" s="27"/>
      <c r="S763" s="30"/>
      <c r="W763" s="1"/>
      <c r="Y763" s="2"/>
      <c r="Z763" s="2"/>
      <c r="AA763" s="2"/>
      <c r="AB763" s="2"/>
      <c r="AC763" s="4"/>
    </row>
    <row r="764" spans="1:29" ht="13.5" customHeight="1">
      <c r="A764" s="2"/>
      <c r="C764" s="3"/>
      <c r="D764" s="3"/>
      <c r="E764" s="3"/>
      <c r="F764" s="3"/>
      <c r="G764" s="3"/>
      <c r="H764" s="22"/>
      <c r="I764" s="22"/>
      <c r="J764" s="22"/>
      <c r="K764" s="22"/>
      <c r="L764" s="27"/>
      <c r="M764" s="30"/>
      <c r="N764" s="27"/>
      <c r="O764" s="30"/>
      <c r="P764" s="27"/>
      <c r="Q764" s="30"/>
      <c r="R764" s="27"/>
      <c r="S764" s="30"/>
      <c r="W764" s="1"/>
      <c r="Y764" s="2"/>
      <c r="Z764" s="2"/>
      <c r="AA764" s="2"/>
      <c r="AB764" s="2"/>
      <c r="AC764" s="4"/>
    </row>
    <row r="765" spans="1:29" ht="13.5" customHeight="1">
      <c r="A765" s="2"/>
      <c r="C765" s="3"/>
      <c r="D765" s="3"/>
      <c r="E765" s="3"/>
      <c r="F765" s="3"/>
      <c r="G765" s="3"/>
      <c r="H765" s="22"/>
      <c r="I765" s="22"/>
      <c r="J765" s="22"/>
      <c r="K765" s="22"/>
      <c r="L765" s="27"/>
      <c r="M765" s="30"/>
      <c r="N765" s="27"/>
      <c r="O765" s="30"/>
      <c r="P765" s="27"/>
      <c r="Q765" s="30"/>
      <c r="R765" s="27"/>
      <c r="S765" s="30"/>
      <c r="W765" s="1"/>
      <c r="Y765" s="2"/>
      <c r="Z765" s="2"/>
      <c r="AA765" s="2"/>
      <c r="AB765" s="2"/>
      <c r="AC765" s="4"/>
    </row>
    <row r="766" spans="1:29" ht="13.5" customHeight="1">
      <c r="A766" s="2"/>
      <c r="C766" s="3"/>
      <c r="D766" s="3"/>
      <c r="E766" s="3"/>
      <c r="F766" s="3"/>
      <c r="G766" s="3"/>
      <c r="H766" s="22"/>
      <c r="I766" s="22"/>
      <c r="J766" s="22"/>
      <c r="K766" s="22"/>
      <c r="L766" s="27"/>
      <c r="M766" s="30"/>
      <c r="N766" s="27"/>
      <c r="O766" s="30"/>
      <c r="P766" s="27"/>
      <c r="Q766" s="30"/>
      <c r="R766" s="27"/>
      <c r="S766" s="30"/>
      <c r="W766" s="1"/>
      <c r="Y766" s="2"/>
      <c r="Z766" s="2"/>
      <c r="AA766" s="2"/>
      <c r="AB766" s="2"/>
      <c r="AC766" s="4"/>
    </row>
    <row r="767" spans="1:29" ht="13.5" customHeight="1">
      <c r="A767" s="2"/>
      <c r="C767" s="3"/>
      <c r="D767" s="3"/>
      <c r="E767" s="3"/>
      <c r="F767" s="3"/>
      <c r="G767" s="3"/>
      <c r="H767" s="22"/>
      <c r="I767" s="22"/>
      <c r="J767" s="22"/>
      <c r="K767" s="22"/>
      <c r="L767" s="27"/>
      <c r="M767" s="30"/>
      <c r="N767" s="27"/>
      <c r="O767" s="30"/>
      <c r="P767" s="27"/>
      <c r="Q767" s="30"/>
      <c r="R767" s="27"/>
      <c r="S767" s="30"/>
      <c r="W767" s="1"/>
      <c r="Y767" s="2"/>
      <c r="Z767" s="2"/>
      <c r="AA767" s="2"/>
      <c r="AB767" s="2"/>
      <c r="AC767" s="4"/>
    </row>
    <row r="768" spans="1:29" ht="13.5" customHeight="1">
      <c r="A768" s="2"/>
      <c r="C768" s="3"/>
      <c r="D768" s="3"/>
      <c r="E768" s="3"/>
      <c r="F768" s="3"/>
      <c r="G768" s="3"/>
      <c r="H768" s="22"/>
      <c r="I768" s="22"/>
      <c r="J768" s="22"/>
      <c r="K768" s="22"/>
      <c r="L768" s="27"/>
      <c r="M768" s="30"/>
      <c r="N768" s="27"/>
      <c r="O768" s="30"/>
      <c r="P768" s="27"/>
      <c r="Q768" s="30"/>
      <c r="R768" s="27"/>
      <c r="S768" s="30"/>
      <c r="W768" s="1"/>
      <c r="Y768" s="2"/>
      <c r="Z768" s="2"/>
      <c r="AA768" s="2"/>
      <c r="AB768" s="2"/>
      <c r="AC768" s="4"/>
    </row>
    <row r="769" spans="1:29" ht="13.5" customHeight="1">
      <c r="A769" s="2"/>
      <c r="C769" s="3"/>
      <c r="D769" s="3"/>
      <c r="E769" s="3"/>
      <c r="F769" s="3"/>
      <c r="G769" s="3"/>
      <c r="H769" s="22"/>
      <c r="I769" s="22"/>
      <c r="J769" s="22"/>
      <c r="K769" s="22"/>
      <c r="L769" s="27"/>
      <c r="M769" s="30"/>
      <c r="N769" s="27"/>
      <c r="O769" s="30"/>
      <c r="P769" s="27"/>
      <c r="Q769" s="30"/>
      <c r="R769" s="27"/>
      <c r="S769" s="30"/>
      <c r="W769" s="1"/>
      <c r="Y769" s="2"/>
      <c r="Z769" s="2"/>
      <c r="AA769" s="2"/>
      <c r="AB769" s="2"/>
      <c r="AC769" s="4"/>
    </row>
    <row r="770" spans="1:29" ht="13.5" customHeight="1">
      <c r="A770" s="2"/>
      <c r="C770" s="3"/>
      <c r="D770" s="3"/>
      <c r="E770" s="3"/>
      <c r="F770" s="3"/>
      <c r="G770" s="3"/>
      <c r="H770" s="22"/>
      <c r="I770" s="22"/>
      <c r="J770" s="22"/>
      <c r="K770" s="22"/>
      <c r="L770" s="27"/>
      <c r="M770" s="30"/>
      <c r="N770" s="27"/>
      <c r="O770" s="30"/>
      <c r="P770" s="27"/>
      <c r="Q770" s="30"/>
      <c r="R770" s="27"/>
      <c r="S770" s="30"/>
      <c r="W770" s="1"/>
      <c r="Y770" s="2"/>
      <c r="Z770" s="2"/>
      <c r="AA770" s="2"/>
      <c r="AB770" s="2"/>
      <c r="AC770" s="4"/>
    </row>
    <row r="771" spans="1:29" ht="13.5" customHeight="1">
      <c r="A771" s="2"/>
      <c r="C771" s="3"/>
      <c r="D771" s="3"/>
      <c r="E771" s="3"/>
      <c r="F771" s="3"/>
      <c r="G771" s="3"/>
      <c r="H771" s="22"/>
      <c r="I771" s="22"/>
      <c r="J771" s="22"/>
      <c r="K771" s="22"/>
      <c r="L771" s="27"/>
      <c r="M771" s="30"/>
      <c r="N771" s="27"/>
      <c r="O771" s="30"/>
      <c r="P771" s="27"/>
      <c r="Q771" s="30"/>
      <c r="R771" s="27"/>
      <c r="S771" s="30"/>
      <c r="W771" s="1"/>
      <c r="Y771" s="2"/>
      <c r="Z771" s="2"/>
      <c r="AA771" s="2"/>
      <c r="AB771" s="2"/>
      <c r="AC771" s="4"/>
    </row>
    <row r="772" spans="1:29" ht="13.5" customHeight="1">
      <c r="A772" s="2"/>
      <c r="C772" s="3"/>
      <c r="D772" s="3"/>
      <c r="E772" s="3"/>
      <c r="F772" s="3"/>
      <c r="G772" s="3"/>
      <c r="H772" s="22"/>
      <c r="I772" s="22"/>
      <c r="J772" s="22"/>
      <c r="K772" s="22"/>
      <c r="L772" s="27"/>
      <c r="M772" s="30"/>
      <c r="N772" s="27"/>
      <c r="O772" s="30"/>
      <c r="P772" s="27"/>
      <c r="Q772" s="30"/>
      <c r="R772" s="27"/>
      <c r="S772" s="30"/>
      <c r="W772" s="1"/>
      <c r="Y772" s="2"/>
      <c r="Z772" s="2"/>
      <c r="AA772" s="2"/>
      <c r="AB772" s="2"/>
      <c r="AC772" s="4"/>
    </row>
    <row r="773" spans="1:29" ht="13.5" customHeight="1">
      <c r="A773" s="2"/>
      <c r="C773" s="3"/>
      <c r="D773" s="3"/>
      <c r="E773" s="3"/>
      <c r="F773" s="3"/>
      <c r="G773" s="3"/>
      <c r="H773" s="22"/>
      <c r="I773" s="22"/>
      <c r="J773" s="22"/>
      <c r="K773" s="22"/>
      <c r="L773" s="27"/>
      <c r="M773" s="30"/>
      <c r="N773" s="27"/>
      <c r="O773" s="30"/>
      <c r="P773" s="27"/>
      <c r="Q773" s="30"/>
      <c r="R773" s="27"/>
      <c r="S773" s="30"/>
      <c r="W773" s="1"/>
      <c r="Y773" s="2"/>
      <c r="Z773" s="2"/>
      <c r="AA773" s="2"/>
      <c r="AB773" s="2"/>
      <c r="AC773" s="4"/>
    </row>
    <row r="774" spans="1:29" ht="13.5" customHeight="1">
      <c r="A774" s="2"/>
      <c r="C774" s="3"/>
      <c r="D774" s="3"/>
      <c r="E774" s="3"/>
      <c r="F774" s="3"/>
      <c r="G774" s="3"/>
      <c r="H774" s="22"/>
      <c r="I774" s="22"/>
      <c r="J774" s="22"/>
      <c r="K774" s="22"/>
      <c r="L774" s="27"/>
      <c r="M774" s="30"/>
      <c r="N774" s="27"/>
      <c r="O774" s="30"/>
      <c r="P774" s="27"/>
      <c r="Q774" s="30"/>
      <c r="R774" s="27"/>
      <c r="S774" s="30"/>
      <c r="W774" s="1"/>
      <c r="Y774" s="2"/>
      <c r="Z774" s="2"/>
      <c r="AA774" s="2"/>
      <c r="AB774" s="2"/>
      <c r="AC774" s="4"/>
    </row>
    <row r="775" spans="1:29" ht="13.5" customHeight="1">
      <c r="A775" s="2"/>
      <c r="C775" s="3"/>
      <c r="D775" s="3"/>
      <c r="E775" s="3"/>
      <c r="F775" s="3"/>
      <c r="G775" s="3"/>
      <c r="H775" s="22"/>
      <c r="I775" s="22"/>
      <c r="J775" s="22"/>
      <c r="K775" s="22"/>
      <c r="L775" s="27"/>
      <c r="M775" s="30"/>
      <c r="N775" s="27"/>
      <c r="O775" s="30"/>
      <c r="P775" s="27"/>
      <c r="Q775" s="30"/>
      <c r="R775" s="27"/>
      <c r="S775" s="30"/>
      <c r="W775" s="1"/>
      <c r="Y775" s="2"/>
      <c r="Z775" s="2"/>
      <c r="AA775" s="2"/>
      <c r="AB775" s="2"/>
      <c r="AC775" s="4"/>
    </row>
    <row r="776" spans="1:29" ht="13.5" customHeight="1">
      <c r="A776" s="2"/>
      <c r="C776" s="3"/>
      <c r="D776" s="3"/>
      <c r="E776" s="3"/>
      <c r="F776" s="3"/>
      <c r="G776" s="3"/>
      <c r="H776" s="22"/>
      <c r="I776" s="22"/>
      <c r="J776" s="22"/>
      <c r="K776" s="22"/>
      <c r="L776" s="27"/>
      <c r="M776" s="30"/>
      <c r="N776" s="27"/>
      <c r="O776" s="30"/>
      <c r="P776" s="27"/>
      <c r="Q776" s="30"/>
      <c r="R776" s="27"/>
      <c r="S776" s="30"/>
      <c r="W776" s="1"/>
      <c r="Y776" s="2"/>
      <c r="Z776" s="2"/>
      <c r="AA776" s="2"/>
      <c r="AB776" s="2"/>
      <c r="AC776" s="4"/>
    </row>
    <row r="777" spans="1:29" ht="13.5" customHeight="1">
      <c r="A777" s="2"/>
      <c r="C777" s="3"/>
      <c r="D777" s="3"/>
      <c r="E777" s="3"/>
      <c r="F777" s="3"/>
      <c r="G777" s="3"/>
      <c r="H777" s="22"/>
      <c r="I777" s="22"/>
      <c r="J777" s="22"/>
      <c r="K777" s="22"/>
      <c r="L777" s="27"/>
      <c r="M777" s="30"/>
      <c r="N777" s="27"/>
      <c r="O777" s="30"/>
      <c r="P777" s="27"/>
      <c r="Q777" s="30"/>
      <c r="R777" s="27"/>
      <c r="S777" s="30"/>
      <c r="W777" s="1"/>
      <c r="Y777" s="2"/>
      <c r="Z777" s="2"/>
      <c r="AA777" s="2"/>
      <c r="AB777" s="2"/>
      <c r="AC777" s="4"/>
    </row>
    <row r="778" spans="1:29" ht="13.5" customHeight="1">
      <c r="A778" s="2"/>
      <c r="C778" s="3"/>
      <c r="D778" s="3"/>
      <c r="E778" s="3"/>
      <c r="F778" s="3"/>
      <c r="G778" s="3"/>
      <c r="H778" s="22"/>
      <c r="I778" s="22"/>
      <c r="J778" s="22"/>
      <c r="K778" s="22"/>
      <c r="L778" s="27"/>
      <c r="M778" s="30"/>
      <c r="N778" s="27"/>
      <c r="O778" s="30"/>
      <c r="P778" s="27"/>
      <c r="Q778" s="30"/>
      <c r="R778" s="27"/>
      <c r="S778" s="30"/>
      <c r="W778" s="1"/>
      <c r="Y778" s="2"/>
      <c r="Z778" s="2"/>
      <c r="AA778" s="2"/>
      <c r="AB778" s="2"/>
      <c r="AC778" s="4"/>
    </row>
    <row r="779" spans="1:29" ht="13.5" customHeight="1">
      <c r="A779" s="2"/>
      <c r="C779" s="3"/>
      <c r="D779" s="3"/>
      <c r="E779" s="3"/>
      <c r="F779" s="3"/>
      <c r="G779" s="3"/>
      <c r="H779" s="22"/>
      <c r="I779" s="22"/>
      <c r="J779" s="22"/>
      <c r="K779" s="22"/>
      <c r="L779" s="27"/>
      <c r="M779" s="30"/>
      <c r="N779" s="27"/>
      <c r="O779" s="30"/>
      <c r="P779" s="27"/>
      <c r="Q779" s="30"/>
      <c r="R779" s="27"/>
      <c r="S779" s="30"/>
      <c r="W779" s="1"/>
      <c r="Y779" s="2"/>
      <c r="Z779" s="2"/>
      <c r="AA779" s="2"/>
      <c r="AB779" s="2"/>
      <c r="AC779" s="4"/>
    </row>
    <row r="780" spans="1:29" ht="13.5" customHeight="1">
      <c r="A780" s="2"/>
      <c r="C780" s="3"/>
      <c r="D780" s="3"/>
      <c r="E780" s="3"/>
      <c r="F780" s="3"/>
      <c r="G780" s="3"/>
      <c r="H780" s="22"/>
      <c r="I780" s="22"/>
      <c r="J780" s="22"/>
      <c r="K780" s="22"/>
      <c r="L780" s="27"/>
      <c r="M780" s="30"/>
      <c r="N780" s="27"/>
      <c r="O780" s="30"/>
      <c r="P780" s="27"/>
      <c r="Q780" s="30"/>
      <c r="R780" s="27"/>
      <c r="S780" s="30"/>
      <c r="W780" s="1"/>
      <c r="Y780" s="2"/>
      <c r="Z780" s="2"/>
      <c r="AA780" s="2"/>
      <c r="AB780" s="2"/>
      <c r="AC780" s="4"/>
    </row>
    <row r="781" spans="1:29" ht="13.5" customHeight="1">
      <c r="A781" s="2"/>
      <c r="C781" s="3"/>
      <c r="D781" s="3"/>
      <c r="E781" s="3"/>
      <c r="F781" s="3"/>
      <c r="G781" s="3"/>
      <c r="H781" s="22"/>
      <c r="I781" s="22"/>
      <c r="J781" s="22"/>
      <c r="K781" s="22"/>
      <c r="L781" s="27"/>
      <c r="M781" s="30"/>
      <c r="N781" s="27"/>
      <c r="O781" s="30"/>
      <c r="P781" s="27"/>
      <c r="Q781" s="30"/>
      <c r="R781" s="27"/>
      <c r="S781" s="30"/>
      <c r="W781" s="1"/>
      <c r="Y781" s="2"/>
      <c r="Z781" s="2"/>
      <c r="AA781" s="2"/>
      <c r="AB781" s="2"/>
      <c r="AC781" s="4"/>
    </row>
    <row r="782" spans="1:29" ht="13.5" customHeight="1">
      <c r="A782" s="2"/>
      <c r="C782" s="3"/>
      <c r="D782" s="3"/>
      <c r="E782" s="3"/>
      <c r="F782" s="3"/>
      <c r="G782" s="3"/>
      <c r="H782" s="22"/>
      <c r="I782" s="22"/>
      <c r="J782" s="22"/>
      <c r="K782" s="22"/>
      <c r="L782" s="27"/>
      <c r="M782" s="30"/>
      <c r="N782" s="27"/>
      <c r="O782" s="30"/>
      <c r="P782" s="27"/>
      <c r="Q782" s="30"/>
      <c r="R782" s="27"/>
      <c r="S782" s="30"/>
      <c r="W782" s="1"/>
      <c r="Y782" s="2"/>
      <c r="Z782" s="2"/>
      <c r="AA782" s="2"/>
      <c r="AB782" s="2"/>
      <c r="AC782" s="4"/>
    </row>
    <row r="783" spans="1:29" ht="13.5" customHeight="1">
      <c r="A783" s="2"/>
      <c r="C783" s="3"/>
      <c r="D783" s="3"/>
      <c r="E783" s="3"/>
      <c r="F783" s="3"/>
      <c r="G783" s="3"/>
      <c r="H783" s="22"/>
      <c r="I783" s="22"/>
      <c r="J783" s="22"/>
      <c r="K783" s="22"/>
      <c r="L783" s="27"/>
      <c r="M783" s="30"/>
      <c r="N783" s="27"/>
      <c r="O783" s="30"/>
      <c r="P783" s="27"/>
      <c r="Q783" s="30"/>
      <c r="R783" s="27"/>
      <c r="S783" s="30"/>
      <c r="W783" s="1"/>
      <c r="Y783" s="2"/>
      <c r="Z783" s="2"/>
      <c r="AA783" s="2"/>
      <c r="AB783" s="2"/>
      <c r="AC783" s="4"/>
    </row>
    <row r="784" spans="1:29" ht="13.5" customHeight="1">
      <c r="A784" s="2"/>
      <c r="C784" s="3"/>
      <c r="D784" s="3"/>
      <c r="E784" s="3"/>
      <c r="F784" s="3"/>
      <c r="G784" s="3"/>
      <c r="H784" s="22"/>
      <c r="I784" s="22"/>
      <c r="J784" s="22"/>
      <c r="K784" s="22"/>
      <c r="L784" s="27"/>
      <c r="M784" s="30"/>
      <c r="N784" s="27"/>
      <c r="O784" s="30"/>
      <c r="P784" s="27"/>
      <c r="Q784" s="30"/>
      <c r="R784" s="27"/>
      <c r="S784" s="30"/>
      <c r="W784" s="1"/>
      <c r="Y784" s="2"/>
      <c r="Z784" s="2"/>
      <c r="AA784" s="2"/>
      <c r="AB784" s="2"/>
      <c r="AC784" s="4"/>
    </row>
    <row r="785" spans="1:29" ht="13.5" customHeight="1">
      <c r="A785" s="2"/>
      <c r="C785" s="3"/>
      <c r="D785" s="3"/>
      <c r="E785" s="3"/>
      <c r="F785" s="3"/>
      <c r="G785" s="3"/>
      <c r="H785" s="22"/>
      <c r="I785" s="22"/>
      <c r="J785" s="22"/>
      <c r="K785" s="22"/>
      <c r="L785" s="27"/>
      <c r="M785" s="30"/>
      <c r="N785" s="27"/>
      <c r="O785" s="30"/>
      <c r="P785" s="27"/>
      <c r="Q785" s="30"/>
      <c r="R785" s="27"/>
      <c r="S785" s="30"/>
      <c r="W785" s="1"/>
      <c r="Y785" s="2"/>
      <c r="Z785" s="2"/>
      <c r="AA785" s="2"/>
      <c r="AB785" s="2"/>
      <c r="AC785" s="4"/>
    </row>
    <row r="786" spans="1:29" ht="13.5" customHeight="1">
      <c r="A786" s="2"/>
      <c r="C786" s="3"/>
      <c r="D786" s="3"/>
      <c r="E786" s="3"/>
      <c r="F786" s="3"/>
      <c r="G786" s="3"/>
      <c r="H786" s="22"/>
      <c r="I786" s="22"/>
      <c r="J786" s="22"/>
      <c r="K786" s="22"/>
      <c r="L786" s="27"/>
      <c r="M786" s="30"/>
      <c r="N786" s="27"/>
      <c r="O786" s="30"/>
      <c r="P786" s="27"/>
      <c r="Q786" s="30"/>
      <c r="R786" s="27"/>
      <c r="S786" s="30"/>
      <c r="W786" s="1"/>
      <c r="Y786" s="2"/>
      <c r="Z786" s="2"/>
      <c r="AA786" s="2"/>
      <c r="AB786" s="2"/>
      <c r="AC786" s="4"/>
    </row>
    <row r="787" spans="1:29" ht="13.5" customHeight="1">
      <c r="A787" s="2"/>
      <c r="C787" s="3"/>
      <c r="D787" s="3"/>
      <c r="E787" s="3"/>
      <c r="F787" s="3"/>
      <c r="G787" s="3"/>
      <c r="H787" s="22"/>
      <c r="I787" s="22"/>
      <c r="J787" s="22"/>
      <c r="K787" s="22"/>
      <c r="L787" s="27"/>
      <c r="M787" s="30"/>
      <c r="N787" s="27"/>
      <c r="O787" s="30"/>
      <c r="P787" s="27"/>
      <c r="Q787" s="30"/>
      <c r="R787" s="27"/>
      <c r="S787" s="30"/>
      <c r="W787" s="1"/>
      <c r="Y787" s="2"/>
      <c r="Z787" s="2"/>
      <c r="AA787" s="2"/>
      <c r="AB787" s="2"/>
      <c r="AC787" s="4"/>
    </row>
    <row r="788" spans="1:29" ht="13.5" customHeight="1">
      <c r="A788" s="2"/>
      <c r="C788" s="3"/>
      <c r="D788" s="3"/>
      <c r="E788" s="3"/>
      <c r="F788" s="3"/>
      <c r="G788" s="3"/>
      <c r="H788" s="22"/>
      <c r="I788" s="22"/>
      <c r="J788" s="22"/>
      <c r="K788" s="22"/>
      <c r="L788" s="27"/>
      <c r="M788" s="30"/>
      <c r="N788" s="27"/>
      <c r="O788" s="30"/>
      <c r="P788" s="27"/>
      <c r="Q788" s="30"/>
      <c r="R788" s="27"/>
      <c r="S788" s="30"/>
      <c r="W788" s="1"/>
      <c r="Y788" s="2"/>
      <c r="Z788" s="2"/>
      <c r="AA788" s="2"/>
      <c r="AB788" s="2"/>
      <c r="AC788" s="4"/>
    </row>
    <row r="789" spans="1:29" ht="13.5" customHeight="1">
      <c r="A789" s="2"/>
      <c r="C789" s="3"/>
      <c r="D789" s="3"/>
      <c r="E789" s="3"/>
      <c r="F789" s="3"/>
      <c r="G789" s="3"/>
      <c r="H789" s="22"/>
      <c r="I789" s="22"/>
      <c r="J789" s="22"/>
      <c r="K789" s="22"/>
      <c r="L789" s="27"/>
      <c r="M789" s="30"/>
      <c r="N789" s="27"/>
      <c r="O789" s="30"/>
      <c r="P789" s="27"/>
      <c r="Q789" s="30"/>
      <c r="R789" s="27"/>
      <c r="S789" s="30"/>
      <c r="W789" s="1"/>
      <c r="Y789" s="2"/>
      <c r="Z789" s="2"/>
      <c r="AA789" s="2"/>
      <c r="AB789" s="2"/>
      <c r="AC789" s="4"/>
    </row>
    <row r="790" spans="1:29" ht="13.5" customHeight="1">
      <c r="A790" s="2"/>
      <c r="C790" s="3"/>
      <c r="D790" s="3"/>
      <c r="E790" s="3"/>
      <c r="F790" s="3"/>
      <c r="G790" s="3"/>
      <c r="H790" s="22"/>
      <c r="I790" s="22"/>
      <c r="J790" s="22"/>
      <c r="K790" s="22"/>
      <c r="L790" s="27"/>
      <c r="M790" s="30"/>
      <c r="N790" s="27"/>
      <c r="O790" s="30"/>
      <c r="P790" s="27"/>
      <c r="Q790" s="30"/>
      <c r="R790" s="27"/>
      <c r="S790" s="30"/>
      <c r="W790" s="1"/>
      <c r="Y790" s="2"/>
      <c r="Z790" s="2"/>
      <c r="AA790" s="2"/>
      <c r="AB790" s="2"/>
      <c r="AC790" s="4"/>
    </row>
    <row r="791" spans="1:29" ht="13.5" customHeight="1">
      <c r="A791" s="2"/>
      <c r="C791" s="3"/>
      <c r="D791" s="3"/>
      <c r="E791" s="3"/>
      <c r="F791" s="3"/>
      <c r="G791" s="3"/>
      <c r="H791" s="22"/>
      <c r="I791" s="22"/>
      <c r="J791" s="22"/>
      <c r="K791" s="22"/>
      <c r="L791" s="27"/>
      <c r="M791" s="30"/>
      <c r="N791" s="27"/>
      <c r="O791" s="30"/>
      <c r="P791" s="27"/>
      <c r="Q791" s="30"/>
      <c r="R791" s="27"/>
      <c r="S791" s="30"/>
      <c r="W791" s="1"/>
      <c r="Y791" s="2"/>
      <c r="Z791" s="2"/>
      <c r="AA791" s="2"/>
      <c r="AB791" s="2"/>
      <c r="AC791" s="4"/>
    </row>
    <row r="792" spans="1:29" ht="13.5" customHeight="1">
      <c r="A792" s="2"/>
      <c r="C792" s="3"/>
      <c r="D792" s="3"/>
      <c r="E792" s="3"/>
      <c r="F792" s="3"/>
      <c r="G792" s="3"/>
      <c r="H792" s="22"/>
      <c r="I792" s="22"/>
      <c r="J792" s="22"/>
      <c r="K792" s="22"/>
      <c r="L792" s="27"/>
      <c r="M792" s="30"/>
      <c r="N792" s="27"/>
      <c r="O792" s="30"/>
      <c r="P792" s="27"/>
      <c r="Q792" s="30"/>
      <c r="R792" s="27"/>
      <c r="S792" s="30"/>
      <c r="W792" s="1"/>
      <c r="Y792" s="2"/>
      <c r="Z792" s="2"/>
      <c r="AA792" s="2"/>
      <c r="AB792" s="2"/>
      <c r="AC792" s="4"/>
    </row>
    <row r="793" spans="1:29" ht="13.5" customHeight="1">
      <c r="A793" s="2"/>
      <c r="C793" s="3"/>
      <c r="D793" s="3"/>
      <c r="E793" s="3"/>
      <c r="F793" s="3"/>
      <c r="G793" s="3"/>
      <c r="H793" s="22"/>
      <c r="I793" s="22"/>
      <c r="J793" s="22"/>
      <c r="K793" s="22"/>
      <c r="L793" s="27"/>
      <c r="M793" s="30"/>
      <c r="N793" s="27"/>
      <c r="O793" s="30"/>
      <c r="P793" s="27"/>
      <c r="Q793" s="30"/>
      <c r="R793" s="27"/>
      <c r="S793" s="30"/>
      <c r="W793" s="1"/>
      <c r="Y793" s="2"/>
      <c r="Z793" s="2"/>
      <c r="AA793" s="2"/>
      <c r="AB793" s="2"/>
      <c r="AC793" s="4"/>
    </row>
    <row r="794" spans="1:29" ht="13.5" customHeight="1">
      <c r="A794" s="2"/>
      <c r="C794" s="3"/>
      <c r="D794" s="3"/>
      <c r="E794" s="3"/>
      <c r="F794" s="3"/>
      <c r="G794" s="3"/>
      <c r="H794" s="22"/>
      <c r="I794" s="22"/>
      <c r="J794" s="22"/>
      <c r="K794" s="22"/>
      <c r="L794" s="27"/>
      <c r="M794" s="30"/>
      <c r="N794" s="27"/>
      <c r="O794" s="30"/>
      <c r="P794" s="27"/>
      <c r="Q794" s="30"/>
      <c r="R794" s="27"/>
      <c r="S794" s="30"/>
      <c r="W794" s="1"/>
      <c r="Y794" s="2"/>
      <c r="Z794" s="2"/>
      <c r="AA794" s="2"/>
      <c r="AB794" s="2"/>
      <c r="AC794" s="4"/>
    </row>
    <row r="795" spans="1:29" ht="13.5" customHeight="1">
      <c r="A795" s="2"/>
      <c r="C795" s="3"/>
      <c r="D795" s="3"/>
      <c r="E795" s="3"/>
      <c r="F795" s="3"/>
      <c r="G795" s="3"/>
      <c r="H795" s="22"/>
      <c r="I795" s="22"/>
      <c r="J795" s="22"/>
      <c r="K795" s="22"/>
      <c r="L795" s="27"/>
      <c r="M795" s="30"/>
      <c r="N795" s="27"/>
      <c r="O795" s="30"/>
      <c r="P795" s="27"/>
      <c r="Q795" s="30"/>
      <c r="R795" s="27"/>
      <c r="S795" s="30"/>
      <c r="W795" s="1"/>
      <c r="Y795" s="2"/>
      <c r="Z795" s="2"/>
      <c r="AA795" s="2"/>
      <c r="AB795" s="2"/>
      <c r="AC795" s="4"/>
    </row>
    <row r="796" spans="1:29" ht="13.5" customHeight="1">
      <c r="A796" s="2"/>
      <c r="C796" s="3"/>
      <c r="D796" s="3"/>
      <c r="E796" s="3"/>
      <c r="F796" s="3"/>
      <c r="G796" s="3"/>
      <c r="H796" s="22"/>
      <c r="I796" s="22"/>
      <c r="J796" s="22"/>
      <c r="K796" s="22"/>
      <c r="L796" s="27"/>
      <c r="M796" s="30"/>
      <c r="N796" s="27"/>
      <c r="O796" s="30"/>
      <c r="P796" s="27"/>
      <c r="Q796" s="30"/>
      <c r="R796" s="27"/>
      <c r="S796" s="30"/>
      <c r="W796" s="1"/>
      <c r="Y796" s="2"/>
      <c r="Z796" s="2"/>
      <c r="AA796" s="2"/>
      <c r="AB796" s="2"/>
      <c r="AC796" s="4"/>
    </row>
    <row r="797" spans="1:29" ht="13.5" customHeight="1">
      <c r="A797" s="2"/>
      <c r="C797" s="3"/>
      <c r="D797" s="3"/>
      <c r="E797" s="3"/>
      <c r="F797" s="3"/>
      <c r="G797" s="3"/>
      <c r="H797" s="22"/>
      <c r="I797" s="22"/>
      <c r="J797" s="22"/>
      <c r="K797" s="22"/>
      <c r="L797" s="27"/>
      <c r="M797" s="30"/>
      <c r="N797" s="27"/>
      <c r="O797" s="30"/>
      <c r="P797" s="27"/>
      <c r="Q797" s="30"/>
      <c r="R797" s="27"/>
      <c r="S797" s="30"/>
      <c r="W797" s="1"/>
      <c r="Y797" s="2"/>
      <c r="Z797" s="2"/>
      <c r="AA797" s="2"/>
      <c r="AB797" s="2"/>
      <c r="AC797" s="4"/>
    </row>
    <row r="798" spans="1:29" ht="13.5" customHeight="1">
      <c r="A798" s="2"/>
      <c r="C798" s="3"/>
      <c r="D798" s="3"/>
      <c r="E798" s="3"/>
      <c r="F798" s="3"/>
      <c r="G798" s="3"/>
      <c r="H798" s="22"/>
      <c r="I798" s="22"/>
      <c r="J798" s="22"/>
      <c r="K798" s="22"/>
      <c r="L798" s="27"/>
      <c r="M798" s="30"/>
      <c r="N798" s="27"/>
      <c r="O798" s="30"/>
      <c r="P798" s="27"/>
      <c r="Q798" s="30"/>
      <c r="R798" s="27"/>
      <c r="S798" s="30"/>
      <c r="W798" s="1"/>
      <c r="Y798" s="2"/>
      <c r="Z798" s="2"/>
      <c r="AA798" s="2"/>
      <c r="AB798" s="2"/>
      <c r="AC798" s="4"/>
    </row>
    <row r="799" spans="1:29" ht="13.5" customHeight="1">
      <c r="A799" s="2"/>
      <c r="C799" s="3"/>
      <c r="D799" s="3"/>
      <c r="E799" s="3"/>
      <c r="F799" s="3"/>
      <c r="G799" s="3"/>
      <c r="H799" s="22"/>
      <c r="I799" s="22"/>
      <c r="J799" s="22"/>
      <c r="K799" s="22"/>
      <c r="L799" s="27"/>
      <c r="M799" s="30"/>
      <c r="N799" s="27"/>
      <c r="O799" s="30"/>
      <c r="P799" s="27"/>
      <c r="Q799" s="30"/>
      <c r="R799" s="27"/>
      <c r="S799" s="30"/>
      <c r="W799" s="1"/>
      <c r="Y799" s="2"/>
      <c r="Z799" s="2"/>
      <c r="AA799" s="2"/>
      <c r="AB799" s="2"/>
      <c r="AC799" s="4"/>
    </row>
    <row r="800" spans="1:29" ht="13.5" customHeight="1">
      <c r="A800" s="2"/>
      <c r="C800" s="3"/>
      <c r="D800" s="3"/>
      <c r="E800" s="3"/>
      <c r="F800" s="3"/>
      <c r="G800" s="3"/>
      <c r="H800" s="22"/>
      <c r="I800" s="22"/>
      <c r="J800" s="22"/>
      <c r="K800" s="22"/>
      <c r="L800" s="27"/>
      <c r="M800" s="30"/>
      <c r="N800" s="27"/>
      <c r="O800" s="30"/>
      <c r="P800" s="27"/>
      <c r="Q800" s="30"/>
      <c r="R800" s="27"/>
      <c r="S800" s="30"/>
      <c r="W800" s="1"/>
      <c r="Y800" s="2"/>
      <c r="Z800" s="2"/>
      <c r="AA800" s="2"/>
      <c r="AB800" s="2"/>
      <c r="AC800" s="4"/>
    </row>
    <row r="801" spans="1:29" ht="13.5" customHeight="1">
      <c r="A801" s="2"/>
      <c r="C801" s="3"/>
      <c r="D801" s="3"/>
      <c r="E801" s="3"/>
      <c r="F801" s="3"/>
      <c r="G801" s="3"/>
      <c r="H801" s="22"/>
      <c r="I801" s="22"/>
      <c r="J801" s="22"/>
      <c r="K801" s="22"/>
      <c r="L801" s="27"/>
      <c r="M801" s="30"/>
      <c r="N801" s="27"/>
      <c r="O801" s="30"/>
      <c r="P801" s="27"/>
      <c r="Q801" s="30"/>
      <c r="R801" s="27"/>
      <c r="S801" s="30"/>
      <c r="W801" s="1"/>
      <c r="Y801" s="2"/>
      <c r="Z801" s="2"/>
      <c r="AA801" s="2"/>
      <c r="AB801" s="2"/>
      <c r="AC801" s="4"/>
    </row>
    <row r="802" spans="1:29" ht="13.5" customHeight="1">
      <c r="A802" s="2"/>
      <c r="C802" s="3"/>
      <c r="D802" s="3"/>
      <c r="E802" s="3"/>
      <c r="F802" s="3"/>
      <c r="G802" s="3"/>
      <c r="H802" s="22"/>
      <c r="I802" s="22"/>
      <c r="J802" s="22"/>
      <c r="K802" s="22"/>
      <c r="L802" s="27"/>
      <c r="M802" s="30"/>
      <c r="N802" s="27"/>
      <c r="O802" s="30"/>
      <c r="P802" s="27"/>
      <c r="Q802" s="30"/>
      <c r="R802" s="27"/>
      <c r="S802" s="30"/>
      <c r="W802" s="1"/>
      <c r="Y802" s="2"/>
      <c r="Z802" s="2"/>
      <c r="AA802" s="2"/>
      <c r="AB802" s="2"/>
      <c r="AC802" s="4"/>
    </row>
    <row r="803" spans="1:29" ht="13.5" customHeight="1">
      <c r="A803" s="2"/>
      <c r="C803" s="3"/>
      <c r="D803" s="3"/>
      <c r="E803" s="3"/>
      <c r="F803" s="3"/>
      <c r="G803" s="3"/>
      <c r="H803" s="22"/>
      <c r="I803" s="22"/>
      <c r="J803" s="22"/>
      <c r="K803" s="22"/>
      <c r="L803" s="27"/>
      <c r="M803" s="30"/>
      <c r="N803" s="27"/>
      <c r="O803" s="30"/>
      <c r="P803" s="27"/>
      <c r="Q803" s="30"/>
      <c r="R803" s="27"/>
      <c r="S803" s="30"/>
      <c r="W803" s="1"/>
      <c r="Y803" s="2"/>
      <c r="Z803" s="2"/>
      <c r="AA803" s="2"/>
      <c r="AB803" s="2"/>
      <c r="AC803" s="4"/>
    </row>
    <row r="804" spans="1:29" ht="13.5" customHeight="1">
      <c r="A804" s="2"/>
      <c r="C804" s="3"/>
      <c r="D804" s="3"/>
      <c r="E804" s="3"/>
      <c r="F804" s="3"/>
      <c r="G804" s="3"/>
      <c r="H804" s="22"/>
      <c r="I804" s="22"/>
      <c r="J804" s="22"/>
      <c r="K804" s="22"/>
      <c r="L804" s="27"/>
      <c r="M804" s="30"/>
      <c r="N804" s="27"/>
      <c r="O804" s="30"/>
      <c r="P804" s="27"/>
      <c r="Q804" s="30"/>
      <c r="R804" s="27"/>
      <c r="S804" s="30"/>
      <c r="W804" s="1"/>
      <c r="Y804" s="2"/>
      <c r="Z804" s="2"/>
      <c r="AA804" s="2"/>
      <c r="AB804" s="2"/>
      <c r="AC804" s="4"/>
    </row>
    <row r="805" spans="1:29" ht="13.5" customHeight="1">
      <c r="A805" s="2"/>
      <c r="C805" s="3"/>
      <c r="D805" s="3"/>
      <c r="E805" s="3"/>
      <c r="F805" s="3"/>
      <c r="G805" s="3"/>
      <c r="H805" s="22"/>
      <c r="I805" s="22"/>
      <c r="J805" s="22"/>
      <c r="K805" s="22"/>
      <c r="L805" s="27"/>
      <c r="M805" s="30"/>
      <c r="N805" s="27"/>
      <c r="O805" s="30"/>
      <c r="P805" s="27"/>
      <c r="Q805" s="30"/>
      <c r="R805" s="27"/>
      <c r="S805" s="30"/>
      <c r="W805" s="1"/>
      <c r="Y805" s="2"/>
      <c r="Z805" s="2"/>
      <c r="AA805" s="2"/>
      <c r="AB805" s="2"/>
      <c r="AC805" s="4"/>
    </row>
    <row r="806" spans="1:29" ht="13.5" customHeight="1">
      <c r="A806" s="2"/>
      <c r="C806" s="3"/>
      <c r="D806" s="3"/>
      <c r="E806" s="3"/>
      <c r="F806" s="3"/>
      <c r="G806" s="3"/>
      <c r="H806" s="22"/>
      <c r="I806" s="22"/>
      <c r="J806" s="22"/>
      <c r="K806" s="22"/>
      <c r="L806" s="27"/>
      <c r="M806" s="30"/>
      <c r="N806" s="27"/>
      <c r="O806" s="30"/>
      <c r="P806" s="27"/>
      <c r="Q806" s="30"/>
      <c r="R806" s="27"/>
      <c r="S806" s="30"/>
      <c r="W806" s="1"/>
      <c r="Y806" s="2"/>
      <c r="Z806" s="2"/>
      <c r="AA806" s="2"/>
      <c r="AB806" s="2"/>
      <c r="AC806" s="4"/>
    </row>
    <row r="807" spans="1:29" ht="13.5" customHeight="1">
      <c r="A807" s="2"/>
      <c r="C807" s="3"/>
      <c r="D807" s="3"/>
      <c r="E807" s="3"/>
      <c r="F807" s="3"/>
      <c r="G807" s="3"/>
      <c r="H807" s="22"/>
      <c r="I807" s="22"/>
      <c r="J807" s="22"/>
      <c r="K807" s="22"/>
      <c r="L807" s="27"/>
      <c r="M807" s="30"/>
      <c r="N807" s="27"/>
      <c r="O807" s="30"/>
      <c r="P807" s="27"/>
      <c r="Q807" s="30"/>
      <c r="R807" s="27"/>
      <c r="S807" s="30"/>
      <c r="W807" s="1"/>
      <c r="Y807" s="2"/>
      <c r="Z807" s="2"/>
      <c r="AA807" s="2"/>
      <c r="AB807" s="2"/>
      <c r="AC807" s="4"/>
    </row>
    <row r="808" spans="1:29" ht="13.5" customHeight="1">
      <c r="A808" s="2"/>
      <c r="C808" s="3"/>
      <c r="D808" s="3"/>
      <c r="E808" s="3"/>
      <c r="F808" s="3"/>
      <c r="G808" s="3"/>
      <c r="H808" s="22"/>
      <c r="I808" s="22"/>
      <c r="J808" s="22"/>
      <c r="K808" s="22"/>
      <c r="L808" s="27"/>
      <c r="M808" s="30"/>
      <c r="N808" s="27"/>
      <c r="O808" s="30"/>
      <c r="P808" s="27"/>
      <c r="Q808" s="30"/>
      <c r="R808" s="27"/>
      <c r="S808" s="30"/>
      <c r="W808" s="1"/>
      <c r="Y808" s="2"/>
      <c r="Z808" s="2"/>
      <c r="AA808" s="2"/>
      <c r="AB808" s="2"/>
      <c r="AC808" s="4"/>
    </row>
    <row r="809" spans="1:29" ht="13.5" customHeight="1">
      <c r="A809" s="2"/>
      <c r="C809" s="3"/>
      <c r="D809" s="3"/>
      <c r="E809" s="3"/>
      <c r="F809" s="3"/>
      <c r="G809" s="3"/>
      <c r="H809" s="22"/>
      <c r="I809" s="22"/>
      <c r="J809" s="22"/>
      <c r="K809" s="22"/>
      <c r="L809" s="27"/>
      <c r="M809" s="30"/>
      <c r="N809" s="27"/>
      <c r="O809" s="30"/>
      <c r="P809" s="27"/>
      <c r="Q809" s="30"/>
      <c r="R809" s="27"/>
      <c r="S809" s="30"/>
      <c r="W809" s="1"/>
      <c r="Y809" s="2"/>
      <c r="Z809" s="2"/>
      <c r="AA809" s="2"/>
      <c r="AB809" s="2"/>
      <c r="AC809" s="4"/>
    </row>
    <row r="810" spans="1:29" ht="13.5" customHeight="1">
      <c r="A810" s="2"/>
      <c r="C810" s="3"/>
      <c r="D810" s="3"/>
      <c r="E810" s="3"/>
      <c r="F810" s="3"/>
      <c r="G810" s="3"/>
      <c r="H810" s="22"/>
      <c r="I810" s="22"/>
      <c r="J810" s="22"/>
      <c r="K810" s="22"/>
      <c r="L810" s="27"/>
      <c r="M810" s="30"/>
      <c r="N810" s="27"/>
      <c r="O810" s="30"/>
      <c r="P810" s="27"/>
      <c r="Q810" s="30"/>
      <c r="R810" s="27"/>
      <c r="S810" s="30"/>
      <c r="W810" s="1"/>
      <c r="Y810" s="2"/>
      <c r="Z810" s="2"/>
      <c r="AA810" s="2"/>
      <c r="AB810" s="2"/>
      <c r="AC810" s="4"/>
    </row>
    <row r="811" spans="1:29" ht="13.5" customHeight="1">
      <c r="A811" s="2"/>
      <c r="C811" s="3"/>
      <c r="D811" s="3"/>
      <c r="E811" s="3"/>
      <c r="F811" s="3"/>
      <c r="G811" s="3"/>
      <c r="H811" s="22"/>
      <c r="I811" s="22"/>
      <c r="J811" s="22"/>
      <c r="K811" s="22"/>
      <c r="L811" s="27"/>
      <c r="M811" s="30"/>
      <c r="N811" s="27"/>
      <c r="O811" s="30"/>
      <c r="P811" s="27"/>
      <c r="Q811" s="30"/>
      <c r="R811" s="27"/>
      <c r="S811" s="30"/>
      <c r="W811" s="1"/>
      <c r="Y811" s="2"/>
      <c r="Z811" s="2"/>
      <c r="AA811" s="2"/>
      <c r="AB811" s="2"/>
      <c r="AC811" s="4"/>
    </row>
    <row r="812" spans="1:29" ht="13.5" customHeight="1">
      <c r="A812" s="2"/>
      <c r="C812" s="3"/>
      <c r="D812" s="3"/>
      <c r="E812" s="3"/>
      <c r="F812" s="3"/>
      <c r="G812" s="3"/>
      <c r="H812" s="22"/>
      <c r="I812" s="22"/>
      <c r="J812" s="22"/>
      <c r="K812" s="22"/>
      <c r="L812" s="27"/>
      <c r="M812" s="30"/>
      <c r="N812" s="27"/>
      <c r="O812" s="30"/>
      <c r="P812" s="27"/>
      <c r="Q812" s="30"/>
      <c r="R812" s="27"/>
      <c r="S812" s="30"/>
      <c r="W812" s="1"/>
      <c r="Y812" s="2"/>
      <c r="Z812" s="2"/>
      <c r="AA812" s="2"/>
      <c r="AB812" s="2"/>
      <c r="AC812" s="4"/>
    </row>
    <row r="813" spans="1:29" ht="13.5" customHeight="1">
      <c r="A813" s="2"/>
      <c r="C813" s="3"/>
      <c r="D813" s="3"/>
      <c r="E813" s="3"/>
      <c r="F813" s="3"/>
      <c r="G813" s="3"/>
      <c r="H813" s="22"/>
      <c r="I813" s="22"/>
      <c r="J813" s="22"/>
      <c r="K813" s="22"/>
      <c r="L813" s="27"/>
      <c r="M813" s="30"/>
      <c r="N813" s="27"/>
      <c r="O813" s="30"/>
      <c r="P813" s="27"/>
      <c r="Q813" s="30"/>
      <c r="R813" s="27"/>
      <c r="S813" s="30"/>
      <c r="W813" s="1"/>
      <c r="Y813" s="2"/>
      <c r="Z813" s="2"/>
      <c r="AA813" s="2"/>
      <c r="AB813" s="2"/>
      <c r="AC813" s="4"/>
    </row>
    <row r="814" spans="1:29" ht="13.5" customHeight="1">
      <c r="A814" s="2"/>
      <c r="C814" s="3"/>
      <c r="D814" s="3"/>
      <c r="E814" s="3"/>
      <c r="F814" s="3"/>
      <c r="G814" s="3"/>
      <c r="H814" s="22"/>
      <c r="I814" s="22"/>
      <c r="J814" s="22"/>
      <c r="K814" s="22"/>
      <c r="L814" s="27"/>
      <c r="M814" s="30"/>
      <c r="N814" s="27"/>
      <c r="O814" s="30"/>
      <c r="P814" s="27"/>
      <c r="Q814" s="30"/>
      <c r="R814" s="27"/>
      <c r="S814" s="30"/>
      <c r="W814" s="1"/>
      <c r="Y814" s="2"/>
      <c r="Z814" s="2"/>
      <c r="AA814" s="2"/>
      <c r="AB814" s="2"/>
      <c r="AC814" s="4"/>
    </row>
    <row r="815" spans="1:29" ht="13.5" customHeight="1">
      <c r="A815" s="2"/>
      <c r="C815" s="3"/>
      <c r="D815" s="3"/>
      <c r="E815" s="3"/>
      <c r="F815" s="3"/>
      <c r="G815" s="3"/>
      <c r="H815" s="22"/>
      <c r="I815" s="22"/>
      <c r="J815" s="22"/>
      <c r="K815" s="22"/>
      <c r="L815" s="27"/>
      <c r="M815" s="30"/>
      <c r="N815" s="27"/>
      <c r="O815" s="30"/>
      <c r="P815" s="27"/>
      <c r="Q815" s="30"/>
      <c r="R815" s="27"/>
      <c r="S815" s="30"/>
      <c r="W815" s="1"/>
      <c r="Y815" s="2"/>
      <c r="Z815" s="2"/>
      <c r="AA815" s="2"/>
      <c r="AB815" s="2"/>
      <c r="AC815" s="4"/>
    </row>
    <row r="816" spans="1:29" ht="13.5" customHeight="1">
      <c r="A816" s="2"/>
      <c r="C816" s="3"/>
      <c r="D816" s="3"/>
      <c r="E816" s="3"/>
      <c r="F816" s="3"/>
      <c r="G816" s="3"/>
      <c r="H816" s="22"/>
      <c r="I816" s="22"/>
      <c r="J816" s="22"/>
      <c r="K816" s="22"/>
      <c r="L816" s="27"/>
      <c r="M816" s="30"/>
      <c r="N816" s="27"/>
      <c r="O816" s="30"/>
      <c r="P816" s="27"/>
      <c r="Q816" s="30"/>
      <c r="R816" s="27"/>
      <c r="S816" s="30"/>
      <c r="W816" s="1"/>
      <c r="Y816" s="2"/>
      <c r="Z816" s="2"/>
      <c r="AA816" s="2"/>
      <c r="AB816" s="2"/>
      <c r="AC816" s="4"/>
    </row>
    <row r="817" spans="1:29" ht="13.5" customHeight="1">
      <c r="A817" s="2"/>
      <c r="C817" s="3"/>
      <c r="D817" s="3"/>
      <c r="E817" s="3"/>
      <c r="F817" s="3"/>
      <c r="G817" s="3"/>
      <c r="H817" s="22"/>
      <c r="I817" s="22"/>
      <c r="J817" s="22"/>
      <c r="K817" s="22"/>
      <c r="L817" s="27"/>
      <c r="M817" s="30"/>
      <c r="N817" s="27"/>
      <c r="O817" s="30"/>
      <c r="P817" s="27"/>
      <c r="Q817" s="30"/>
      <c r="R817" s="27"/>
      <c r="S817" s="30"/>
      <c r="W817" s="1"/>
      <c r="Y817" s="2"/>
      <c r="Z817" s="2"/>
      <c r="AA817" s="2"/>
      <c r="AB817" s="2"/>
      <c r="AC817" s="4"/>
    </row>
    <row r="818" spans="1:29" ht="13.5" customHeight="1">
      <c r="A818" s="2"/>
      <c r="C818" s="3"/>
      <c r="D818" s="3"/>
      <c r="E818" s="3"/>
      <c r="F818" s="3"/>
      <c r="G818" s="3"/>
      <c r="H818" s="22"/>
      <c r="I818" s="22"/>
      <c r="J818" s="22"/>
      <c r="K818" s="22"/>
      <c r="L818" s="27"/>
      <c r="M818" s="30"/>
      <c r="N818" s="27"/>
      <c r="O818" s="30"/>
      <c r="P818" s="27"/>
      <c r="Q818" s="30"/>
      <c r="R818" s="27"/>
      <c r="S818" s="30"/>
      <c r="W818" s="1"/>
      <c r="Y818" s="2"/>
      <c r="Z818" s="2"/>
      <c r="AA818" s="2"/>
      <c r="AB818" s="2"/>
      <c r="AC818" s="4"/>
    </row>
    <row r="819" spans="1:29" ht="13.5" customHeight="1">
      <c r="A819" s="2"/>
      <c r="C819" s="3"/>
      <c r="D819" s="3"/>
      <c r="E819" s="3"/>
      <c r="F819" s="3"/>
      <c r="G819" s="3"/>
      <c r="H819" s="22"/>
      <c r="I819" s="22"/>
      <c r="J819" s="22"/>
      <c r="K819" s="22"/>
      <c r="L819" s="27"/>
      <c r="M819" s="30"/>
      <c r="N819" s="27"/>
      <c r="O819" s="30"/>
      <c r="P819" s="27"/>
      <c r="Q819" s="30"/>
      <c r="R819" s="27"/>
      <c r="S819" s="30"/>
      <c r="W819" s="1"/>
      <c r="Y819" s="2"/>
      <c r="Z819" s="2"/>
      <c r="AA819" s="2"/>
      <c r="AB819" s="2"/>
      <c r="AC819" s="4"/>
    </row>
    <row r="820" spans="1:29" ht="13.5" customHeight="1">
      <c r="A820" s="2"/>
      <c r="C820" s="3"/>
      <c r="D820" s="3"/>
      <c r="E820" s="3"/>
      <c r="F820" s="3"/>
      <c r="G820" s="3"/>
      <c r="H820" s="22"/>
      <c r="I820" s="22"/>
      <c r="J820" s="22"/>
      <c r="K820" s="22"/>
      <c r="L820" s="27"/>
      <c r="M820" s="30"/>
      <c r="N820" s="27"/>
      <c r="O820" s="30"/>
      <c r="P820" s="27"/>
      <c r="Q820" s="30"/>
      <c r="R820" s="27"/>
      <c r="S820" s="30"/>
      <c r="W820" s="1"/>
      <c r="Y820" s="2"/>
      <c r="Z820" s="2"/>
      <c r="AA820" s="2"/>
      <c r="AB820" s="2"/>
      <c r="AC820" s="4"/>
    </row>
    <row r="821" spans="1:29" ht="13.5" customHeight="1">
      <c r="A821" s="2"/>
      <c r="C821" s="3"/>
      <c r="D821" s="3"/>
      <c r="E821" s="3"/>
      <c r="F821" s="3"/>
      <c r="G821" s="3"/>
      <c r="H821" s="22"/>
      <c r="I821" s="22"/>
      <c r="J821" s="22"/>
      <c r="K821" s="22"/>
      <c r="L821" s="27"/>
      <c r="M821" s="30"/>
      <c r="N821" s="27"/>
      <c r="O821" s="30"/>
      <c r="P821" s="27"/>
      <c r="Q821" s="30"/>
      <c r="R821" s="27"/>
      <c r="S821" s="30"/>
      <c r="W821" s="1"/>
      <c r="Y821" s="2"/>
      <c r="Z821" s="2"/>
      <c r="AA821" s="2"/>
      <c r="AB821" s="2"/>
      <c r="AC821" s="4"/>
    </row>
    <row r="822" spans="1:29" ht="13.5" customHeight="1">
      <c r="A822" s="2"/>
      <c r="C822" s="3"/>
      <c r="D822" s="3"/>
      <c r="E822" s="3"/>
      <c r="F822" s="3"/>
      <c r="G822" s="3"/>
      <c r="H822" s="22"/>
      <c r="I822" s="22"/>
      <c r="J822" s="22"/>
      <c r="K822" s="22"/>
      <c r="L822" s="27"/>
      <c r="M822" s="30"/>
      <c r="N822" s="27"/>
      <c r="O822" s="30"/>
      <c r="P822" s="27"/>
      <c r="Q822" s="30"/>
      <c r="R822" s="27"/>
      <c r="S822" s="30"/>
      <c r="W822" s="1"/>
      <c r="Y822" s="2"/>
      <c r="Z822" s="2"/>
      <c r="AA822" s="2"/>
      <c r="AB822" s="2"/>
      <c r="AC822" s="4"/>
    </row>
    <row r="823" spans="1:29" ht="13.5" customHeight="1">
      <c r="A823" s="2"/>
      <c r="C823" s="3"/>
      <c r="D823" s="3"/>
      <c r="E823" s="3"/>
      <c r="F823" s="3"/>
      <c r="G823" s="3"/>
      <c r="H823" s="22"/>
      <c r="I823" s="22"/>
      <c r="J823" s="22"/>
      <c r="K823" s="22"/>
      <c r="L823" s="27"/>
      <c r="M823" s="30"/>
      <c r="N823" s="27"/>
      <c r="O823" s="30"/>
      <c r="P823" s="27"/>
      <c r="Q823" s="30"/>
      <c r="R823" s="27"/>
      <c r="S823" s="30"/>
      <c r="W823" s="1"/>
      <c r="Y823" s="2"/>
      <c r="Z823" s="2"/>
      <c r="AA823" s="2"/>
      <c r="AB823" s="2"/>
      <c r="AC823" s="4"/>
    </row>
    <row r="824" spans="1:29" ht="13.5" customHeight="1">
      <c r="A824" s="2"/>
      <c r="C824" s="3"/>
      <c r="D824" s="3"/>
      <c r="E824" s="3"/>
      <c r="F824" s="3"/>
      <c r="G824" s="3"/>
      <c r="H824" s="22"/>
      <c r="I824" s="22"/>
      <c r="J824" s="22"/>
      <c r="K824" s="22"/>
      <c r="L824" s="27"/>
      <c r="M824" s="30"/>
      <c r="N824" s="27"/>
      <c r="O824" s="30"/>
      <c r="P824" s="27"/>
      <c r="Q824" s="30"/>
      <c r="R824" s="27"/>
      <c r="S824" s="30"/>
      <c r="W824" s="1"/>
      <c r="Y824" s="2"/>
      <c r="Z824" s="2"/>
      <c r="AA824" s="2"/>
      <c r="AB824" s="2"/>
      <c r="AC824" s="4"/>
    </row>
    <row r="825" spans="1:29" ht="13.5" customHeight="1">
      <c r="A825" s="2"/>
      <c r="C825" s="3"/>
      <c r="D825" s="3"/>
      <c r="E825" s="3"/>
      <c r="F825" s="3"/>
      <c r="G825" s="3"/>
      <c r="H825" s="22"/>
      <c r="I825" s="22"/>
      <c r="J825" s="22"/>
      <c r="K825" s="22"/>
      <c r="L825" s="27"/>
      <c r="M825" s="30"/>
      <c r="N825" s="27"/>
      <c r="O825" s="30"/>
      <c r="P825" s="27"/>
      <c r="Q825" s="30"/>
      <c r="R825" s="27"/>
      <c r="S825" s="30"/>
      <c r="W825" s="1"/>
      <c r="Y825" s="2"/>
      <c r="Z825" s="2"/>
      <c r="AA825" s="2"/>
      <c r="AB825" s="2"/>
      <c r="AC825" s="4"/>
    </row>
    <row r="826" spans="1:29" ht="13.5" customHeight="1">
      <c r="A826" s="2"/>
      <c r="C826" s="3"/>
      <c r="D826" s="3"/>
      <c r="E826" s="3"/>
      <c r="F826" s="3"/>
      <c r="G826" s="3"/>
      <c r="H826" s="22"/>
      <c r="I826" s="22"/>
      <c r="J826" s="22"/>
      <c r="K826" s="22"/>
      <c r="L826" s="27"/>
      <c r="M826" s="30"/>
      <c r="N826" s="27"/>
      <c r="O826" s="30"/>
      <c r="P826" s="27"/>
      <c r="Q826" s="30"/>
      <c r="R826" s="27"/>
      <c r="S826" s="30"/>
      <c r="W826" s="1"/>
      <c r="Y826" s="2"/>
      <c r="Z826" s="2"/>
      <c r="AA826" s="2"/>
      <c r="AB826" s="2"/>
      <c r="AC826" s="4"/>
    </row>
    <row r="827" spans="1:29" ht="13.5" customHeight="1">
      <c r="A827" s="2"/>
      <c r="C827" s="3"/>
      <c r="D827" s="3"/>
      <c r="E827" s="3"/>
      <c r="F827" s="3"/>
      <c r="G827" s="3"/>
      <c r="H827" s="22"/>
      <c r="I827" s="22"/>
      <c r="J827" s="22"/>
      <c r="K827" s="22"/>
      <c r="L827" s="27"/>
      <c r="M827" s="30"/>
      <c r="N827" s="27"/>
      <c r="O827" s="30"/>
      <c r="P827" s="27"/>
      <c r="Q827" s="30"/>
      <c r="R827" s="27"/>
      <c r="S827" s="30"/>
      <c r="W827" s="1"/>
      <c r="Y827" s="2"/>
      <c r="Z827" s="2"/>
      <c r="AA827" s="2"/>
      <c r="AB827" s="2"/>
      <c r="AC827" s="4"/>
    </row>
    <row r="828" spans="1:29" ht="13.5" customHeight="1">
      <c r="A828" s="2"/>
      <c r="C828" s="3"/>
      <c r="D828" s="3"/>
      <c r="E828" s="3"/>
      <c r="F828" s="3"/>
      <c r="G828" s="3"/>
      <c r="H828" s="22"/>
      <c r="I828" s="22"/>
      <c r="J828" s="22"/>
      <c r="K828" s="22"/>
      <c r="L828" s="27"/>
      <c r="M828" s="30"/>
      <c r="N828" s="27"/>
      <c r="O828" s="30"/>
      <c r="P828" s="27"/>
      <c r="Q828" s="30"/>
      <c r="R828" s="27"/>
      <c r="S828" s="30"/>
      <c r="W828" s="1"/>
      <c r="Y828" s="2"/>
      <c r="Z828" s="2"/>
      <c r="AA828" s="2"/>
      <c r="AB828" s="2"/>
      <c r="AC828" s="4"/>
    </row>
    <row r="829" spans="1:29" ht="13.5" customHeight="1">
      <c r="A829" s="2"/>
      <c r="C829" s="3"/>
      <c r="D829" s="3"/>
      <c r="E829" s="3"/>
      <c r="F829" s="3"/>
      <c r="G829" s="3"/>
      <c r="H829" s="22"/>
      <c r="I829" s="22"/>
      <c r="J829" s="22"/>
      <c r="K829" s="22"/>
      <c r="L829" s="27"/>
      <c r="M829" s="30"/>
      <c r="N829" s="27"/>
      <c r="O829" s="30"/>
      <c r="P829" s="27"/>
      <c r="Q829" s="30"/>
      <c r="R829" s="27"/>
      <c r="S829" s="30"/>
      <c r="W829" s="1"/>
      <c r="Y829" s="2"/>
      <c r="Z829" s="2"/>
      <c r="AA829" s="2"/>
      <c r="AB829" s="2"/>
      <c r="AC829" s="4"/>
    </row>
    <row r="830" spans="1:29" ht="13.5" customHeight="1">
      <c r="A830" s="2"/>
      <c r="C830" s="3"/>
      <c r="D830" s="3"/>
      <c r="E830" s="3"/>
      <c r="F830" s="3"/>
      <c r="G830" s="3"/>
      <c r="H830" s="22"/>
      <c r="I830" s="22"/>
      <c r="J830" s="22"/>
      <c r="K830" s="22"/>
      <c r="L830" s="27"/>
      <c r="M830" s="30"/>
      <c r="N830" s="27"/>
      <c r="O830" s="30"/>
      <c r="P830" s="27"/>
      <c r="Q830" s="30"/>
      <c r="R830" s="27"/>
      <c r="S830" s="30"/>
      <c r="W830" s="1"/>
      <c r="Y830" s="2"/>
      <c r="Z830" s="2"/>
      <c r="AA830" s="2"/>
      <c r="AB830" s="2"/>
      <c r="AC830" s="4"/>
    </row>
    <row r="831" spans="1:29" ht="13.5" customHeight="1">
      <c r="A831" s="2"/>
      <c r="C831" s="3"/>
      <c r="D831" s="3"/>
      <c r="E831" s="3"/>
      <c r="F831" s="3"/>
      <c r="G831" s="3"/>
      <c r="H831" s="22"/>
      <c r="I831" s="22"/>
      <c r="J831" s="22"/>
      <c r="K831" s="22"/>
      <c r="L831" s="27"/>
      <c r="M831" s="30"/>
      <c r="N831" s="27"/>
      <c r="O831" s="30"/>
      <c r="P831" s="27"/>
      <c r="Q831" s="30"/>
      <c r="R831" s="27"/>
      <c r="S831" s="30"/>
      <c r="W831" s="1"/>
      <c r="Y831" s="2"/>
      <c r="Z831" s="2"/>
      <c r="AA831" s="2"/>
      <c r="AB831" s="2"/>
      <c r="AC831" s="4"/>
    </row>
    <row r="832" spans="1:29" ht="13.5" customHeight="1">
      <c r="A832" s="2"/>
      <c r="C832" s="3"/>
      <c r="D832" s="3"/>
      <c r="E832" s="3"/>
      <c r="F832" s="3"/>
      <c r="G832" s="3"/>
      <c r="H832" s="22"/>
      <c r="I832" s="22"/>
      <c r="J832" s="22"/>
      <c r="K832" s="22"/>
      <c r="L832" s="27"/>
      <c r="M832" s="30"/>
      <c r="N832" s="27"/>
      <c r="O832" s="30"/>
      <c r="P832" s="27"/>
      <c r="Q832" s="30"/>
      <c r="R832" s="27"/>
      <c r="S832" s="30"/>
      <c r="W832" s="1"/>
      <c r="Y832" s="2"/>
      <c r="Z832" s="2"/>
      <c r="AA832" s="2"/>
      <c r="AB832" s="2"/>
      <c r="AC832" s="4"/>
    </row>
    <row r="833" spans="1:29" ht="13.5" customHeight="1">
      <c r="A833" s="2"/>
      <c r="C833" s="3"/>
      <c r="D833" s="3"/>
      <c r="E833" s="3"/>
      <c r="F833" s="3"/>
      <c r="G833" s="3"/>
      <c r="H833" s="22"/>
      <c r="I833" s="22"/>
      <c r="J833" s="22"/>
      <c r="K833" s="22"/>
      <c r="L833" s="27"/>
      <c r="M833" s="30"/>
      <c r="N833" s="27"/>
      <c r="O833" s="30"/>
      <c r="P833" s="27"/>
      <c r="Q833" s="30"/>
      <c r="R833" s="27"/>
      <c r="S833" s="30"/>
      <c r="W833" s="1"/>
      <c r="Y833" s="2"/>
      <c r="Z833" s="2"/>
      <c r="AA833" s="2"/>
      <c r="AB833" s="2"/>
      <c r="AC833" s="4"/>
    </row>
    <row r="834" spans="1:29" ht="13.5" customHeight="1">
      <c r="A834" s="2"/>
      <c r="C834" s="3"/>
      <c r="D834" s="3"/>
      <c r="E834" s="3"/>
      <c r="F834" s="3"/>
      <c r="G834" s="3"/>
      <c r="H834" s="22"/>
      <c r="I834" s="22"/>
      <c r="J834" s="22"/>
      <c r="K834" s="22"/>
      <c r="L834" s="27"/>
      <c r="M834" s="30"/>
      <c r="N834" s="27"/>
      <c r="O834" s="30"/>
      <c r="P834" s="27"/>
      <c r="Q834" s="30"/>
      <c r="R834" s="27"/>
      <c r="S834" s="30"/>
      <c r="W834" s="1"/>
      <c r="Y834" s="2"/>
      <c r="Z834" s="2"/>
      <c r="AA834" s="2"/>
      <c r="AB834" s="2"/>
      <c r="AC834" s="4"/>
    </row>
    <row r="835" spans="1:29" ht="13.5" customHeight="1">
      <c r="A835" s="2"/>
      <c r="C835" s="3"/>
      <c r="D835" s="3"/>
      <c r="E835" s="3"/>
      <c r="F835" s="3"/>
      <c r="G835" s="3"/>
      <c r="H835" s="22"/>
      <c r="I835" s="22"/>
      <c r="J835" s="22"/>
      <c r="K835" s="22"/>
      <c r="L835" s="27"/>
      <c r="M835" s="30"/>
      <c r="N835" s="27"/>
      <c r="O835" s="30"/>
      <c r="P835" s="27"/>
      <c r="Q835" s="30"/>
      <c r="R835" s="27"/>
      <c r="S835" s="30"/>
      <c r="W835" s="1"/>
      <c r="Y835" s="2"/>
      <c r="Z835" s="2"/>
      <c r="AA835" s="2"/>
      <c r="AB835" s="2"/>
      <c r="AC835" s="4"/>
    </row>
    <row r="836" spans="1:29" ht="13.5" customHeight="1">
      <c r="A836" s="2"/>
      <c r="C836" s="3"/>
      <c r="D836" s="3"/>
      <c r="E836" s="3"/>
      <c r="F836" s="3"/>
      <c r="G836" s="3"/>
      <c r="H836" s="22"/>
      <c r="I836" s="22"/>
      <c r="J836" s="22"/>
      <c r="K836" s="22"/>
      <c r="L836" s="27"/>
      <c r="M836" s="30"/>
      <c r="N836" s="27"/>
      <c r="O836" s="30"/>
      <c r="P836" s="27"/>
      <c r="Q836" s="30"/>
      <c r="R836" s="27"/>
      <c r="S836" s="30"/>
      <c r="W836" s="1"/>
      <c r="Y836" s="2"/>
      <c r="Z836" s="2"/>
      <c r="AA836" s="2"/>
      <c r="AB836" s="2"/>
      <c r="AC836" s="4"/>
    </row>
    <row r="837" spans="1:29" ht="13.5" customHeight="1">
      <c r="A837" s="2"/>
      <c r="C837" s="3"/>
      <c r="D837" s="3"/>
      <c r="E837" s="3"/>
      <c r="F837" s="3"/>
      <c r="G837" s="3"/>
      <c r="H837" s="22"/>
      <c r="I837" s="22"/>
      <c r="J837" s="22"/>
      <c r="K837" s="22"/>
      <c r="L837" s="27"/>
      <c r="M837" s="30"/>
      <c r="N837" s="27"/>
      <c r="O837" s="30"/>
      <c r="P837" s="27"/>
      <c r="Q837" s="30"/>
      <c r="R837" s="27"/>
      <c r="S837" s="30"/>
      <c r="W837" s="1"/>
      <c r="Y837" s="2"/>
      <c r="Z837" s="2"/>
      <c r="AA837" s="2"/>
      <c r="AB837" s="2"/>
      <c r="AC837" s="4"/>
    </row>
    <row r="838" spans="1:29" ht="13.5" customHeight="1">
      <c r="A838" s="2"/>
      <c r="C838" s="3"/>
      <c r="D838" s="3"/>
      <c r="E838" s="3"/>
      <c r="F838" s="3"/>
      <c r="G838" s="3"/>
      <c r="H838" s="22"/>
      <c r="I838" s="22"/>
      <c r="J838" s="22"/>
      <c r="K838" s="22"/>
      <c r="L838" s="27"/>
      <c r="M838" s="30"/>
      <c r="N838" s="27"/>
      <c r="O838" s="30"/>
      <c r="P838" s="27"/>
      <c r="Q838" s="30"/>
      <c r="R838" s="27"/>
      <c r="S838" s="30"/>
      <c r="W838" s="1"/>
      <c r="Y838" s="2"/>
      <c r="Z838" s="2"/>
      <c r="AA838" s="2"/>
      <c r="AB838" s="2"/>
      <c r="AC838" s="4"/>
    </row>
    <row r="839" spans="1:29" ht="13.5" customHeight="1">
      <c r="A839" s="2"/>
      <c r="C839" s="3"/>
      <c r="D839" s="3"/>
      <c r="E839" s="3"/>
      <c r="F839" s="3"/>
      <c r="G839" s="3"/>
      <c r="H839" s="22"/>
      <c r="I839" s="22"/>
      <c r="J839" s="22"/>
      <c r="K839" s="22"/>
      <c r="L839" s="27"/>
      <c r="M839" s="30"/>
      <c r="N839" s="27"/>
      <c r="O839" s="30"/>
      <c r="P839" s="27"/>
      <c r="Q839" s="30"/>
      <c r="R839" s="27"/>
      <c r="S839" s="30"/>
      <c r="W839" s="1"/>
      <c r="Y839" s="2"/>
      <c r="Z839" s="2"/>
      <c r="AA839" s="2"/>
      <c r="AB839" s="2"/>
      <c r="AC839" s="4"/>
    </row>
    <row r="840" spans="1:29" ht="13.5" customHeight="1">
      <c r="A840" s="2"/>
      <c r="C840" s="3"/>
      <c r="D840" s="3"/>
      <c r="E840" s="3"/>
      <c r="F840" s="3"/>
      <c r="G840" s="3"/>
      <c r="H840" s="22"/>
      <c r="I840" s="22"/>
      <c r="J840" s="22"/>
      <c r="K840" s="22"/>
      <c r="L840" s="27"/>
      <c r="M840" s="30"/>
      <c r="N840" s="27"/>
      <c r="O840" s="30"/>
      <c r="P840" s="27"/>
      <c r="Q840" s="30"/>
      <c r="R840" s="27"/>
      <c r="S840" s="30"/>
      <c r="W840" s="1"/>
      <c r="Y840" s="2"/>
      <c r="Z840" s="2"/>
      <c r="AA840" s="2"/>
      <c r="AB840" s="2"/>
      <c r="AC840" s="4"/>
    </row>
    <row r="841" spans="1:29" ht="13.5" customHeight="1">
      <c r="A841" s="2"/>
      <c r="C841" s="3"/>
      <c r="D841" s="3"/>
      <c r="E841" s="3"/>
      <c r="F841" s="3"/>
      <c r="G841" s="3"/>
      <c r="H841" s="22"/>
      <c r="I841" s="22"/>
      <c r="J841" s="22"/>
      <c r="K841" s="22"/>
      <c r="L841" s="27"/>
      <c r="M841" s="30"/>
      <c r="N841" s="27"/>
      <c r="O841" s="30"/>
      <c r="P841" s="27"/>
      <c r="Q841" s="30"/>
      <c r="R841" s="27"/>
      <c r="S841" s="30"/>
      <c r="W841" s="1"/>
      <c r="Y841" s="2"/>
      <c r="Z841" s="2"/>
      <c r="AA841" s="2"/>
      <c r="AB841" s="2"/>
      <c r="AC841" s="4"/>
    </row>
    <row r="842" spans="1:29" ht="13.5" customHeight="1">
      <c r="A842" s="2"/>
      <c r="C842" s="3"/>
      <c r="D842" s="3"/>
      <c r="E842" s="3"/>
      <c r="F842" s="3"/>
      <c r="G842" s="3"/>
      <c r="H842" s="22"/>
      <c r="I842" s="22"/>
      <c r="J842" s="22"/>
      <c r="K842" s="22"/>
      <c r="L842" s="27"/>
      <c r="M842" s="30"/>
      <c r="N842" s="27"/>
      <c r="O842" s="30"/>
      <c r="P842" s="27"/>
      <c r="Q842" s="30"/>
      <c r="R842" s="27"/>
      <c r="S842" s="30"/>
      <c r="W842" s="1"/>
      <c r="Y842" s="2"/>
      <c r="Z842" s="2"/>
      <c r="AA842" s="2"/>
      <c r="AB842" s="2"/>
      <c r="AC842" s="4"/>
    </row>
    <row r="843" spans="1:29" ht="13.5" customHeight="1">
      <c r="A843" s="2"/>
      <c r="C843" s="3"/>
      <c r="D843" s="3"/>
      <c r="E843" s="3"/>
      <c r="F843" s="3"/>
      <c r="G843" s="3"/>
      <c r="H843" s="22"/>
      <c r="I843" s="22"/>
      <c r="J843" s="22"/>
      <c r="K843" s="22"/>
      <c r="L843" s="27"/>
      <c r="M843" s="30"/>
      <c r="N843" s="27"/>
      <c r="O843" s="30"/>
      <c r="P843" s="27"/>
      <c r="Q843" s="30"/>
      <c r="R843" s="27"/>
      <c r="S843" s="30"/>
      <c r="W843" s="1"/>
      <c r="Y843" s="2"/>
      <c r="Z843" s="2"/>
      <c r="AA843" s="2"/>
      <c r="AB843" s="2"/>
      <c r="AC843" s="4"/>
    </row>
    <row r="844" spans="1:29" ht="13.5" customHeight="1">
      <c r="A844" s="2"/>
      <c r="C844" s="3"/>
      <c r="D844" s="3"/>
      <c r="E844" s="3"/>
      <c r="F844" s="3"/>
      <c r="G844" s="3"/>
      <c r="H844" s="22"/>
      <c r="I844" s="22"/>
      <c r="J844" s="22"/>
      <c r="K844" s="22"/>
      <c r="L844" s="27"/>
      <c r="M844" s="30"/>
      <c r="N844" s="27"/>
      <c r="O844" s="30"/>
      <c r="P844" s="27"/>
      <c r="Q844" s="30"/>
      <c r="R844" s="27"/>
      <c r="S844" s="30"/>
      <c r="W844" s="1"/>
      <c r="Y844" s="2"/>
      <c r="Z844" s="2"/>
      <c r="AA844" s="2"/>
      <c r="AB844" s="2"/>
      <c r="AC844" s="4"/>
    </row>
    <row r="845" spans="1:29" ht="13.5" customHeight="1">
      <c r="A845" s="2"/>
      <c r="C845" s="3"/>
      <c r="D845" s="3"/>
      <c r="E845" s="3"/>
      <c r="F845" s="3"/>
      <c r="G845" s="3"/>
      <c r="H845" s="22"/>
      <c r="I845" s="22"/>
      <c r="J845" s="22"/>
      <c r="K845" s="22"/>
      <c r="L845" s="27"/>
      <c r="M845" s="30"/>
      <c r="N845" s="27"/>
      <c r="O845" s="30"/>
      <c r="P845" s="27"/>
      <c r="Q845" s="30"/>
      <c r="R845" s="27"/>
      <c r="S845" s="30"/>
      <c r="W845" s="1"/>
      <c r="Y845" s="2"/>
      <c r="Z845" s="2"/>
      <c r="AA845" s="2"/>
      <c r="AB845" s="2"/>
      <c r="AC845" s="4"/>
    </row>
    <row r="846" spans="1:29" ht="13.5" customHeight="1">
      <c r="A846" s="2"/>
      <c r="C846" s="3"/>
      <c r="D846" s="3"/>
      <c r="E846" s="3"/>
      <c r="F846" s="3"/>
      <c r="G846" s="3"/>
      <c r="H846" s="22"/>
      <c r="I846" s="22"/>
      <c r="J846" s="22"/>
      <c r="K846" s="22"/>
      <c r="L846" s="27"/>
      <c r="M846" s="30"/>
      <c r="N846" s="27"/>
      <c r="O846" s="30"/>
      <c r="P846" s="27"/>
      <c r="Q846" s="30"/>
      <c r="R846" s="27"/>
      <c r="S846" s="30"/>
      <c r="W846" s="1"/>
      <c r="Y846" s="2"/>
      <c r="Z846" s="2"/>
      <c r="AA846" s="2"/>
      <c r="AB846" s="2"/>
      <c r="AC846" s="4"/>
    </row>
    <row r="847" spans="1:29" ht="13.5" customHeight="1">
      <c r="A847" s="2"/>
      <c r="C847" s="3"/>
      <c r="D847" s="3"/>
      <c r="E847" s="3"/>
      <c r="F847" s="3"/>
      <c r="G847" s="3"/>
      <c r="H847" s="22"/>
      <c r="I847" s="22"/>
      <c r="J847" s="22"/>
      <c r="K847" s="22"/>
      <c r="L847" s="27"/>
      <c r="M847" s="30"/>
      <c r="N847" s="27"/>
      <c r="O847" s="30"/>
      <c r="P847" s="27"/>
      <c r="Q847" s="30"/>
      <c r="R847" s="27"/>
      <c r="S847" s="30"/>
      <c r="W847" s="1"/>
      <c r="Y847" s="2"/>
      <c r="Z847" s="2"/>
      <c r="AA847" s="2"/>
      <c r="AB847" s="2"/>
      <c r="AC847" s="4"/>
    </row>
    <row r="848" spans="1:29" ht="13.5" customHeight="1">
      <c r="A848" s="2"/>
      <c r="C848" s="3"/>
      <c r="D848" s="3"/>
      <c r="E848" s="3"/>
      <c r="F848" s="3"/>
      <c r="G848" s="3"/>
      <c r="H848" s="22"/>
      <c r="I848" s="22"/>
      <c r="J848" s="22"/>
      <c r="K848" s="22"/>
      <c r="L848" s="27"/>
      <c r="M848" s="30"/>
      <c r="N848" s="27"/>
      <c r="O848" s="30"/>
      <c r="P848" s="27"/>
      <c r="Q848" s="30"/>
      <c r="R848" s="27"/>
      <c r="S848" s="30"/>
      <c r="W848" s="1"/>
      <c r="Y848" s="2"/>
      <c r="Z848" s="2"/>
      <c r="AA848" s="2"/>
      <c r="AB848" s="2"/>
      <c r="AC848" s="4"/>
    </row>
    <row r="849" spans="1:29" ht="13.5" customHeight="1">
      <c r="A849" s="2"/>
      <c r="C849" s="3"/>
      <c r="D849" s="3"/>
      <c r="E849" s="3"/>
      <c r="F849" s="3"/>
      <c r="G849" s="3"/>
      <c r="H849" s="22"/>
      <c r="I849" s="22"/>
      <c r="J849" s="22"/>
      <c r="K849" s="22"/>
      <c r="L849" s="27"/>
      <c r="M849" s="30"/>
      <c r="N849" s="27"/>
      <c r="O849" s="30"/>
      <c r="P849" s="27"/>
      <c r="Q849" s="30"/>
      <c r="R849" s="27"/>
      <c r="S849" s="30"/>
      <c r="W849" s="1"/>
      <c r="Y849" s="2"/>
      <c r="Z849" s="2"/>
      <c r="AA849" s="2"/>
      <c r="AB849" s="2"/>
      <c r="AC849" s="4"/>
    </row>
    <row r="850" spans="1:29" ht="13.5" customHeight="1">
      <c r="A850" s="2"/>
      <c r="C850" s="3"/>
      <c r="D850" s="3"/>
      <c r="E850" s="3"/>
      <c r="F850" s="3"/>
      <c r="G850" s="3"/>
      <c r="H850" s="22"/>
      <c r="I850" s="22"/>
      <c r="J850" s="22"/>
      <c r="K850" s="22"/>
      <c r="L850" s="27"/>
      <c r="M850" s="30"/>
      <c r="N850" s="27"/>
      <c r="O850" s="30"/>
      <c r="P850" s="27"/>
      <c r="Q850" s="30"/>
      <c r="R850" s="27"/>
      <c r="S850" s="30"/>
      <c r="W850" s="1"/>
      <c r="Y850" s="2"/>
      <c r="Z850" s="2"/>
      <c r="AA850" s="2"/>
      <c r="AB850" s="2"/>
      <c r="AC850" s="4"/>
    </row>
    <row r="851" spans="1:29" ht="13.5" customHeight="1">
      <c r="A851" s="2"/>
      <c r="C851" s="3"/>
      <c r="D851" s="3"/>
      <c r="E851" s="3"/>
      <c r="F851" s="3"/>
      <c r="G851" s="3"/>
      <c r="H851" s="22"/>
      <c r="I851" s="22"/>
      <c r="J851" s="22"/>
      <c r="K851" s="22"/>
      <c r="L851" s="27"/>
      <c r="M851" s="30"/>
      <c r="N851" s="27"/>
      <c r="O851" s="30"/>
      <c r="P851" s="27"/>
      <c r="Q851" s="30"/>
      <c r="R851" s="27"/>
      <c r="S851" s="30"/>
      <c r="W851" s="1"/>
      <c r="Y851" s="2"/>
      <c r="Z851" s="2"/>
      <c r="AA851" s="2"/>
      <c r="AB851" s="2"/>
      <c r="AC851" s="4"/>
    </row>
    <row r="852" spans="1:29" ht="13.5" customHeight="1">
      <c r="A852" s="2"/>
      <c r="C852" s="3"/>
      <c r="D852" s="3"/>
      <c r="E852" s="3"/>
      <c r="F852" s="3"/>
      <c r="G852" s="3"/>
      <c r="H852" s="22"/>
      <c r="I852" s="22"/>
      <c r="J852" s="22"/>
      <c r="K852" s="22"/>
      <c r="L852" s="27"/>
      <c r="M852" s="30"/>
      <c r="N852" s="27"/>
      <c r="O852" s="30"/>
      <c r="P852" s="27"/>
      <c r="Q852" s="30"/>
      <c r="R852" s="27"/>
      <c r="S852" s="30"/>
      <c r="W852" s="1"/>
      <c r="Y852" s="2"/>
      <c r="Z852" s="2"/>
      <c r="AA852" s="2"/>
      <c r="AB852" s="2"/>
      <c r="AC852" s="4"/>
    </row>
    <row r="853" spans="1:29" ht="13.5" customHeight="1">
      <c r="A853" s="2"/>
      <c r="C853" s="3"/>
      <c r="D853" s="3"/>
      <c r="E853" s="3"/>
      <c r="F853" s="3"/>
      <c r="G853" s="3"/>
      <c r="H853" s="22"/>
      <c r="I853" s="22"/>
      <c r="J853" s="22"/>
      <c r="K853" s="22"/>
      <c r="L853" s="27"/>
      <c r="M853" s="30"/>
      <c r="N853" s="27"/>
      <c r="O853" s="30"/>
      <c r="P853" s="27"/>
      <c r="Q853" s="30"/>
      <c r="R853" s="27"/>
      <c r="S853" s="30"/>
      <c r="W853" s="1"/>
      <c r="Y853" s="2"/>
      <c r="Z853" s="2"/>
      <c r="AA853" s="2"/>
      <c r="AB853" s="2"/>
      <c r="AC853" s="4"/>
    </row>
    <row r="854" spans="1:29" ht="13.5" customHeight="1">
      <c r="A854" s="2"/>
      <c r="C854" s="3"/>
      <c r="D854" s="3"/>
      <c r="E854" s="3"/>
      <c r="F854" s="3"/>
      <c r="G854" s="3"/>
      <c r="H854" s="22"/>
      <c r="I854" s="22"/>
      <c r="J854" s="22"/>
      <c r="K854" s="22"/>
      <c r="L854" s="27"/>
      <c r="M854" s="30"/>
      <c r="N854" s="27"/>
      <c r="O854" s="30"/>
      <c r="P854" s="27"/>
      <c r="Q854" s="30"/>
      <c r="R854" s="27"/>
      <c r="S854" s="30"/>
      <c r="W854" s="1"/>
      <c r="Y854" s="2"/>
      <c r="Z854" s="2"/>
      <c r="AA854" s="2"/>
      <c r="AB854" s="2"/>
      <c r="AC854" s="4"/>
    </row>
    <row r="855" spans="1:29" ht="13.5" customHeight="1">
      <c r="A855" s="2"/>
      <c r="C855" s="3"/>
      <c r="D855" s="3"/>
      <c r="E855" s="3"/>
      <c r="F855" s="3"/>
      <c r="G855" s="3"/>
      <c r="H855" s="22"/>
      <c r="I855" s="22"/>
      <c r="J855" s="22"/>
      <c r="K855" s="22"/>
      <c r="L855" s="27"/>
      <c r="M855" s="30"/>
      <c r="N855" s="27"/>
      <c r="O855" s="30"/>
      <c r="P855" s="27"/>
      <c r="Q855" s="30"/>
      <c r="R855" s="27"/>
      <c r="S855" s="30"/>
      <c r="W855" s="1"/>
      <c r="Y855" s="2"/>
      <c r="Z855" s="2"/>
      <c r="AA855" s="2"/>
      <c r="AB855" s="2"/>
      <c r="AC855" s="4"/>
    </row>
    <row r="856" spans="1:29" ht="13.5" customHeight="1">
      <c r="A856" s="2"/>
      <c r="C856" s="3"/>
      <c r="D856" s="3"/>
      <c r="E856" s="3"/>
      <c r="F856" s="3"/>
      <c r="G856" s="3"/>
      <c r="H856" s="22"/>
      <c r="I856" s="22"/>
      <c r="J856" s="22"/>
      <c r="K856" s="22"/>
      <c r="L856" s="27"/>
      <c r="M856" s="30"/>
      <c r="N856" s="27"/>
      <c r="O856" s="30"/>
      <c r="P856" s="27"/>
      <c r="Q856" s="30"/>
      <c r="R856" s="27"/>
      <c r="S856" s="30"/>
      <c r="W856" s="1"/>
      <c r="Y856" s="2"/>
      <c r="Z856" s="2"/>
      <c r="AA856" s="2"/>
      <c r="AB856" s="2"/>
      <c r="AC856" s="4"/>
    </row>
    <row r="857" spans="1:29" ht="13.5" customHeight="1">
      <c r="A857" s="2"/>
      <c r="C857" s="3"/>
      <c r="D857" s="3"/>
      <c r="E857" s="3"/>
      <c r="F857" s="3"/>
      <c r="G857" s="3"/>
      <c r="H857" s="22"/>
      <c r="I857" s="22"/>
      <c r="J857" s="22"/>
      <c r="K857" s="22"/>
      <c r="L857" s="27"/>
      <c r="M857" s="30"/>
      <c r="N857" s="27"/>
      <c r="O857" s="30"/>
      <c r="P857" s="27"/>
      <c r="Q857" s="30"/>
      <c r="R857" s="27"/>
      <c r="S857" s="30"/>
      <c r="W857" s="1"/>
      <c r="Y857" s="2"/>
      <c r="Z857" s="2"/>
      <c r="AA857" s="2"/>
      <c r="AB857" s="2"/>
      <c r="AC857" s="4"/>
    </row>
    <row r="858" spans="1:29" ht="13.5" customHeight="1">
      <c r="A858" s="2"/>
      <c r="C858" s="3"/>
      <c r="D858" s="3"/>
      <c r="E858" s="3"/>
      <c r="F858" s="3"/>
      <c r="G858" s="3"/>
      <c r="H858" s="22"/>
      <c r="I858" s="22"/>
      <c r="J858" s="22"/>
      <c r="K858" s="22"/>
      <c r="L858" s="27"/>
      <c r="M858" s="30"/>
      <c r="N858" s="27"/>
      <c r="O858" s="30"/>
      <c r="P858" s="27"/>
      <c r="Q858" s="30"/>
      <c r="R858" s="27"/>
      <c r="S858" s="30"/>
      <c r="W858" s="1"/>
      <c r="Y858" s="2"/>
      <c r="Z858" s="2"/>
      <c r="AA858" s="2"/>
      <c r="AB858" s="2"/>
      <c r="AC858" s="4"/>
    </row>
    <row r="859" spans="1:29" ht="13.5" customHeight="1">
      <c r="A859" s="2"/>
      <c r="C859" s="3"/>
      <c r="D859" s="3"/>
      <c r="E859" s="3"/>
      <c r="F859" s="3"/>
      <c r="G859" s="3"/>
      <c r="H859" s="22"/>
      <c r="I859" s="22"/>
      <c r="J859" s="22"/>
      <c r="K859" s="22"/>
      <c r="L859" s="27"/>
      <c r="M859" s="30"/>
      <c r="N859" s="27"/>
      <c r="O859" s="30"/>
      <c r="P859" s="27"/>
      <c r="Q859" s="30"/>
      <c r="R859" s="27"/>
      <c r="S859" s="30"/>
      <c r="W859" s="1"/>
      <c r="Y859" s="2"/>
      <c r="Z859" s="2"/>
      <c r="AA859" s="2"/>
      <c r="AB859" s="2"/>
      <c r="AC859" s="4"/>
    </row>
    <row r="860" spans="1:29" ht="13.5" customHeight="1">
      <c r="A860" s="2"/>
      <c r="C860" s="3"/>
      <c r="D860" s="3"/>
      <c r="E860" s="3"/>
      <c r="F860" s="3"/>
      <c r="G860" s="3"/>
      <c r="H860" s="22"/>
      <c r="I860" s="22"/>
      <c r="J860" s="22"/>
      <c r="K860" s="22"/>
      <c r="L860" s="27"/>
      <c r="M860" s="30"/>
      <c r="N860" s="27"/>
      <c r="O860" s="30"/>
      <c r="P860" s="27"/>
      <c r="Q860" s="30"/>
      <c r="R860" s="27"/>
      <c r="S860" s="30"/>
      <c r="W860" s="1"/>
      <c r="Y860" s="2"/>
      <c r="Z860" s="2"/>
      <c r="AA860" s="2"/>
      <c r="AB860" s="2"/>
      <c r="AC860" s="4"/>
    </row>
    <row r="861" spans="1:29" ht="13.5" customHeight="1">
      <c r="A861" s="2"/>
      <c r="C861" s="3"/>
      <c r="D861" s="3"/>
      <c r="E861" s="3"/>
      <c r="F861" s="3"/>
      <c r="G861" s="3"/>
      <c r="H861" s="22"/>
      <c r="I861" s="22"/>
      <c r="J861" s="22"/>
      <c r="K861" s="22"/>
      <c r="L861" s="27"/>
      <c r="M861" s="30"/>
      <c r="N861" s="27"/>
      <c r="O861" s="30"/>
      <c r="P861" s="27"/>
      <c r="Q861" s="30"/>
      <c r="R861" s="27"/>
      <c r="S861" s="30"/>
      <c r="W861" s="1"/>
      <c r="Y861" s="2"/>
      <c r="Z861" s="2"/>
      <c r="AA861" s="2"/>
      <c r="AB861" s="2"/>
      <c r="AC861" s="4"/>
    </row>
    <row r="862" spans="1:29" ht="13.5" customHeight="1">
      <c r="A862" s="2"/>
      <c r="C862" s="3"/>
      <c r="D862" s="3"/>
      <c r="E862" s="3"/>
      <c r="F862" s="3"/>
      <c r="G862" s="3"/>
      <c r="H862" s="22"/>
      <c r="I862" s="22"/>
      <c r="J862" s="22"/>
      <c r="K862" s="22"/>
      <c r="L862" s="27"/>
      <c r="M862" s="30"/>
      <c r="N862" s="27"/>
      <c r="O862" s="30"/>
      <c r="P862" s="27"/>
      <c r="Q862" s="30"/>
      <c r="R862" s="27"/>
      <c r="S862" s="30"/>
      <c r="W862" s="1"/>
      <c r="Y862" s="2"/>
      <c r="Z862" s="2"/>
      <c r="AA862" s="2"/>
      <c r="AB862" s="2"/>
      <c r="AC862" s="4"/>
    </row>
    <row r="863" spans="1:29" ht="13.5" customHeight="1">
      <c r="A863" s="2"/>
      <c r="C863" s="3"/>
      <c r="D863" s="3"/>
      <c r="E863" s="3"/>
      <c r="F863" s="3"/>
      <c r="G863" s="3"/>
      <c r="H863" s="22"/>
      <c r="I863" s="22"/>
      <c r="J863" s="22"/>
      <c r="K863" s="22"/>
      <c r="L863" s="27"/>
      <c r="M863" s="30"/>
      <c r="N863" s="27"/>
      <c r="O863" s="30"/>
      <c r="P863" s="27"/>
      <c r="Q863" s="30"/>
      <c r="R863" s="27"/>
      <c r="S863" s="30"/>
      <c r="W863" s="1"/>
      <c r="Y863" s="2"/>
      <c r="Z863" s="2"/>
      <c r="AA863" s="2"/>
      <c r="AB863" s="2"/>
      <c r="AC863" s="4"/>
    </row>
    <row r="864" spans="1:29" ht="13.5" customHeight="1">
      <c r="A864" s="2"/>
      <c r="C864" s="3"/>
      <c r="D864" s="3"/>
      <c r="E864" s="3"/>
      <c r="F864" s="3"/>
      <c r="G864" s="3"/>
      <c r="H864" s="22"/>
      <c r="I864" s="22"/>
      <c r="J864" s="22"/>
      <c r="K864" s="22"/>
      <c r="L864" s="27"/>
      <c r="M864" s="30"/>
      <c r="N864" s="27"/>
      <c r="O864" s="30"/>
      <c r="P864" s="27"/>
      <c r="Q864" s="30"/>
      <c r="R864" s="27"/>
      <c r="S864" s="30"/>
      <c r="W864" s="1"/>
      <c r="Y864" s="2"/>
      <c r="Z864" s="2"/>
      <c r="AA864" s="2"/>
      <c r="AB864" s="2"/>
      <c r="AC864" s="4"/>
    </row>
    <row r="865" spans="1:29" ht="13.5" customHeight="1">
      <c r="A865" s="2"/>
      <c r="C865" s="3"/>
      <c r="D865" s="3"/>
      <c r="E865" s="3"/>
      <c r="F865" s="3"/>
      <c r="G865" s="3"/>
      <c r="H865" s="22"/>
      <c r="I865" s="22"/>
      <c r="J865" s="22"/>
      <c r="K865" s="22"/>
      <c r="L865" s="27"/>
      <c r="M865" s="30"/>
      <c r="N865" s="27"/>
      <c r="O865" s="30"/>
      <c r="P865" s="27"/>
      <c r="Q865" s="30"/>
      <c r="R865" s="27"/>
      <c r="S865" s="30"/>
      <c r="W865" s="1"/>
      <c r="Y865" s="2"/>
      <c r="Z865" s="2"/>
      <c r="AA865" s="2"/>
      <c r="AB865" s="2"/>
      <c r="AC865" s="4"/>
    </row>
    <row r="866" spans="1:29" ht="13.5" customHeight="1">
      <c r="A866" s="2"/>
      <c r="C866" s="3"/>
      <c r="D866" s="3"/>
      <c r="E866" s="3"/>
      <c r="F866" s="3"/>
      <c r="G866" s="3"/>
      <c r="H866" s="22"/>
      <c r="I866" s="22"/>
      <c r="J866" s="22"/>
      <c r="K866" s="22"/>
      <c r="L866" s="27"/>
      <c r="M866" s="30"/>
      <c r="N866" s="27"/>
      <c r="O866" s="30"/>
      <c r="P866" s="27"/>
      <c r="Q866" s="30"/>
      <c r="R866" s="27"/>
      <c r="S866" s="30"/>
      <c r="W866" s="1"/>
      <c r="Y866" s="2"/>
      <c r="Z866" s="2"/>
      <c r="AA866" s="2"/>
      <c r="AB866" s="2"/>
      <c r="AC866" s="4"/>
    </row>
    <row r="867" spans="1:29" ht="13.5" customHeight="1">
      <c r="A867" s="2"/>
      <c r="C867" s="3"/>
      <c r="D867" s="3"/>
      <c r="E867" s="3"/>
      <c r="F867" s="3"/>
      <c r="G867" s="3"/>
      <c r="H867" s="22"/>
      <c r="I867" s="22"/>
      <c r="J867" s="22"/>
      <c r="K867" s="22"/>
      <c r="L867" s="27"/>
      <c r="M867" s="30"/>
      <c r="N867" s="27"/>
      <c r="O867" s="30"/>
      <c r="P867" s="27"/>
      <c r="Q867" s="30"/>
      <c r="R867" s="27"/>
      <c r="S867" s="30"/>
      <c r="W867" s="1"/>
      <c r="Y867" s="2"/>
      <c r="Z867" s="2"/>
      <c r="AA867" s="2"/>
      <c r="AB867" s="2"/>
      <c r="AC867" s="4"/>
    </row>
    <row r="868" spans="1:29" ht="13.5" customHeight="1">
      <c r="A868" s="2"/>
      <c r="C868" s="3"/>
      <c r="D868" s="3"/>
      <c r="E868" s="3"/>
      <c r="F868" s="3"/>
      <c r="G868" s="3"/>
      <c r="H868" s="22"/>
      <c r="I868" s="22"/>
      <c r="J868" s="22"/>
      <c r="K868" s="22"/>
      <c r="L868" s="27"/>
      <c r="M868" s="30"/>
      <c r="N868" s="27"/>
      <c r="O868" s="30"/>
      <c r="P868" s="27"/>
      <c r="Q868" s="30"/>
      <c r="R868" s="27"/>
      <c r="S868" s="30"/>
      <c r="W868" s="1"/>
      <c r="Y868" s="2"/>
      <c r="Z868" s="2"/>
      <c r="AA868" s="2"/>
      <c r="AB868" s="2"/>
      <c r="AC868" s="4"/>
    </row>
    <row r="869" spans="1:29" ht="13.5" customHeight="1">
      <c r="A869" s="2"/>
      <c r="C869" s="3"/>
      <c r="D869" s="3"/>
      <c r="E869" s="3"/>
      <c r="F869" s="3"/>
      <c r="G869" s="3"/>
      <c r="H869" s="22"/>
      <c r="I869" s="22"/>
      <c r="J869" s="22"/>
      <c r="K869" s="22"/>
      <c r="L869" s="27"/>
      <c r="M869" s="30"/>
      <c r="N869" s="27"/>
      <c r="O869" s="30"/>
      <c r="P869" s="27"/>
      <c r="Q869" s="30"/>
      <c r="R869" s="27"/>
      <c r="S869" s="30"/>
      <c r="W869" s="1"/>
      <c r="Y869" s="2"/>
      <c r="Z869" s="2"/>
      <c r="AA869" s="2"/>
      <c r="AB869" s="2"/>
      <c r="AC869" s="4"/>
    </row>
    <row r="870" spans="1:29" ht="13.5" customHeight="1">
      <c r="A870" s="2"/>
      <c r="C870" s="3"/>
      <c r="D870" s="3"/>
      <c r="E870" s="3"/>
      <c r="F870" s="3"/>
      <c r="G870" s="3"/>
      <c r="H870" s="22"/>
      <c r="I870" s="22"/>
      <c r="J870" s="22"/>
      <c r="K870" s="22"/>
      <c r="L870" s="27"/>
      <c r="M870" s="30"/>
      <c r="N870" s="27"/>
      <c r="O870" s="30"/>
      <c r="P870" s="27"/>
      <c r="Q870" s="30"/>
      <c r="R870" s="27"/>
      <c r="S870" s="30"/>
      <c r="W870" s="1"/>
      <c r="Y870" s="2"/>
      <c r="Z870" s="2"/>
      <c r="AA870" s="2"/>
      <c r="AB870" s="2"/>
      <c r="AC870" s="4"/>
    </row>
    <row r="871" spans="1:29" ht="13.5" customHeight="1">
      <c r="A871" s="2"/>
      <c r="C871" s="3"/>
      <c r="D871" s="3"/>
      <c r="E871" s="3"/>
      <c r="F871" s="3"/>
      <c r="G871" s="3"/>
      <c r="H871" s="22"/>
      <c r="I871" s="22"/>
      <c r="J871" s="22"/>
      <c r="K871" s="22"/>
      <c r="L871" s="27"/>
      <c r="M871" s="30"/>
      <c r="N871" s="27"/>
      <c r="O871" s="30"/>
      <c r="P871" s="27"/>
      <c r="Q871" s="30"/>
      <c r="R871" s="27"/>
      <c r="S871" s="30"/>
      <c r="W871" s="1"/>
      <c r="Y871" s="2"/>
      <c r="Z871" s="2"/>
      <c r="AA871" s="2"/>
      <c r="AB871" s="2"/>
      <c r="AC871" s="4"/>
    </row>
    <row r="872" spans="1:29" ht="13.5" customHeight="1">
      <c r="A872" s="2"/>
      <c r="C872" s="3"/>
      <c r="D872" s="3"/>
      <c r="E872" s="3"/>
      <c r="F872" s="3"/>
      <c r="G872" s="3"/>
      <c r="H872" s="22"/>
      <c r="I872" s="22"/>
      <c r="J872" s="22"/>
      <c r="K872" s="22"/>
      <c r="L872" s="27"/>
      <c r="M872" s="30"/>
      <c r="N872" s="27"/>
      <c r="O872" s="30"/>
      <c r="P872" s="27"/>
      <c r="Q872" s="30"/>
      <c r="R872" s="27"/>
      <c r="S872" s="30"/>
      <c r="W872" s="1"/>
      <c r="Y872" s="2"/>
      <c r="Z872" s="2"/>
      <c r="AA872" s="2"/>
      <c r="AB872" s="2"/>
      <c r="AC872" s="4"/>
    </row>
    <row r="873" spans="1:29" ht="13.5" customHeight="1">
      <c r="A873" s="2"/>
      <c r="C873" s="3"/>
      <c r="D873" s="3"/>
      <c r="E873" s="3"/>
      <c r="F873" s="3"/>
      <c r="G873" s="3"/>
      <c r="H873" s="22"/>
      <c r="I873" s="22"/>
      <c r="J873" s="22"/>
      <c r="K873" s="22"/>
      <c r="L873" s="27"/>
      <c r="M873" s="30"/>
      <c r="N873" s="27"/>
      <c r="O873" s="30"/>
      <c r="P873" s="27"/>
      <c r="Q873" s="30"/>
      <c r="R873" s="27"/>
      <c r="S873" s="30"/>
      <c r="W873" s="1"/>
      <c r="Y873" s="2"/>
      <c r="Z873" s="2"/>
      <c r="AA873" s="2"/>
      <c r="AB873" s="2"/>
      <c r="AC873" s="4"/>
    </row>
    <row r="874" spans="1:29" ht="13.5" customHeight="1">
      <c r="A874" s="2"/>
      <c r="C874" s="3"/>
      <c r="D874" s="3"/>
      <c r="E874" s="3"/>
      <c r="F874" s="3"/>
      <c r="G874" s="3"/>
      <c r="H874" s="22"/>
      <c r="I874" s="22"/>
      <c r="J874" s="22"/>
      <c r="K874" s="22"/>
      <c r="L874" s="27"/>
      <c r="M874" s="30"/>
      <c r="N874" s="27"/>
      <c r="O874" s="30"/>
      <c r="P874" s="27"/>
      <c r="Q874" s="30"/>
      <c r="R874" s="27"/>
      <c r="S874" s="30"/>
      <c r="W874" s="1"/>
      <c r="Y874" s="2"/>
      <c r="Z874" s="2"/>
      <c r="AA874" s="2"/>
      <c r="AB874" s="2"/>
      <c r="AC874" s="4"/>
    </row>
    <row r="875" spans="1:29" ht="13.5" customHeight="1">
      <c r="A875" s="2"/>
      <c r="C875" s="3"/>
      <c r="D875" s="3"/>
      <c r="E875" s="3"/>
      <c r="F875" s="3"/>
      <c r="G875" s="3"/>
      <c r="H875" s="22"/>
      <c r="I875" s="22"/>
      <c r="J875" s="22"/>
      <c r="K875" s="22"/>
      <c r="L875" s="27"/>
      <c r="M875" s="30"/>
      <c r="N875" s="27"/>
      <c r="O875" s="30"/>
      <c r="P875" s="27"/>
      <c r="Q875" s="30"/>
      <c r="R875" s="27"/>
      <c r="S875" s="30"/>
      <c r="W875" s="1"/>
      <c r="Y875" s="2"/>
      <c r="Z875" s="2"/>
      <c r="AA875" s="2"/>
      <c r="AB875" s="2"/>
      <c r="AC875" s="4"/>
    </row>
    <row r="876" spans="1:29" ht="13.5" customHeight="1">
      <c r="A876" s="2"/>
      <c r="C876" s="3"/>
      <c r="D876" s="3"/>
      <c r="E876" s="3"/>
      <c r="F876" s="3"/>
      <c r="G876" s="3"/>
      <c r="H876" s="22"/>
      <c r="I876" s="22"/>
      <c r="J876" s="22"/>
      <c r="K876" s="22"/>
      <c r="L876" s="27"/>
      <c r="M876" s="30"/>
      <c r="N876" s="27"/>
      <c r="O876" s="30"/>
      <c r="P876" s="27"/>
      <c r="Q876" s="30"/>
      <c r="R876" s="27"/>
      <c r="S876" s="30"/>
      <c r="W876" s="1"/>
      <c r="Y876" s="2"/>
      <c r="Z876" s="2"/>
      <c r="AA876" s="2"/>
      <c r="AB876" s="2"/>
      <c r="AC876" s="4"/>
    </row>
    <row r="877" spans="1:29" ht="13.5" customHeight="1">
      <c r="A877" s="2"/>
      <c r="C877" s="3"/>
      <c r="D877" s="3"/>
      <c r="E877" s="3"/>
      <c r="F877" s="3"/>
      <c r="G877" s="3"/>
      <c r="H877" s="22"/>
      <c r="I877" s="22"/>
      <c r="J877" s="22"/>
      <c r="K877" s="22"/>
      <c r="L877" s="27"/>
      <c r="M877" s="30"/>
      <c r="N877" s="27"/>
      <c r="O877" s="30"/>
      <c r="P877" s="27"/>
      <c r="Q877" s="30"/>
      <c r="R877" s="27"/>
      <c r="S877" s="30"/>
      <c r="W877" s="1"/>
      <c r="Y877" s="2"/>
      <c r="Z877" s="2"/>
      <c r="AA877" s="2"/>
      <c r="AB877" s="2"/>
      <c r="AC877" s="4"/>
    </row>
    <row r="878" spans="1:29" ht="13.5" customHeight="1">
      <c r="A878" s="2"/>
      <c r="C878" s="3"/>
      <c r="D878" s="3"/>
      <c r="E878" s="3"/>
      <c r="F878" s="3"/>
      <c r="G878" s="3"/>
      <c r="H878" s="22"/>
      <c r="I878" s="22"/>
      <c r="J878" s="22"/>
      <c r="K878" s="22"/>
      <c r="L878" s="27"/>
      <c r="M878" s="30"/>
      <c r="N878" s="27"/>
      <c r="O878" s="30"/>
      <c r="P878" s="27"/>
      <c r="Q878" s="30"/>
      <c r="R878" s="27"/>
      <c r="S878" s="30"/>
      <c r="W878" s="1"/>
      <c r="Y878" s="2"/>
      <c r="Z878" s="2"/>
      <c r="AA878" s="2"/>
      <c r="AB878" s="2"/>
      <c r="AC878" s="4"/>
    </row>
    <row r="879" spans="1:29" ht="13.5" customHeight="1">
      <c r="A879" s="2"/>
      <c r="C879" s="3"/>
      <c r="D879" s="3"/>
      <c r="E879" s="3"/>
      <c r="F879" s="3"/>
      <c r="G879" s="3"/>
      <c r="H879" s="22"/>
      <c r="I879" s="22"/>
      <c r="J879" s="22"/>
      <c r="K879" s="22"/>
      <c r="L879" s="27"/>
      <c r="M879" s="30"/>
      <c r="N879" s="27"/>
      <c r="O879" s="30"/>
      <c r="P879" s="27"/>
      <c r="Q879" s="30"/>
      <c r="R879" s="27"/>
      <c r="S879" s="30"/>
      <c r="W879" s="1"/>
      <c r="Y879" s="2"/>
      <c r="Z879" s="2"/>
      <c r="AA879" s="2"/>
      <c r="AB879" s="2"/>
      <c r="AC879" s="4"/>
    </row>
    <row r="880" spans="1:29" ht="13.5" customHeight="1">
      <c r="A880" s="2"/>
      <c r="C880" s="3"/>
      <c r="D880" s="3"/>
      <c r="E880" s="3"/>
      <c r="F880" s="3"/>
      <c r="G880" s="3"/>
      <c r="H880" s="22"/>
      <c r="I880" s="22"/>
      <c r="J880" s="22"/>
      <c r="K880" s="22"/>
      <c r="L880" s="27"/>
      <c r="M880" s="30"/>
      <c r="N880" s="27"/>
      <c r="O880" s="30"/>
      <c r="P880" s="27"/>
      <c r="Q880" s="30"/>
      <c r="R880" s="27"/>
      <c r="S880" s="30"/>
      <c r="W880" s="1"/>
      <c r="Y880" s="2"/>
      <c r="Z880" s="2"/>
      <c r="AA880" s="2"/>
      <c r="AB880" s="2"/>
      <c r="AC880" s="4"/>
    </row>
    <row r="881" spans="1:29" ht="13.5" customHeight="1">
      <c r="A881" s="2"/>
      <c r="C881" s="3"/>
      <c r="D881" s="3"/>
      <c r="E881" s="3"/>
      <c r="F881" s="3"/>
      <c r="G881" s="3"/>
      <c r="H881" s="22"/>
      <c r="I881" s="22"/>
      <c r="J881" s="22"/>
      <c r="K881" s="22"/>
      <c r="L881" s="27"/>
      <c r="M881" s="30"/>
      <c r="N881" s="27"/>
      <c r="O881" s="30"/>
      <c r="P881" s="27"/>
      <c r="Q881" s="30"/>
      <c r="R881" s="27"/>
      <c r="S881" s="30"/>
      <c r="W881" s="1"/>
      <c r="Y881" s="2"/>
      <c r="Z881" s="2"/>
      <c r="AA881" s="2"/>
      <c r="AB881" s="2"/>
      <c r="AC881" s="4"/>
    </row>
    <row r="882" spans="1:29" ht="13.5" customHeight="1">
      <c r="A882" s="2"/>
      <c r="C882" s="3"/>
      <c r="D882" s="3"/>
      <c r="E882" s="3"/>
      <c r="F882" s="3"/>
      <c r="G882" s="3"/>
      <c r="H882" s="22"/>
      <c r="I882" s="22"/>
      <c r="J882" s="22"/>
      <c r="K882" s="22"/>
      <c r="L882" s="27"/>
      <c r="M882" s="30"/>
      <c r="N882" s="27"/>
      <c r="O882" s="30"/>
      <c r="P882" s="27"/>
      <c r="Q882" s="30"/>
      <c r="R882" s="27"/>
      <c r="S882" s="30"/>
      <c r="W882" s="1"/>
      <c r="Y882" s="2"/>
      <c r="Z882" s="2"/>
      <c r="AA882" s="2"/>
      <c r="AB882" s="2"/>
      <c r="AC882" s="4"/>
    </row>
    <row r="883" spans="1:29" ht="13.5" customHeight="1">
      <c r="A883" s="2"/>
      <c r="C883" s="3"/>
      <c r="D883" s="3"/>
      <c r="E883" s="3"/>
      <c r="F883" s="3"/>
      <c r="G883" s="3"/>
      <c r="H883" s="22"/>
      <c r="I883" s="22"/>
      <c r="J883" s="22"/>
      <c r="K883" s="22"/>
      <c r="L883" s="27"/>
      <c r="M883" s="30"/>
      <c r="N883" s="27"/>
      <c r="O883" s="30"/>
      <c r="P883" s="27"/>
      <c r="Q883" s="30"/>
      <c r="R883" s="27"/>
      <c r="S883" s="30"/>
      <c r="W883" s="1"/>
      <c r="Y883" s="2"/>
      <c r="Z883" s="2"/>
      <c r="AA883" s="2"/>
      <c r="AB883" s="2"/>
      <c r="AC883" s="4"/>
    </row>
    <row r="884" spans="1:29" ht="13.5" customHeight="1">
      <c r="A884" s="2"/>
      <c r="C884" s="3"/>
      <c r="D884" s="3"/>
      <c r="E884" s="3"/>
      <c r="F884" s="3"/>
      <c r="G884" s="3"/>
      <c r="H884" s="22"/>
      <c r="I884" s="22"/>
      <c r="J884" s="22"/>
      <c r="K884" s="22"/>
      <c r="L884" s="27"/>
      <c r="M884" s="30"/>
      <c r="N884" s="27"/>
      <c r="O884" s="30"/>
      <c r="P884" s="27"/>
      <c r="Q884" s="30"/>
      <c r="R884" s="27"/>
      <c r="S884" s="30"/>
      <c r="W884" s="1"/>
      <c r="Y884" s="2"/>
      <c r="Z884" s="2"/>
      <c r="AA884" s="2"/>
      <c r="AB884" s="2"/>
      <c r="AC884" s="4"/>
    </row>
    <row r="885" spans="1:29" ht="13.5" customHeight="1">
      <c r="A885" s="2"/>
      <c r="C885" s="3"/>
      <c r="D885" s="3"/>
      <c r="E885" s="3"/>
      <c r="F885" s="3"/>
      <c r="G885" s="3"/>
      <c r="H885" s="22"/>
      <c r="I885" s="22"/>
      <c r="J885" s="22"/>
      <c r="K885" s="22"/>
      <c r="L885" s="27"/>
      <c r="M885" s="30"/>
      <c r="N885" s="27"/>
      <c r="O885" s="30"/>
      <c r="P885" s="27"/>
      <c r="Q885" s="30"/>
      <c r="R885" s="27"/>
      <c r="S885" s="30"/>
      <c r="W885" s="1"/>
      <c r="Y885" s="2"/>
      <c r="Z885" s="2"/>
      <c r="AA885" s="2"/>
      <c r="AB885" s="2"/>
      <c r="AC885" s="4"/>
    </row>
    <row r="886" spans="1:29" ht="13.5" customHeight="1">
      <c r="A886" s="2"/>
      <c r="C886" s="3"/>
      <c r="D886" s="3"/>
      <c r="E886" s="3"/>
      <c r="F886" s="3"/>
      <c r="G886" s="3"/>
      <c r="H886" s="22"/>
      <c r="I886" s="22"/>
      <c r="J886" s="22"/>
      <c r="K886" s="22"/>
      <c r="L886" s="27"/>
      <c r="M886" s="30"/>
      <c r="N886" s="27"/>
      <c r="O886" s="30"/>
      <c r="P886" s="27"/>
      <c r="Q886" s="30"/>
      <c r="R886" s="27"/>
      <c r="S886" s="30"/>
      <c r="W886" s="1"/>
      <c r="Y886" s="2"/>
      <c r="Z886" s="2"/>
      <c r="AA886" s="2"/>
      <c r="AB886" s="2"/>
      <c r="AC886" s="4"/>
    </row>
    <row r="887" spans="1:29" ht="13.5" customHeight="1">
      <c r="A887" s="2"/>
      <c r="C887" s="3"/>
      <c r="D887" s="3"/>
      <c r="E887" s="3"/>
      <c r="F887" s="3"/>
      <c r="G887" s="3"/>
      <c r="H887" s="22"/>
      <c r="I887" s="22"/>
      <c r="J887" s="22"/>
      <c r="K887" s="22"/>
      <c r="L887" s="27"/>
      <c r="M887" s="30"/>
      <c r="N887" s="27"/>
      <c r="O887" s="30"/>
      <c r="P887" s="27"/>
      <c r="Q887" s="30"/>
      <c r="R887" s="27"/>
      <c r="S887" s="30"/>
      <c r="W887" s="1"/>
      <c r="Y887" s="2"/>
      <c r="Z887" s="2"/>
      <c r="AA887" s="2"/>
      <c r="AB887" s="2"/>
      <c r="AC887" s="4"/>
    </row>
    <row r="888" spans="1:29" ht="13.5" customHeight="1">
      <c r="A888" s="2"/>
      <c r="C888" s="3"/>
      <c r="D888" s="3"/>
      <c r="E888" s="3"/>
      <c r="F888" s="3"/>
      <c r="G888" s="3"/>
      <c r="H888" s="22"/>
      <c r="I888" s="22"/>
      <c r="J888" s="22"/>
      <c r="K888" s="22"/>
      <c r="L888" s="27"/>
      <c r="M888" s="30"/>
      <c r="N888" s="27"/>
      <c r="O888" s="30"/>
      <c r="P888" s="27"/>
      <c r="Q888" s="30"/>
      <c r="R888" s="27"/>
      <c r="S888" s="30"/>
      <c r="W888" s="1"/>
      <c r="Y888" s="2"/>
      <c r="Z888" s="2"/>
      <c r="AA888" s="2"/>
      <c r="AB888" s="2"/>
      <c r="AC888" s="4"/>
    </row>
    <row r="889" spans="1:29" ht="13.5" customHeight="1">
      <c r="A889" s="2"/>
      <c r="C889" s="3"/>
      <c r="D889" s="3"/>
      <c r="E889" s="3"/>
      <c r="F889" s="3"/>
      <c r="G889" s="3"/>
      <c r="H889" s="22"/>
      <c r="I889" s="22"/>
      <c r="J889" s="22"/>
      <c r="K889" s="22"/>
      <c r="L889" s="27"/>
      <c r="M889" s="30"/>
      <c r="N889" s="27"/>
      <c r="O889" s="30"/>
      <c r="P889" s="27"/>
      <c r="Q889" s="30"/>
      <c r="R889" s="27"/>
      <c r="S889" s="30"/>
      <c r="W889" s="1"/>
      <c r="Y889" s="2"/>
      <c r="Z889" s="2"/>
      <c r="AA889" s="2"/>
      <c r="AB889" s="2"/>
      <c r="AC889" s="4"/>
    </row>
    <row r="890" spans="1:29" ht="13.5" customHeight="1">
      <c r="A890" s="2"/>
      <c r="C890" s="3"/>
      <c r="D890" s="3"/>
      <c r="E890" s="3"/>
      <c r="F890" s="3"/>
      <c r="G890" s="3"/>
      <c r="H890" s="22"/>
      <c r="I890" s="22"/>
      <c r="J890" s="22"/>
      <c r="K890" s="22"/>
      <c r="L890" s="27"/>
      <c r="M890" s="30"/>
      <c r="N890" s="27"/>
      <c r="O890" s="30"/>
      <c r="P890" s="27"/>
      <c r="Q890" s="30"/>
      <c r="R890" s="27"/>
      <c r="S890" s="30"/>
      <c r="W890" s="1"/>
      <c r="Y890" s="2"/>
      <c r="Z890" s="2"/>
      <c r="AA890" s="2"/>
      <c r="AB890" s="2"/>
      <c r="AC890" s="4"/>
    </row>
    <row r="891" spans="1:29" ht="13.5" customHeight="1">
      <c r="A891" s="2"/>
      <c r="C891" s="3"/>
      <c r="D891" s="3"/>
      <c r="E891" s="3"/>
      <c r="F891" s="3"/>
      <c r="G891" s="3"/>
      <c r="H891" s="22"/>
      <c r="I891" s="22"/>
      <c r="J891" s="22"/>
      <c r="K891" s="22"/>
      <c r="L891" s="27"/>
      <c r="M891" s="30"/>
      <c r="N891" s="27"/>
      <c r="O891" s="30"/>
      <c r="P891" s="27"/>
      <c r="Q891" s="30"/>
      <c r="R891" s="27"/>
      <c r="S891" s="30"/>
      <c r="W891" s="1"/>
      <c r="Y891" s="2"/>
      <c r="Z891" s="2"/>
      <c r="AA891" s="2"/>
      <c r="AB891" s="2"/>
      <c r="AC891" s="4"/>
    </row>
    <row r="892" spans="1:29" ht="13.5" customHeight="1">
      <c r="A892" s="2"/>
      <c r="C892" s="3"/>
      <c r="D892" s="3"/>
      <c r="E892" s="3"/>
      <c r="F892" s="3"/>
      <c r="G892" s="3"/>
      <c r="H892" s="22"/>
      <c r="I892" s="22"/>
      <c r="J892" s="22"/>
      <c r="K892" s="22"/>
      <c r="L892" s="27"/>
      <c r="M892" s="30"/>
      <c r="N892" s="27"/>
      <c r="O892" s="30"/>
      <c r="P892" s="27"/>
      <c r="Q892" s="30"/>
      <c r="R892" s="27"/>
      <c r="S892" s="30"/>
      <c r="W892" s="1"/>
      <c r="Y892" s="2"/>
      <c r="Z892" s="2"/>
      <c r="AA892" s="2"/>
      <c r="AB892" s="2"/>
      <c r="AC892" s="4"/>
    </row>
    <row r="893" spans="1:29" ht="13.5" customHeight="1">
      <c r="A893" s="2"/>
      <c r="C893" s="3"/>
      <c r="D893" s="3"/>
      <c r="E893" s="3"/>
      <c r="F893" s="3"/>
      <c r="G893" s="3"/>
      <c r="H893" s="22"/>
      <c r="I893" s="22"/>
      <c r="J893" s="22"/>
      <c r="K893" s="22"/>
      <c r="L893" s="27"/>
      <c r="M893" s="30"/>
      <c r="N893" s="27"/>
      <c r="O893" s="30"/>
      <c r="P893" s="27"/>
      <c r="Q893" s="30"/>
      <c r="R893" s="27"/>
      <c r="S893" s="30"/>
      <c r="W893" s="1"/>
      <c r="Y893" s="2"/>
      <c r="Z893" s="2"/>
      <c r="AA893" s="2"/>
      <c r="AB893" s="2"/>
      <c r="AC893" s="4"/>
    </row>
    <row r="894" spans="1:29" ht="13.5" customHeight="1">
      <c r="A894" s="2"/>
      <c r="C894" s="3"/>
      <c r="D894" s="3"/>
      <c r="E894" s="3"/>
      <c r="F894" s="3"/>
      <c r="G894" s="3"/>
      <c r="H894" s="22"/>
      <c r="I894" s="22"/>
      <c r="J894" s="22"/>
      <c r="K894" s="22"/>
      <c r="L894" s="27"/>
      <c r="M894" s="30"/>
      <c r="N894" s="27"/>
      <c r="O894" s="30"/>
      <c r="P894" s="27"/>
      <c r="Q894" s="30"/>
      <c r="R894" s="27"/>
      <c r="S894" s="30"/>
      <c r="W894" s="1"/>
      <c r="Y894" s="2"/>
      <c r="Z894" s="2"/>
      <c r="AA894" s="2"/>
      <c r="AB894" s="2"/>
      <c r="AC894" s="4"/>
    </row>
    <row r="895" spans="1:29" ht="13.5" customHeight="1">
      <c r="A895" s="2"/>
      <c r="C895" s="3"/>
      <c r="D895" s="3"/>
      <c r="E895" s="3"/>
      <c r="F895" s="3"/>
      <c r="G895" s="3"/>
      <c r="H895" s="22"/>
      <c r="I895" s="22"/>
      <c r="J895" s="22"/>
      <c r="K895" s="22"/>
      <c r="L895" s="27"/>
      <c r="M895" s="30"/>
      <c r="N895" s="27"/>
      <c r="O895" s="30"/>
      <c r="P895" s="27"/>
      <c r="Q895" s="30"/>
      <c r="R895" s="27"/>
      <c r="S895" s="30"/>
      <c r="W895" s="1"/>
      <c r="Y895" s="2"/>
      <c r="Z895" s="2"/>
      <c r="AA895" s="2"/>
      <c r="AB895" s="2"/>
      <c r="AC895" s="4"/>
    </row>
    <row r="896" spans="1:29" ht="13.5" customHeight="1">
      <c r="A896" s="2"/>
      <c r="C896" s="3"/>
      <c r="D896" s="3"/>
      <c r="E896" s="3"/>
      <c r="F896" s="3"/>
      <c r="G896" s="3"/>
      <c r="H896" s="22"/>
      <c r="I896" s="22"/>
      <c r="J896" s="22"/>
      <c r="K896" s="22"/>
      <c r="L896" s="27"/>
      <c r="M896" s="30"/>
      <c r="N896" s="27"/>
      <c r="O896" s="30"/>
      <c r="P896" s="27"/>
      <c r="Q896" s="30"/>
      <c r="R896" s="27"/>
      <c r="S896" s="30"/>
      <c r="W896" s="1"/>
      <c r="Y896" s="2"/>
      <c r="Z896" s="2"/>
      <c r="AA896" s="2"/>
      <c r="AB896" s="2"/>
      <c r="AC896" s="4"/>
    </row>
    <row r="897" spans="1:29" ht="13.5" customHeight="1">
      <c r="A897" s="2"/>
      <c r="C897" s="3"/>
      <c r="D897" s="3"/>
      <c r="E897" s="3"/>
      <c r="F897" s="3"/>
      <c r="G897" s="3"/>
      <c r="H897" s="22"/>
      <c r="I897" s="22"/>
      <c r="J897" s="22"/>
      <c r="K897" s="22"/>
      <c r="L897" s="27"/>
      <c r="M897" s="30"/>
      <c r="N897" s="27"/>
      <c r="O897" s="30"/>
      <c r="P897" s="27"/>
      <c r="Q897" s="30"/>
      <c r="R897" s="27"/>
      <c r="S897" s="30"/>
      <c r="W897" s="1"/>
      <c r="Y897" s="2"/>
      <c r="Z897" s="2"/>
      <c r="AA897" s="2"/>
      <c r="AB897" s="2"/>
      <c r="AC897" s="4"/>
    </row>
    <row r="898" spans="1:29" ht="13.5" customHeight="1">
      <c r="A898" s="2"/>
      <c r="C898" s="3"/>
      <c r="D898" s="3"/>
      <c r="E898" s="3"/>
      <c r="F898" s="3"/>
      <c r="G898" s="3"/>
      <c r="H898" s="22"/>
      <c r="I898" s="22"/>
      <c r="J898" s="22"/>
      <c r="K898" s="22"/>
      <c r="L898" s="27"/>
      <c r="M898" s="30"/>
      <c r="N898" s="27"/>
      <c r="O898" s="30"/>
      <c r="P898" s="27"/>
      <c r="Q898" s="30"/>
      <c r="R898" s="27"/>
      <c r="S898" s="30"/>
      <c r="W898" s="1"/>
      <c r="Y898" s="2"/>
      <c r="Z898" s="2"/>
      <c r="AA898" s="2"/>
      <c r="AB898" s="2"/>
      <c r="AC898" s="4"/>
    </row>
    <row r="899" spans="1:29" ht="13.5" customHeight="1">
      <c r="A899" s="2"/>
      <c r="C899" s="3"/>
      <c r="D899" s="3"/>
      <c r="E899" s="3"/>
      <c r="F899" s="3"/>
      <c r="G899" s="3"/>
      <c r="H899" s="22"/>
      <c r="I899" s="22"/>
      <c r="J899" s="22"/>
      <c r="K899" s="22"/>
      <c r="L899" s="27"/>
      <c r="M899" s="30"/>
      <c r="N899" s="27"/>
      <c r="O899" s="30"/>
      <c r="P899" s="27"/>
      <c r="Q899" s="30"/>
      <c r="R899" s="27"/>
      <c r="S899" s="30"/>
      <c r="W899" s="1"/>
      <c r="Y899" s="2"/>
      <c r="Z899" s="2"/>
      <c r="AA899" s="2"/>
      <c r="AB899" s="2"/>
      <c r="AC899" s="4"/>
    </row>
    <row r="900" spans="1:29" ht="13.5" customHeight="1">
      <c r="A900" s="2"/>
      <c r="C900" s="3"/>
      <c r="D900" s="3"/>
      <c r="E900" s="3"/>
      <c r="F900" s="3"/>
      <c r="G900" s="3"/>
      <c r="H900" s="22"/>
      <c r="I900" s="22"/>
      <c r="J900" s="22"/>
      <c r="K900" s="22"/>
      <c r="L900" s="27"/>
      <c r="M900" s="30"/>
      <c r="N900" s="27"/>
      <c r="O900" s="30"/>
      <c r="P900" s="27"/>
      <c r="Q900" s="30"/>
      <c r="R900" s="27"/>
      <c r="S900" s="30"/>
      <c r="W900" s="1"/>
      <c r="Y900" s="2"/>
      <c r="Z900" s="2"/>
      <c r="AA900" s="2"/>
      <c r="AB900" s="2"/>
      <c r="AC900" s="4"/>
    </row>
    <row r="901" spans="1:29" ht="13.5" customHeight="1">
      <c r="A901" s="2"/>
      <c r="C901" s="3"/>
      <c r="D901" s="3"/>
      <c r="E901" s="3"/>
      <c r="F901" s="3"/>
      <c r="G901" s="3"/>
      <c r="H901" s="22"/>
      <c r="I901" s="22"/>
      <c r="J901" s="22"/>
      <c r="K901" s="22"/>
      <c r="L901" s="27"/>
      <c r="M901" s="30"/>
      <c r="N901" s="27"/>
      <c r="O901" s="30"/>
      <c r="P901" s="27"/>
      <c r="Q901" s="30"/>
      <c r="R901" s="27"/>
      <c r="S901" s="30"/>
      <c r="W901" s="1"/>
      <c r="Y901" s="2"/>
      <c r="Z901" s="2"/>
      <c r="AA901" s="2"/>
      <c r="AB901" s="2"/>
      <c r="AC901" s="4"/>
    </row>
    <row r="902" spans="1:29" ht="13.5" customHeight="1">
      <c r="A902" s="2"/>
      <c r="C902" s="3"/>
      <c r="D902" s="3"/>
      <c r="E902" s="3"/>
      <c r="F902" s="3"/>
      <c r="G902" s="3"/>
      <c r="H902" s="22"/>
      <c r="I902" s="22"/>
      <c r="J902" s="22"/>
      <c r="K902" s="22"/>
      <c r="L902" s="27"/>
      <c r="M902" s="30"/>
      <c r="N902" s="27"/>
      <c r="O902" s="30"/>
      <c r="P902" s="27"/>
      <c r="Q902" s="30"/>
      <c r="R902" s="27"/>
      <c r="S902" s="30"/>
      <c r="W902" s="1"/>
      <c r="Y902" s="2"/>
      <c r="Z902" s="2"/>
      <c r="AA902" s="2"/>
      <c r="AB902" s="2"/>
      <c r="AC902" s="4"/>
    </row>
    <row r="903" spans="1:29" ht="13.5" customHeight="1">
      <c r="A903" s="2"/>
      <c r="C903" s="3"/>
      <c r="D903" s="3"/>
      <c r="E903" s="3"/>
      <c r="F903" s="3"/>
      <c r="G903" s="3"/>
      <c r="H903" s="22"/>
      <c r="I903" s="22"/>
      <c r="J903" s="22"/>
      <c r="K903" s="22"/>
      <c r="L903" s="27"/>
      <c r="M903" s="30"/>
      <c r="N903" s="27"/>
      <c r="O903" s="30"/>
      <c r="P903" s="27"/>
      <c r="Q903" s="30"/>
      <c r="R903" s="27"/>
      <c r="S903" s="30"/>
      <c r="W903" s="1"/>
      <c r="Y903" s="2"/>
      <c r="Z903" s="2"/>
      <c r="AA903" s="2"/>
      <c r="AB903" s="2"/>
      <c r="AC903" s="4"/>
    </row>
    <row r="904" spans="1:29" ht="13.5" customHeight="1">
      <c r="A904" s="2"/>
      <c r="C904" s="3"/>
      <c r="D904" s="3"/>
      <c r="E904" s="3"/>
      <c r="F904" s="3"/>
      <c r="G904" s="3"/>
      <c r="H904" s="22"/>
      <c r="I904" s="22"/>
      <c r="J904" s="22"/>
      <c r="K904" s="22"/>
      <c r="L904" s="27"/>
      <c r="M904" s="30"/>
      <c r="N904" s="27"/>
      <c r="O904" s="30"/>
      <c r="P904" s="27"/>
      <c r="Q904" s="30"/>
      <c r="R904" s="27"/>
      <c r="S904" s="30"/>
      <c r="W904" s="1"/>
      <c r="Y904" s="2"/>
      <c r="Z904" s="2"/>
      <c r="AA904" s="2"/>
      <c r="AB904" s="2"/>
      <c r="AC904" s="4"/>
    </row>
    <row r="905" spans="1:29" ht="13.5" customHeight="1">
      <c r="A905" s="2"/>
      <c r="C905" s="3"/>
      <c r="D905" s="3"/>
      <c r="E905" s="3"/>
      <c r="F905" s="3"/>
      <c r="G905" s="3"/>
      <c r="H905" s="22"/>
      <c r="I905" s="22"/>
      <c r="J905" s="22"/>
      <c r="K905" s="22"/>
      <c r="L905" s="27"/>
      <c r="M905" s="30"/>
      <c r="N905" s="27"/>
      <c r="O905" s="30"/>
      <c r="P905" s="27"/>
      <c r="Q905" s="30"/>
      <c r="R905" s="27"/>
      <c r="S905" s="30"/>
      <c r="W905" s="1"/>
      <c r="Y905" s="2"/>
      <c r="Z905" s="2"/>
      <c r="AA905" s="2"/>
      <c r="AB905" s="2"/>
      <c r="AC905" s="4"/>
    </row>
    <row r="906" spans="1:29" ht="13.5" customHeight="1">
      <c r="A906" s="2"/>
      <c r="C906" s="3"/>
      <c r="D906" s="3"/>
      <c r="E906" s="3"/>
      <c r="F906" s="3"/>
      <c r="G906" s="3"/>
      <c r="H906" s="22"/>
      <c r="I906" s="22"/>
      <c r="J906" s="22"/>
      <c r="K906" s="22"/>
      <c r="L906" s="27"/>
      <c r="M906" s="30"/>
      <c r="N906" s="27"/>
      <c r="O906" s="30"/>
      <c r="P906" s="27"/>
      <c r="Q906" s="30"/>
      <c r="R906" s="27"/>
      <c r="S906" s="30"/>
      <c r="W906" s="1"/>
      <c r="Y906" s="2"/>
      <c r="Z906" s="2"/>
      <c r="AA906" s="2"/>
      <c r="AB906" s="2"/>
      <c r="AC906" s="4"/>
    </row>
    <row r="907" spans="1:29" ht="13.5" customHeight="1">
      <c r="A907" s="2"/>
      <c r="C907" s="3"/>
      <c r="D907" s="3"/>
      <c r="E907" s="3"/>
      <c r="F907" s="3"/>
      <c r="G907" s="3"/>
      <c r="H907" s="22"/>
      <c r="I907" s="22"/>
      <c r="J907" s="22"/>
      <c r="K907" s="22"/>
      <c r="L907" s="27"/>
      <c r="M907" s="30"/>
      <c r="N907" s="27"/>
      <c r="O907" s="30"/>
      <c r="P907" s="27"/>
      <c r="Q907" s="30"/>
      <c r="R907" s="27"/>
      <c r="S907" s="30"/>
      <c r="W907" s="1"/>
      <c r="Y907" s="2"/>
      <c r="Z907" s="2"/>
      <c r="AA907" s="2"/>
      <c r="AB907" s="2"/>
      <c r="AC907" s="4"/>
    </row>
    <row r="908" spans="1:29" ht="13.5" customHeight="1">
      <c r="A908" s="2"/>
      <c r="C908" s="3"/>
      <c r="D908" s="3"/>
      <c r="E908" s="3"/>
      <c r="F908" s="3"/>
      <c r="G908" s="3"/>
      <c r="H908" s="22"/>
      <c r="I908" s="22"/>
      <c r="J908" s="22"/>
      <c r="K908" s="22"/>
      <c r="L908" s="27"/>
      <c r="M908" s="30"/>
      <c r="N908" s="27"/>
      <c r="O908" s="30"/>
      <c r="P908" s="27"/>
      <c r="Q908" s="30"/>
      <c r="R908" s="27"/>
      <c r="S908" s="30"/>
      <c r="W908" s="1"/>
      <c r="Y908" s="2"/>
      <c r="Z908" s="2"/>
      <c r="AA908" s="2"/>
      <c r="AB908" s="2"/>
      <c r="AC908" s="4"/>
    </row>
    <row r="909" spans="1:29" ht="13.5" customHeight="1">
      <c r="A909" s="2"/>
      <c r="C909" s="3"/>
      <c r="D909" s="3"/>
      <c r="E909" s="3"/>
      <c r="F909" s="3"/>
      <c r="G909" s="3"/>
      <c r="H909" s="22"/>
      <c r="I909" s="22"/>
      <c r="J909" s="22"/>
      <c r="K909" s="22"/>
      <c r="L909" s="27"/>
      <c r="M909" s="30"/>
      <c r="N909" s="27"/>
      <c r="O909" s="30"/>
      <c r="P909" s="27"/>
      <c r="Q909" s="30"/>
      <c r="R909" s="27"/>
      <c r="S909" s="30"/>
      <c r="W909" s="1"/>
      <c r="Y909" s="2"/>
      <c r="Z909" s="2"/>
      <c r="AA909" s="2"/>
      <c r="AB909" s="2"/>
      <c r="AC909" s="4"/>
    </row>
    <row r="910" spans="1:29" ht="13.5" customHeight="1">
      <c r="A910" s="2"/>
      <c r="C910" s="3"/>
      <c r="D910" s="3"/>
      <c r="E910" s="3"/>
      <c r="F910" s="3"/>
      <c r="G910" s="3"/>
      <c r="H910" s="22"/>
      <c r="I910" s="22"/>
      <c r="J910" s="22"/>
      <c r="K910" s="22"/>
      <c r="L910" s="27"/>
      <c r="M910" s="30"/>
      <c r="N910" s="27"/>
      <c r="O910" s="30"/>
      <c r="P910" s="27"/>
      <c r="Q910" s="30"/>
      <c r="R910" s="27"/>
      <c r="S910" s="30"/>
      <c r="W910" s="1"/>
      <c r="Y910" s="2"/>
      <c r="Z910" s="2"/>
      <c r="AA910" s="2"/>
      <c r="AB910" s="2"/>
      <c r="AC910" s="4"/>
    </row>
    <row r="911" spans="1:29" ht="13.5" customHeight="1">
      <c r="A911" s="2"/>
      <c r="C911" s="3"/>
      <c r="D911" s="3"/>
      <c r="E911" s="3"/>
      <c r="F911" s="3"/>
      <c r="G911" s="3"/>
      <c r="H911" s="22"/>
      <c r="I911" s="22"/>
      <c r="J911" s="22"/>
      <c r="K911" s="22"/>
      <c r="L911" s="27"/>
      <c r="M911" s="30"/>
      <c r="N911" s="27"/>
      <c r="O911" s="30"/>
      <c r="P911" s="27"/>
      <c r="Q911" s="30"/>
      <c r="R911" s="27"/>
      <c r="S911" s="30"/>
      <c r="W911" s="1"/>
      <c r="Y911" s="2"/>
      <c r="Z911" s="2"/>
      <c r="AA911" s="2"/>
      <c r="AB911" s="2"/>
      <c r="AC911" s="4"/>
    </row>
    <row r="912" spans="1:29" ht="13.5" customHeight="1">
      <c r="A912" s="2"/>
      <c r="C912" s="3"/>
      <c r="D912" s="3"/>
      <c r="E912" s="3"/>
      <c r="F912" s="3"/>
      <c r="G912" s="3"/>
      <c r="H912" s="22"/>
      <c r="I912" s="22"/>
      <c r="J912" s="22"/>
      <c r="K912" s="22"/>
      <c r="L912" s="27"/>
      <c r="M912" s="30"/>
      <c r="N912" s="27"/>
      <c r="O912" s="30"/>
      <c r="P912" s="27"/>
      <c r="Q912" s="30"/>
      <c r="R912" s="27"/>
      <c r="S912" s="30"/>
      <c r="W912" s="1"/>
      <c r="Y912" s="2"/>
      <c r="Z912" s="2"/>
      <c r="AA912" s="2"/>
      <c r="AB912" s="2"/>
      <c r="AC912" s="4"/>
    </row>
    <row r="913" spans="1:29" ht="13.5" customHeight="1">
      <c r="A913" s="2"/>
      <c r="C913" s="3"/>
      <c r="D913" s="3"/>
      <c r="E913" s="3"/>
      <c r="F913" s="3"/>
      <c r="G913" s="3"/>
      <c r="H913" s="22"/>
      <c r="I913" s="22"/>
      <c r="J913" s="22"/>
      <c r="K913" s="22"/>
      <c r="L913" s="27"/>
      <c r="M913" s="30"/>
      <c r="N913" s="27"/>
      <c r="O913" s="30"/>
      <c r="P913" s="27"/>
      <c r="Q913" s="30"/>
      <c r="R913" s="27"/>
      <c r="S913" s="30"/>
      <c r="W913" s="1"/>
      <c r="Y913" s="2"/>
      <c r="Z913" s="2"/>
      <c r="AA913" s="2"/>
      <c r="AB913" s="2"/>
      <c r="AC913" s="4"/>
    </row>
    <row r="914" spans="1:29" ht="13.5" customHeight="1">
      <c r="A914" s="2"/>
      <c r="C914" s="3"/>
      <c r="D914" s="3"/>
      <c r="E914" s="3"/>
      <c r="F914" s="3"/>
      <c r="G914" s="3"/>
      <c r="H914" s="22"/>
      <c r="I914" s="22"/>
      <c r="J914" s="22"/>
      <c r="K914" s="22"/>
      <c r="L914" s="27"/>
      <c r="M914" s="30"/>
      <c r="N914" s="27"/>
      <c r="O914" s="30"/>
      <c r="P914" s="27"/>
      <c r="Q914" s="30"/>
      <c r="R914" s="27"/>
      <c r="S914" s="30"/>
      <c r="W914" s="1"/>
      <c r="Y914" s="2"/>
      <c r="Z914" s="2"/>
      <c r="AA914" s="2"/>
      <c r="AB914" s="2"/>
      <c r="AC914" s="4"/>
    </row>
    <row r="915" spans="1:29" ht="13.5" customHeight="1">
      <c r="A915" s="2"/>
      <c r="C915" s="3"/>
      <c r="D915" s="3"/>
      <c r="E915" s="3"/>
      <c r="F915" s="3"/>
      <c r="G915" s="3"/>
      <c r="H915" s="22"/>
      <c r="I915" s="22"/>
      <c r="J915" s="22"/>
      <c r="K915" s="22"/>
      <c r="L915" s="27"/>
      <c r="M915" s="30"/>
      <c r="N915" s="27"/>
      <c r="O915" s="30"/>
      <c r="P915" s="27"/>
      <c r="Q915" s="30"/>
      <c r="R915" s="27"/>
      <c r="S915" s="30"/>
      <c r="W915" s="1"/>
      <c r="Y915" s="2"/>
      <c r="Z915" s="2"/>
      <c r="AA915" s="2"/>
      <c r="AB915" s="2"/>
      <c r="AC915" s="4"/>
    </row>
    <row r="916" spans="1:29" ht="13.5" customHeight="1">
      <c r="A916" s="2"/>
      <c r="C916" s="3"/>
      <c r="D916" s="3"/>
      <c r="E916" s="3"/>
      <c r="F916" s="3"/>
      <c r="G916" s="3"/>
      <c r="H916" s="22"/>
      <c r="I916" s="22"/>
      <c r="J916" s="22"/>
      <c r="K916" s="22"/>
      <c r="L916" s="27"/>
      <c r="M916" s="30"/>
      <c r="N916" s="27"/>
      <c r="O916" s="30"/>
      <c r="P916" s="27"/>
      <c r="Q916" s="30"/>
      <c r="R916" s="27"/>
      <c r="S916" s="30"/>
      <c r="W916" s="1"/>
      <c r="Y916" s="2"/>
      <c r="Z916" s="2"/>
      <c r="AA916" s="2"/>
      <c r="AB916" s="2"/>
      <c r="AC916" s="4"/>
    </row>
    <row r="917" spans="1:29" ht="13.5" customHeight="1">
      <c r="A917" s="2"/>
      <c r="C917" s="3"/>
      <c r="D917" s="3"/>
      <c r="E917" s="3"/>
      <c r="F917" s="3"/>
      <c r="G917" s="3"/>
      <c r="H917" s="22"/>
      <c r="I917" s="22"/>
      <c r="J917" s="22"/>
      <c r="K917" s="22"/>
      <c r="L917" s="27"/>
      <c r="M917" s="30"/>
      <c r="N917" s="27"/>
      <c r="O917" s="30"/>
      <c r="P917" s="27"/>
      <c r="Q917" s="30"/>
      <c r="R917" s="27"/>
      <c r="S917" s="30"/>
      <c r="W917" s="1"/>
      <c r="Y917" s="2"/>
      <c r="Z917" s="2"/>
      <c r="AA917" s="2"/>
      <c r="AB917" s="2"/>
      <c r="AC917" s="4"/>
    </row>
    <row r="918" spans="1:29" ht="13.5" customHeight="1">
      <c r="A918" s="2"/>
      <c r="C918" s="3"/>
      <c r="D918" s="3"/>
      <c r="E918" s="3"/>
      <c r="F918" s="3"/>
      <c r="G918" s="3"/>
      <c r="H918" s="22"/>
      <c r="I918" s="22"/>
      <c r="J918" s="22"/>
      <c r="K918" s="22"/>
      <c r="L918" s="27"/>
      <c r="M918" s="30"/>
      <c r="N918" s="27"/>
      <c r="O918" s="30"/>
      <c r="P918" s="27"/>
      <c r="Q918" s="30"/>
      <c r="R918" s="27"/>
      <c r="S918" s="30"/>
      <c r="W918" s="1"/>
      <c r="Y918" s="2"/>
      <c r="Z918" s="2"/>
      <c r="AA918" s="2"/>
      <c r="AB918" s="2"/>
      <c r="AC918" s="4"/>
    </row>
    <row r="919" spans="1:29" ht="13.5" customHeight="1">
      <c r="A919" s="2"/>
      <c r="C919" s="3"/>
      <c r="D919" s="3"/>
      <c r="E919" s="3"/>
      <c r="F919" s="3"/>
      <c r="G919" s="3"/>
      <c r="H919" s="22"/>
      <c r="I919" s="22"/>
      <c r="J919" s="22"/>
      <c r="K919" s="22"/>
      <c r="L919" s="27"/>
      <c r="M919" s="30"/>
      <c r="N919" s="27"/>
      <c r="O919" s="30"/>
      <c r="P919" s="27"/>
      <c r="Q919" s="30"/>
      <c r="R919" s="27"/>
      <c r="S919" s="30"/>
      <c r="W919" s="1"/>
      <c r="Y919" s="2"/>
      <c r="Z919" s="2"/>
      <c r="AA919" s="2"/>
      <c r="AB919" s="2"/>
      <c r="AC919" s="4"/>
    </row>
    <row r="920" spans="1:29" ht="13.5" customHeight="1">
      <c r="A920" s="2"/>
      <c r="C920" s="3"/>
      <c r="D920" s="3"/>
      <c r="E920" s="3"/>
      <c r="F920" s="3"/>
      <c r="G920" s="3"/>
      <c r="H920" s="22"/>
      <c r="I920" s="22"/>
      <c r="J920" s="22"/>
      <c r="K920" s="22"/>
      <c r="L920" s="27"/>
      <c r="M920" s="30"/>
      <c r="N920" s="27"/>
      <c r="O920" s="30"/>
      <c r="P920" s="27"/>
      <c r="Q920" s="30"/>
      <c r="R920" s="27"/>
      <c r="S920" s="30"/>
      <c r="W920" s="1"/>
      <c r="Y920" s="2"/>
      <c r="Z920" s="2"/>
      <c r="AA920" s="2"/>
      <c r="AB920" s="2"/>
      <c r="AC920" s="4"/>
    </row>
    <row r="921" spans="1:29" ht="13.5" customHeight="1">
      <c r="A921" s="2"/>
      <c r="C921" s="3"/>
      <c r="D921" s="3"/>
      <c r="E921" s="3"/>
      <c r="F921" s="3"/>
      <c r="G921" s="3"/>
      <c r="H921" s="22"/>
      <c r="I921" s="22"/>
      <c r="J921" s="22"/>
      <c r="K921" s="22"/>
      <c r="L921" s="27"/>
      <c r="M921" s="30"/>
      <c r="N921" s="27"/>
      <c r="O921" s="30"/>
      <c r="P921" s="27"/>
      <c r="Q921" s="30"/>
      <c r="R921" s="27"/>
      <c r="S921" s="30"/>
      <c r="W921" s="1"/>
      <c r="Y921" s="2"/>
      <c r="Z921" s="2"/>
      <c r="AA921" s="2"/>
      <c r="AB921" s="2"/>
      <c r="AC921" s="4"/>
    </row>
    <row r="922" spans="1:29" ht="13.5" customHeight="1">
      <c r="A922" s="2"/>
      <c r="C922" s="3"/>
      <c r="D922" s="3"/>
      <c r="E922" s="3"/>
      <c r="F922" s="3"/>
      <c r="G922" s="3"/>
      <c r="H922" s="22"/>
      <c r="I922" s="22"/>
      <c r="J922" s="22"/>
      <c r="K922" s="22"/>
      <c r="L922" s="27"/>
      <c r="M922" s="30"/>
      <c r="N922" s="27"/>
      <c r="O922" s="30"/>
      <c r="P922" s="27"/>
      <c r="Q922" s="30"/>
      <c r="R922" s="27"/>
      <c r="S922" s="30"/>
      <c r="W922" s="1"/>
      <c r="Y922" s="2"/>
      <c r="Z922" s="2"/>
      <c r="AA922" s="2"/>
      <c r="AB922" s="2"/>
      <c r="AC922" s="4"/>
    </row>
    <row r="923" spans="1:29" ht="13.5" customHeight="1">
      <c r="A923" s="2"/>
      <c r="C923" s="3"/>
      <c r="D923" s="3"/>
      <c r="E923" s="3"/>
      <c r="F923" s="3"/>
      <c r="G923" s="3"/>
      <c r="H923" s="22"/>
      <c r="I923" s="22"/>
      <c r="J923" s="22"/>
      <c r="K923" s="22"/>
      <c r="L923" s="27"/>
      <c r="M923" s="30"/>
      <c r="N923" s="27"/>
      <c r="O923" s="30"/>
      <c r="P923" s="27"/>
      <c r="Q923" s="30"/>
      <c r="R923" s="27"/>
      <c r="S923" s="30"/>
      <c r="W923" s="1"/>
      <c r="Y923" s="2"/>
      <c r="Z923" s="2"/>
      <c r="AA923" s="2"/>
      <c r="AB923" s="2"/>
      <c r="AC923" s="4"/>
    </row>
    <row r="924" spans="1:29" ht="13.5" customHeight="1">
      <c r="A924" s="2"/>
      <c r="C924" s="3"/>
      <c r="D924" s="3"/>
      <c r="E924" s="3"/>
      <c r="F924" s="3"/>
      <c r="G924" s="3"/>
      <c r="H924" s="22"/>
      <c r="I924" s="22"/>
      <c r="J924" s="22"/>
      <c r="K924" s="22"/>
      <c r="L924" s="27"/>
      <c r="M924" s="30"/>
      <c r="N924" s="27"/>
      <c r="O924" s="30"/>
      <c r="P924" s="27"/>
      <c r="Q924" s="30"/>
      <c r="R924" s="27"/>
      <c r="S924" s="30"/>
      <c r="W924" s="1"/>
      <c r="Y924" s="2"/>
      <c r="Z924" s="2"/>
      <c r="AA924" s="2"/>
      <c r="AB924" s="2"/>
      <c r="AC924" s="4"/>
    </row>
    <row r="925" spans="1:29" ht="13.5" customHeight="1">
      <c r="A925" s="2"/>
      <c r="C925" s="3"/>
      <c r="D925" s="3"/>
      <c r="E925" s="3"/>
      <c r="F925" s="3"/>
      <c r="G925" s="3"/>
      <c r="H925" s="22"/>
      <c r="I925" s="22"/>
      <c r="J925" s="22"/>
      <c r="K925" s="22"/>
      <c r="L925" s="27"/>
      <c r="M925" s="30"/>
      <c r="N925" s="27"/>
      <c r="O925" s="30"/>
      <c r="P925" s="27"/>
      <c r="Q925" s="30"/>
      <c r="R925" s="27"/>
      <c r="S925" s="30"/>
      <c r="W925" s="1"/>
      <c r="Y925" s="2"/>
      <c r="Z925" s="2"/>
      <c r="AA925" s="2"/>
      <c r="AB925" s="2"/>
      <c r="AC925" s="4"/>
    </row>
    <row r="926" spans="1:29" ht="13.5" customHeight="1">
      <c r="A926" s="2"/>
      <c r="C926" s="3"/>
      <c r="D926" s="3"/>
      <c r="E926" s="3"/>
      <c r="F926" s="3"/>
      <c r="G926" s="3"/>
      <c r="H926" s="22"/>
      <c r="I926" s="22"/>
      <c r="J926" s="22"/>
      <c r="K926" s="22"/>
      <c r="L926" s="27"/>
      <c r="M926" s="30"/>
      <c r="N926" s="27"/>
      <c r="O926" s="30"/>
      <c r="P926" s="27"/>
      <c r="Q926" s="30"/>
      <c r="R926" s="27"/>
      <c r="S926" s="30"/>
      <c r="W926" s="1"/>
      <c r="Y926" s="2"/>
      <c r="Z926" s="2"/>
      <c r="AA926" s="2"/>
      <c r="AB926" s="2"/>
      <c r="AC926" s="4"/>
    </row>
    <row r="927" spans="1:29" ht="13.5" customHeight="1">
      <c r="A927" s="2"/>
      <c r="C927" s="3"/>
      <c r="D927" s="3"/>
      <c r="E927" s="3"/>
      <c r="F927" s="3"/>
      <c r="G927" s="3"/>
      <c r="H927" s="22"/>
      <c r="I927" s="22"/>
      <c r="J927" s="22"/>
      <c r="K927" s="22"/>
      <c r="L927" s="27"/>
      <c r="M927" s="30"/>
      <c r="N927" s="27"/>
      <c r="O927" s="30"/>
      <c r="P927" s="27"/>
      <c r="Q927" s="30"/>
      <c r="R927" s="27"/>
      <c r="S927" s="30"/>
      <c r="W927" s="1"/>
      <c r="Y927" s="2"/>
      <c r="Z927" s="2"/>
      <c r="AA927" s="2"/>
      <c r="AB927" s="2"/>
      <c r="AC927" s="4"/>
    </row>
    <row r="928" spans="1:29" ht="13.5" customHeight="1">
      <c r="A928" s="2"/>
      <c r="C928" s="3"/>
      <c r="D928" s="3"/>
      <c r="E928" s="3"/>
      <c r="F928" s="3"/>
      <c r="G928" s="3"/>
      <c r="H928" s="22"/>
      <c r="I928" s="22"/>
      <c r="J928" s="22"/>
      <c r="K928" s="22"/>
      <c r="L928" s="27"/>
      <c r="M928" s="30"/>
      <c r="N928" s="27"/>
      <c r="O928" s="30"/>
      <c r="P928" s="27"/>
      <c r="Q928" s="30"/>
      <c r="R928" s="27"/>
      <c r="S928" s="30"/>
      <c r="W928" s="1"/>
      <c r="Y928" s="2"/>
      <c r="Z928" s="2"/>
      <c r="AA928" s="2"/>
      <c r="AB928" s="2"/>
      <c r="AC928" s="4"/>
    </row>
    <row r="929" spans="1:29" ht="13.5" customHeight="1">
      <c r="A929" s="2"/>
      <c r="C929" s="3"/>
      <c r="D929" s="3"/>
      <c r="E929" s="3"/>
      <c r="F929" s="3"/>
      <c r="G929" s="3"/>
      <c r="H929" s="22"/>
      <c r="I929" s="22"/>
      <c r="J929" s="22"/>
      <c r="K929" s="22"/>
      <c r="L929" s="27"/>
      <c r="M929" s="30"/>
      <c r="N929" s="27"/>
      <c r="O929" s="30"/>
      <c r="P929" s="27"/>
      <c r="Q929" s="30"/>
      <c r="R929" s="27"/>
      <c r="S929" s="30"/>
      <c r="W929" s="1"/>
      <c r="Y929" s="2"/>
      <c r="Z929" s="2"/>
      <c r="AA929" s="2"/>
      <c r="AB929" s="2"/>
      <c r="AC929" s="4"/>
    </row>
    <row r="930" spans="1:29" ht="13.5" customHeight="1">
      <c r="A930" s="2"/>
      <c r="C930" s="3"/>
      <c r="D930" s="3"/>
      <c r="E930" s="3"/>
      <c r="F930" s="3"/>
      <c r="G930" s="3"/>
      <c r="H930" s="22"/>
      <c r="I930" s="22"/>
      <c r="J930" s="22"/>
      <c r="K930" s="22"/>
      <c r="L930" s="27"/>
      <c r="M930" s="30"/>
      <c r="N930" s="27"/>
      <c r="O930" s="30"/>
      <c r="P930" s="27"/>
      <c r="Q930" s="30"/>
      <c r="R930" s="27"/>
      <c r="S930" s="30"/>
      <c r="W930" s="1"/>
      <c r="Y930" s="2"/>
      <c r="Z930" s="2"/>
      <c r="AA930" s="2"/>
      <c r="AB930" s="2"/>
      <c r="AC930" s="4"/>
    </row>
    <row r="931" spans="1:29" ht="13.5" customHeight="1">
      <c r="A931" s="2"/>
      <c r="C931" s="3"/>
      <c r="D931" s="3"/>
      <c r="E931" s="3"/>
      <c r="F931" s="3"/>
      <c r="G931" s="3"/>
      <c r="H931" s="22"/>
      <c r="I931" s="22"/>
      <c r="J931" s="22"/>
      <c r="K931" s="22"/>
      <c r="L931" s="27"/>
      <c r="M931" s="30"/>
      <c r="N931" s="27"/>
      <c r="O931" s="30"/>
      <c r="P931" s="27"/>
      <c r="Q931" s="30"/>
      <c r="R931" s="27"/>
      <c r="S931" s="30"/>
      <c r="W931" s="1"/>
      <c r="Y931" s="2"/>
      <c r="Z931" s="2"/>
      <c r="AA931" s="2"/>
      <c r="AB931" s="2"/>
      <c r="AC931" s="4"/>
    </row>
    <row r="932" spans="1:29" ht="13.5" customHeight="1">
      <c r="A932" s="2"/>
      <c r="C932" s="3"/>
      <c r="D932" s="3"/>
      <c r="E932" s="3"/>
      <c r="F932" s="3"/>
      <c r="G932" s="3"/>
      <c r="H932" s="22"/>
      <c r="I932" s="22"/>
      <c r="J932" s="22"/>
      <c r="K932" s="22"/>
      <c r="L932" s="27"/>
      <c r="M932" s="30"/>
      <c r="N932" s="27"/>
      <c r="O932" s="30"/>
      <c r="P932" s="27"/>
      <c r="Q932" s="30"/>
      <c r="R932" s="27"/>
      <c r="S932" s="30"/>
      <c r="W932" s="1"/>
      <c r="Y932" s="2"/>
      <c r="Z932" s="2"/>
      <c r="AA932" s="2"/>
      <c r="AB932" s="2"/>
      <c r="AC932" s="4"/>
    </row>
    <row r="933" spans="1:29" ht="13.5" customHeight="1">
      <c r="A933" s="2"/>
      <c r="C933" s="3"/>
      <c r="D933" s="3"/>
      <c r="E933" s="3"/>
      <c r="F933" s="3"/>
      <c r="G933" s="3"/>
      <c r="H933" s="22"/>
      <c r="I933" s="22"/>
      <c r="J933" s="22"/>
      <c r="K933" s="22"/>
      <c r="L933" s="27"/>
      <c r="M933" s="30"/>
      <c r="N933" s="27"/>
      <c r="O933" s="30"/>
      <c r="P933" s="27"/>
      <c r="Q933" s="30"/>
      <c r="R933" s="27"/>
      <c r="S933" s="30"/>
      <c r="W933" s="1"/>
      <c r="Y933" s="2"/>
      <c r="Z933" s="2"/>
      <c r="AA933" s="2"/>
      <c r="AB933" s="2"/>
      <c r="AC933" s="4"/>
    </row>
    <row r="934" spans="1:29" ht="13.5" customHeight="1">
      <c r="A934" s="2"/>
      <c r="C934" s="3"/>
      <c r="D934" s="3"/>
      <c r="E934" s="3"/>
      <c r="F934" s="3"/>
      <c r="G934" s="3"/>
      <c r="H934" s="22"/>
      <c r="I934" s="22"/>
      <c r="J934" s="22"/>
      <c r="K934" s="22"/>
      <c r="L934" s="27"/>
      <c r="M934" s="30"/>
      <c r="N934" s="27"/>
      <c r="O934" s="30"/>
      <c r="P934" s="27"/>
      <c r="Q934" s="30"/>
      <c r="R934" s="27"/>
      <c r="S934" s="30"/>
      <c r="W934" s="1"/>
      <c r="Y934" s="2"/>
      <c r="Z934" s="2"/>
      <c r="AA934" s="2"/>
      <c r="AB934" s="2"/>
      <c r="AC934" s="4"/>
    </row>
    <row r="935" spans="1:29" ht="13.5" customHeight="1">
      <c r="A935" s="2"/>
      <c r="C935" s="3"/>
      <c r="D935" s="3"/>
      <c r="E935" s="3"/>
      <c r="F935" s="3"/>
      <c r="G935" s="3"/>
      <c r="H935" s="22"/>
      <c r="I935" s="22"/>
      <c r="J935" s="22"/>
      <c r="K935" s="22"/>
      <c r="L935" s="27"/>
      <c r="M935" s="30"/>
      <c r="N935" s="27"/>
      <c r="O935" s="30"/>
      <c r="P935" s="27"/>
      <c r="Q935" s="30"/>
      <c r="R935" s="27"/>
      <c r="S935" s="30"/>
      <c r="W935" s="1"/>
      <c r="Y935" s="2"/>
      <c r="Z935" s="2"/>
      <c r="AA935" s="2"/>
      <c r="AB935" s="2"/>
      <c r="AC935" s="4"/>
    </row>
    <row r="936" spans="1:29" ht="13.5" customHeight="1">
      <c r="A936" s="2"/>
      <c r="C936" s="3"/>
      <c r="D936" s="3"/>
      <c r="E936" s="3"/>
      <c r="F936" s="3"/>
      <c r="G936" s="3"/>
      <c r="H936" s="22"/>
      <c r="I936" s="22"/>
      <c r="J936" s="22"/>
      <c r="K936" s="22"/>
      <c r="L936" s="27"/>
      <c r="M936" s="30"/>
      <c r="N936" s="27"/>
      <c r="O936" s="30"/>
      <c r="P936" s="27"/>
      <c r="Q936" s="30"/>
      <c r="R936" s="27"/>
      <c r="S936" s="30"/>
      <c r="W936" s="1"/>
      <c r="Y936" s="2"/>
      <c r="Z936" s="2"/>
      <c r="AA936" s="2"/>
      <c r="AB936" s="2"/>
      <c r="AC936" s="4"/>
    </row>
    <row r="937" spans="1:29" ht="13.5" customHeight="1">
      <c r="A937" s="2"/>
      <c r="C937" s="3"/>
      <c r="D937" s="3"/>
      <c r="E937" s="3"/>
      <c r="F937" s="3"/>
      <c r="G937" s="3"/>
      <c r="H937" s="22"/>
      <c r="I937" s="22"/>
      <c r="J937" s="22"/>
      <c r="K937" s="22"/>
      <c r="L937" s="27"/>
      <c r="M937" s="30"/>
      <c r="N937" s="27"/>
      <c r="O937" s="30"/>
      <c r="P937" s="27"/>
      <c r="Q937" s="30"/>
      <c r="R937" s="27"/>
      <c r="S937" s="30"/>
      <c r="W937" s="1"/>
      <c r="Y937" s="2"/>
      <c r="Z937" s="2"/>
      <c r="AA937" s="2"/>
      <c r="AB937" s="2"/>
      <c r="AC937" s="4"/>
    </row>
    <row r="938" spans="1:29" ht="13.5" customHeight="1">
      <c r="A938" s="2"/>
      <c r="C938" s="3"/>
      <c r="D938" s="3"/>
      <c r="E938" s="3"/>
      <c r="F938" s="3"/>
      <c r="G938" s="3"/>
      <c r="H938" s="22"/>
      <c r="I938" s="22"/>
      <c r="J938" s="22"/>
      <c r="K938" s="22"/>
      <c r="L938" s="27"/>
      <c r="M938" s="30"/>
      <c r="N938" s="27"/>
      <c r="O938" s="30"/>
      <c r="P938" s="27"/>
      <c r="Q938" s="30"/>
      <c r="R938" s="27"/>
      <c r="S938" s="30"/>
      <c r="W938" s="1"/>
      <c r="Y938" s="2"/>
      <c r="Z938" s="2"/>
      <c r="AA938" s="2"/>
      <c r="AB938" s="2"/>
      <c r="AC938" s="4"/>
    </row>
    <row r="939" spans="1:29" ht="13.5" customHeight="1">
      <c r="A939" s="2"/>
      <c r="C939" s="3"/>
      <c r="D939" s="3"/>
      <c r="E939" s="3"/>
      <c r="F939" s="3"/>
      <c r="G939" s="3"/>
      <c r="H939" s="22"/>
      <c r="I939" s="22"/>
      <c r="J939" s="22"/>
      <c r="K939" s="22"/>
      <c r="L939" s="27"/>
      <c r="M939" s="30"/>
      <c r="N939" s="27"/>
      <c r="O939" s="30"/>
      <c r="P939" s="27"/>
      <c r="Q939" s="30"/>
      <c r="R939" s="27"/>
      <c r="S939" s="30"/>
      <c r="W939" s="1"/>
      <c r="Y939" s="2"/>
      <c r="Z939" s="2"/>
      <c r="AA939" s="2"/>
      <c r="AB939" s="2"/>
      <c r="AC939" s="4"/>
    </row>
    <row r="940" spans="1:29" ht="13.5" customHeight="1">
      <c r="A940" s="2"/>
      <c r="C940" s="3"/>
      <c r="D940" s="3"/>
      <c r="E940" s="3"/>
      <c r="F940" s="3"/>
      <c r="G940" s="3"/>
      <c r="H940" s="22"/>
      <c r="I940" s="22"/>
      <c r="J940" s="22"/>
      <c r="K940" s="22"/>
      <c r="L940" s="27"/>
      <c r="M940" s="30"/>
      <c r="N940" s="27"/>
      <c r="O940" s="30"/>
      <c r="P940" s="27"/>
      <c r="Q940" s="30"/>
      <c r="R940" s="27"/>
      <c r="S940" s="30"/>
      <c r="W940" s="1"/>
      <c r="Y940" s="2"/>
      <c r="Z940" s="2"/>
      <c r="AA940" s="2"/>
      <c r="AB940" s="2"/>
      <c r="AC940" s="4"/>
    </row>
    <row r="941" spans="1:29" ht="13.5" customHeight="1">
      <c r="A941" s="2"/>
      <c r="C941" s="3"/>
      <c r="D941" s="3"/>
      <c r="E941" s="3"/>
      <c r="F941" s="3"/>
      <c r="G941" s="3"/>
      <c r="H941" s="22"/>
      <c r="I941" s="22"/>
      <c r="J941" s="22"/>
      <c r="K941" s="22"/>
      <c r="L941" s="27"/>
      <c r="M941" s="30"/>
      <c r="N941" s="27"/>
      <c r="O941" s="30"/>
      <c r="P941" s="27"/>
      <c r="Q941" s="30"/>
      <c r="R941" s="27"/>
      <c r="S941" s="30"/>
      <c r="W941" s="1"/>
      <c r="Y941" s="2"/>
      <c r="Z941" s="2"/>
      <c r="AA941" s="2"/>
      <c r="AB941" s="2"/>
      <c r="AC941" s="4"/>
    </row>
    <row r="942" spans="1:29" ht="13.5" customHeight="1">
      <c r="A942" s="2"/>
      <c r="C942" s="3"/>
      <c r="D942" s="3"/>
      <c r="E942" s="3"/>
      <c r="F942" s="3"/>
      <c r="G942" s="3"/>
      <c r="H942" s="22"/>
      <c r="I942" s="22"/>
      <c r="J942" s="22"/>
      <c r="K942" s="22"/>
      <c r="L942" s="27"/>
      <c r="M942" s="30"/>
      <c r="N942" s="27"/>
      <c r="O942" s="30"/>
      <c r="P942" s="27"/>
      <c r="Q942" s="30"/>
      <c r="R942" s="27"/>
      <c r="S942" s="30"/>
      <c r="W942" s="1"/>
      <c r="Y942" s="2"/>
      <c r="Z942" s="2"/>
      <c r="AA942" s="2"/>
      <c r="AB942" s="2"/>
      <c r="AC942" s="4"/>
    </row>
    <row r="943" spans="1:29" ht="13.5" customHeight="1">
      <c r="A943" s="2"/>
      <c r="C943" s="3"/>
      <c r="D943" s="3"/>
      <c r="E943" s="3"/>
      <c r="F943" s="3"/>
      <c r="G943" s="3"/>
      <c r="H943" s="22"/>
      <c r="I943" s="22"/>
      <c r="J943" s="22"/>
      <c r="K943" s="22"/>
      <c r="L943" s="27"/>
      <c r="M943" s="30"/>
      <c r="N943" s="27"/>
      <c r="O943" s="30"/>
      <c r="P943" s="27"/>
      <c r="Q943" s="30"/>
      <c r="R943" s="27"/>
      <c r="S943" s="30"/>
      <c r="W943" s="1"/>
      <c r="Y943" s="2"/>
      <c r="Z943" s="2"/>
      <c r="AA943" s="2"/>
      <c r="AB943" s="2"/>
      <c r="AC943" s="4"/>
    </row>
    <row r="944" spans="1:29" ht="13.5" customHeight="1">
      <c r="A944" s="2"/>
      <c r="C944" s="3"/>
      <c r="D944" s="3"/>
      <c r="E944" s="3"/>
      <c r="F944" s="3"/>
      <c r="G944" s="3"/>
      <c r="H944" s="22"/>
      <c r="I944" s="22"/>
      <c r="J944" s="22"/>
      <c r="K944" s="22"/>
      <c r="L944" s="27"/>
      <c r="M944" s="30"/>
      <c r="N944" s="27"/>
      <c r="O944" s="30"/>
      <c r="P944" s="27"/>
      <c r="Q944" s="30"/>
      <c r="R944" s="27"/>
      <c r="S944" s="30"/>
      <c r="W944" s="1"/>
      <c r="Y944" s="2"/>
      <c r="Z944" s="2"/>
      <c r="AA944" s="2"/>
      <c r="AB944" s="2"/>
      <c r="AC944" s="4"/>
    </row>
    <row r="945" spans="1:29" ht="13.5" customHeight="1">
      <c r="A945" s="2"/>
      <c r="C945" s="3"/>
      <c r="D945" s="3"/>
      <c r="E945" s="3"/>
      <c r="F945" s="3"/>
      <c r="G945" s="3"/>
      <c r="H945" s="22"/>
      <c r="I945" s="22"/>
      <c r="J945" s="22"/>
      <c r="K945" s="22"/>
      <c r="L945" s="27"/>
      <c r="M945" s="30"/>
      <c r="N945" s="27"/>
      <c r="O945" s="30"/>
      <c r="P945" s="27"/>
      <c r="Q945" s="30"/>
      <c r="R945" s="27"/>
      <c r="S945" s="30"/>
      <c r="W945" s="1"/>
      <c r="Y945" s="2"/>
      <c r="Z945" s="2"/>
      <c r="AA945" s="2"/>
      <c r="AB945" s="2"/>
      <c r="AC945" s="4"/>
    </row>
    <row r="946" spans="1:29" ht="13.5" customHeight="1">
      <c r="A946" s="2"/>
      <c r="C946" s="3"/>
      <c r="D946" s="3"/>
      <c r="E946" s="3"/>
      <c r="F946" s="3"/>
      <c r="G946" s="3"/>
      <c r="H946" s="22"/>
      <c r="I946" s="22"/>
      <c r="J946" s="22"/>
      <c r="K946" s="22"/>
      <c r="L946" s="27"/>
      <c r="M946" s="30"/>
      <c r="N946" s="27"/>
      <c r="O946" s="30"/>
      <c r="P946" s="27"/>
      <c r="Q946" s="30"/>
      <c r="R946" s="27"/>
      <c r="S946" s="30"/>
      <c r="W946" s="1"/>
      <c r="Y946" s="2"/>
      <c r="Z946" s="2"/>
      <c r="AA946" s="2"/>
      <c r="AB946" s="2"/>
      <c r="AC946" s="4"/>
    </row>
    <row r="947" spans="1:29" ht="13.5" customHeight="1">
      <c r="A947" s="2"/>
      <c r="C947" s="3"/>
      <c r="D947" s="3"/>
      <c r="E947" s="3"/>
      <c r="F947" s="3"/>
      <c r="G947" s="3"/>
      <c r="H947" s="22"/>
      <c r="I947" s="22"/>
      <c r="J947" s="22"/>
      <c r="K947" s="22"/>
      <c r="L947" s="27"/>
      <c r="M947" s="30"/>
      <c r="N947" s="27"/>
      <c r="O947" s="30"/>
      <c r="P947" s="27"/>
      <c r="Q947" s="30"/>
      <c r="R947" s="27"/>
      <c r="S947" s="30"/>
      <c r="W947" s="1"/>
      <c r="Y947" s="2"/>
      <c r="Z947" s="2"/>
      <c r="AA947" s="2"/>
      <c r="AB947" s="2"/>
      <c r="AC947" s="4"/>
    </row>
    <row r="948" spans="1:29" ht="13.5" customHeight="1">
      <c r="A948" s="2"/>
      <c r="C948" s="3"/>
      <c r="D948" s="3"/>
      <c r="E948" s="3"/>
      <c r="F948" s="3"/>
      <c r="G948" s="3"/>
      <c r="H948" s="22"/>
      <c r="I948" s="22"/>
      <c r="J948" s="22"/>
      <c r="K948" s="22"/>
      <c r="L948" s="27"/>
      <c r="M948" s="30"/>
      <c r="N948" s="27"/>
      <c r="O948" s="30"/>
      <c r="P948" s="27"/>
      <c r="Q948" s="30"/>
      <c r="R948" s="27"/>
      <c r="S948" s="30"/>
      <c r="W948" s="1"/>
      <c r="Y948" s="2"/>
      <c r="Z948" s="2"/>
      <c r="AA948" s="2"/>
      <c r="AB948" s="2"/>
      <c r="AC948" s="4"/>
    </row>
    <row r="949" spans="1:29" ht="13.5" customHeight="1">
      <c r="A949" s="2"/>
      <c r="C949" s="3"/>
      <c r="D949" s="3"/>
      <c r="E949" s="3"/>
      <c r="F949" s="3"/>
      <c r="G949" s="3"/>
      <c r="H949" s="22"/>
      <c r="I949" s="22"/>
      <c r="J949" s="22"/>
      <c r="K949" s="22"/>
      <c r="L949" s="27"/>
      <c r="M949" s="30"/>
      <c r="N949" s="27"/>
      <c r="O949" s="30"/>
      <c r="P949" s="27"/>
      <c r="Q949" s="30"/>
      <c r="R949" s="27"/>
      <c r="S949" s="30"/>
      <c r="W949" s="1"/>
      <c r="Y949" s="2"/>
      <c r="Z949" s="2"/>
      <c r="AA949" s="2"/>
      <c r="AB949" s="2"/>
      <c r="AC949" s="4"/>
    </row>
    <row r="950" spans="1:29" ht="13.5" customHeight="1">
      <c r="A950" s="2"/>
      <c r="C950" s="3"/>
      <c r="D950" s="3"/>
      <c r="E950" s="3"/>
      <c r="F950" s="3"/>
      <c r="G950" s="3"/>
      <c r="H950" s="22"/>
      <c r="I950" s="22"/>
      <c r="J950" s="22"/>
      <c r="K950" s="22"/>
      <c r="L950" s="27"/>
      <c r="M950" s="30"/>
      <c r="N950" s="27"/>
      <c r="O950" s="30"/>
      <c r="P950" s="27"/>
      <c r="Q950" s="30"/>
      <c r="R950" s="27"/>
      <c r="S950" s="30"/>
      <c r="W950" s="1"/>
      <c r="Y950" s="2"/>
      <c r="Z950" s="2"/>
      <c r="AA950" s="2"/>
      <c r="AB950" s="2"/>
      <c r="AC950" s="4"/>
    </row>
    <row r="951" spans="1:29" ht="13.5" customHeight="1">
      <c r="A951" s="2"/>
      <c r="C951" s="3"/>
      <c r="D951" s="3"/>
      <c r="E951" s="3"/>
      <c r="F951" s="3"/>
      <c r="G951" s="3"/>
      <c r="H951" s="22"/>
      <c r="I951" s="22"/>
      <c r="J951" s="22"/>
      <c r="K951" s="22"/>
      <c r="L951" s="27"/>
      <c r="M951" s="30"/>
      <c r="N951" s="27"/>
      <c r="O951" s="30"/>
      <c r="P951" s="27"/>
      <c r="Q951" s="30"/>
      <c r="R951" s="27"/>
      <c r="S951" s="30"/>
      <c r="W951" s="1"/>
      <c r="Y951" s="2"/>
      <c r="Z951" s="2"/>
      <c r="AA951" s="2"/>
      <c r="AB951" s="2"/>
      <c r="AC951" s="4"/>
    </row>
    <row r="952" spans="1:29" ht="13.5" customHeight="1">
      <c r="A952" s="2"/>
      <c r="C952" s="3"/>
      <c r="D952" s="3"/>
      <c r="E952" s="3"/>
      <c r="F952" s="3"/>
      <c r="G952" s="3"/>
      <c r="H952" s="22"/>
      <c r="I952" s="22"/>
      <c r="J952" s="22"/>
      <c r="K952" s="22"/>
      <c r="L952" s="27"/>
      <c r="M952" s="30"/>
      <c r="N952" s="27"/>
      <c r="O952" s="30"/>
      <c r="P952" s="27"/>
      <c r="Q952" s="30"/>
      <c r="R952" s="27"/>
      <c r="S952" s="30"/>
      <c r="W952" s="1"/>
      <c r="Y952" s="2"/>
      <c r="Z952" s="2"/>
      <c r="AA952" s="2"/>
      <c r="AB952" s="2"/>
      <c r="AC952" s="4"/>
    </row>
    <row r="953" spans="1:29" ht="13.5" customHeight="1">
      <c r="A953" s="2"/>
      <c r="C953" s="3"/>
      <c r="D953" s="3"/>
      <c r="E953" s="3"/>
      <c r="F953" s="3"/>
      <c r="G953" s="3"/>
      <c r="H953" s="22"/>
      <c r="I953" s="22"/>
      <c r="J953" s="22"/>
      <c r="K953" s="22"/>
      <c r="L953" s="27"/>
      <c r="M953" s="30"/>
      <c r="N953" s="27"/>
      <c r="O953" s="30"/>
      <c r="P953" s="27"/>
      <c r="Q953" s="30"/>
      <c r="R953" s="27"/>
      <c r="S953" s="30"/>
      <c r="W953" s="1"/>
      <c r="Y953" s="2"/>
      <c r="Z953" s="2"/>
      <c r="AA953" s="2"/>
      <c r="AB953" s="2"/>
      <c r="AC953" s="4"/>
    </row>
    <row r="954" spans="1:29" ht="13.5" customHeight="1">
      <c r="A954" s="2"/>
      <c r="C954" s="3"/>
      <c r="D954" s="3"/>
      <c r="E954" s="3"/>
      <c r="F954" s="3"/>
      <c r="G954" s="3"/>
      <c r="H954" s="22"/>
      <c r="I954" s="22"/>
      <c r="J954" s="22"/>
      <c r="K954" s="22"/>
      <c r="L954" s="27"/>
      <c r="M954" s="30"/>
      <c r="N954" s="27"/>
      <c r="O954" s="30"/>
      <c r="P954" s="27"/>
      <c r="Q954" s="30"/>
      <c r="R954" s="27"/>
      <c r="S954" s="30"/>
      <c r="W954" s="1"/>
      <c r="Y954" s="2"/>
      <c r="Z954" s="2"/>
      <c r="AA954" s="2"/>
      <c r="AB954" s="2"/>
      <c r="AC954" s="4"/>
    </row>
    <row r="955" spans="1:29" ht="13.5" customHeight="1">
      <c r="A955" s="2"/>
      <c r="C955" s="3"/>
      <c r="D955" s="3"/>
      <c r="E955" s="3"/>
      <c r="F955" s="3"/>
      <c r="G955" s="3"/>
      <c r="H955" s="22"/>
      <c r="I955" s="22"/>
      <c r="J955" s="22"/>
      <c r="K955" s="22"/>
      <c r="L955" s="27"/>
      <c r="M955" s="30"/>
      <c r="N955" s="27"/>
      <c r="O955" s="30"/>
      <c r="P955" s="27"/>
      <c r="Q955" s="30"/>
      <c r="R955" s="27"/>
      <c r="S955" s="30"/>
      <c r="W955" s="1"/>
      <c r="Y955" s="2"/>
      <c r="Z955" s="2"/>
      <c r="AA955" s="2"/>
      <c r="AB955" s="2"/>
      <c r="AC955" s="4"/>
    </row>
    <row r="956" spans="1:29" ht="13.5" customHeight="1">
      <c r="A956" s="2"/>
      <c r="C956" s="3"/>
      <c r="D956" s="3"/>
      <c r="E956" s="3"/>
      <c r="F956" s="3"/>
      <c r="G956" s="3"/>
      <c r="H956" s="22"/>
      <c r="I956" s="22"/>
      <c r="J956" s="22"/>
      <c r="K956" s="22"/>
      <c r="L956" s="27"/>
      <c r="M956" s="30"/>
      <c r="N956" s="27"/>
      <c r="O956" s="30"/>
      <c r="P956" s="27"/>
      <c r="Q956" s="30"/>
      <c r="R956" s="27"/>
      <c r="S956" s="30"/>
      <c r="W956" s="1"/>
      <c r="Y956" s="2"/>
      <c r="Z956" s="2"/>
      <c r="AA956" s="2"/>
      <c r="AB956" s="2"/>
      <c r="AC956" s="4"/>
    </row>
    <row r="957" spans="1:29" ht="13.5" customHeight="1">
      <c r="A957" s="2"/>
      <c r="C957" s="3"/>
      <c r="D957" s="3"/>
      <c r="E957" s="3"/>
      <c r="F957" s="3"/>
      <c r="G957" s="3"/>
      <c r="H957" s="22"/>
      <c r="I957" s="22"/>
      <c r="J957" s="22"/>
      <c r="K957" s="22"/>
      <c r="L957" s="27"/>
      <c r="M957" s="30"/>
      <c r="N957" s="27"/>
      <c r="O957" s="30"/>
      <c r="P957" s="27"/>
      <c r="Q957" s="30"/>
      <c r="R957" s="27"/>
      <c r="S957" s="30"/>
      <c r="W957" s="1"/>
      <c r="Y957" s="2"/>
      <c r="Z957" s="2"/>
      <c r="AA957" s="2"/>
      <c r="AB957" s="2"/>
      <c r="AC957" s="4"/>
    </row>
    <row r="958" spans="1:29" ht="13.5" customHeight="1">
      <c r="A958" s="2"/>
      <c r="C958" s="3"/>
      <c r="D958" s="3"/>
      <c r="E958" s="3"/>
      <c r="F958" s="3"/>
      <c r="G958" s="3"/>
      <c r="H958" s="22"/>
      <c r="I958" s="22"/>
      <c r="J958" s="22"/>
      <c r="K958" s="22"/>
      <c r="L958" s="27"/>
      <c r="M958" s="30"/>
      <c r="N958" s="27"/>
      <c r="O958" s="30"/>
      <c r="P958" s="27"/>
      <c r="Q958" s="30"/>
      <c r="R958" s="27"/>
      <c r="S958" s="30"/>
      <c r="W958" s="1"/>
      <c r="Y958" s="2"/>
      <c r="Z958" s="2"/>
      <c r="AA958" s="2"/>
      <c r="AB958" s="2"/>
      <c r="AC958" s="4"/>
    </row>
    <row r="959" spans="1:29" ht="13.5" customHeight="1">
      <c r="A959" s="2"/>
      <c r="C959" s="3"/>
      <c r="D959" s="3"/>
      <c r="E959" s="3"/>
      <c r="F959" s="3"/>
      <c r="G959" s="3"/>
      <c r="H959" s="22"/>
      <c r="I959" s="22"/>
      <c r="J959" s="22"/>
      <c r="K959" s="22"/>
      <c r="L959" s="27"/>
      <c r="M959" s="30"/>
      <c r="N959" s="27"/>
      <c r="O959" s="30"/>
      <c r="P959" s="27"/>
      <c r="Q959" s="30"/>
      <c r="R959" s="27"/>
      <c r="S959" s="30"/>
      <c r="W959" s="1"/>
      <c r="Y959" s="2"/>
      <c r="Z959" s="2"/>
      <c r="AA959" s="2"/>
      <c r="AB959" s="2"/>
      <c r="AC959" s="4"/>
    </row>
    <row r="960" spans="1:29" ht="13.5" customHeight="1">
      <c r="A960" s="2"/>
      <c r="C960" s="3"/>
      <c r="D960" s="3"/>
      <c r="E960" s="3"/>
      <c r="F960" s="3"/>
      <c r="G960" s="3"/>
      <c r="H960" s="22"/>
      <c r="I960" s="22"/>
      <c r="J960" s="22"/>
      <c r="K960" s="22"/>
      <c r="L960" s="27"/>
      <c r="M960" s="30"/>
      <c r="N960" s="27"/>
      <c r="O960" s="30"/>
      <c r="P960" s="27"/>
      <c r="Q960" s="30"/>
      <c r="R960" s="27"/>
      <c r="S960" s="30"/>
      <c r="W960" s="1"/>
      <c r="Y960" s="2"/>
      <c r="Z960" s="2"/>
      <c r="AA960" s="2"/>
      <c r="AB960" s="2"/>
      <c r="AC960" s="4"/>
    </row>
    <row r="961" spans="1:29" ht="13.5" customHeight="1">
      <c r="A961" s="2"/>
      <c r="C961" s="3"/>
      <c r="D961" s="3"/>
      <c r="E961" s="3"/>
      <c r="F961" s="3"/>
      <c r="G961" s="3"/>
      <c r="H961" s="22"/>
      <c r="I961" s="22"/>
      <c r="J961" s="22"/>
      <c r="K961" s="22"/>
      <c r="L961" s="27"/>
      <c r="M961" s="30"/>
      <c r="N961" s="27"/>
      <c r="O961" s="30"/>
      <c r="P961" s="27"/>
      <c r="Q961" s="30"/>
      <c r="R961" s="27"/>
      <c r="S961" s="30"/>
      <c r="W961" s="1"/>
      <c r="Y961" s="2"/>
      <c r="Z961" s="2"/>
      <c r="AA961" s="2"/>
      <c r="AB961" s="2"/>
      <c r="AC961" s="4"/>
    </row>
    <row r="962" spans="1:29" ht="13.5" customHeight="1">
      <c r="A962" s="2"/>
      <c r="C962" s="3"/>
      <c r="D962" s="3"/>
      <c r="E962" s="3"/>
      <c r="F962" s="3"/>
      <c r="G962" s="3"/>
      <c r="H962" s="22"/>
      <c r="I962" s="22"/>
      <c r="J962" s="22"/>
      <c r="K962" s="22"/>
      <c r="L962" s="27"/>
      <c r="M962" s="30"/>
      <c r="N962" s="27"/>
      <c r="O962" s="30"/>
      <c r="P962" s="27"/>
      <c r="Q962" s="30"/>
      <c r="R962" s="27"/>
      <c r="S962" s="30"/>
      <c r="W962" s="1"/>
      <c r="Y962" s="2"/>
      <c r="Z962" s="2"/>
      <c r="AA962" s="2"/>
      <c r="AB962" s="2"/>
      <c r="AC962" s="4"/>
    </row>
    <row r="963" spans="1:29" ht="13.5" customHeight="1">
      <c r="A963" s="2"/>
      <c r="C963" s="3"/>
      <c r="D963" s="3"/>
      <c r="E963" s="3"/>
      <c r="F963" s="3"/>
      <c r="G963" s="3"/>
      <c r="H963" s="22"/>
      <c r="I963" s="22"/>
      <c r="J963" s="22"/>
      <c r="K963" s="22"/>
      <c r="L963" s="27"/>
      <c r="M963" s="30"/>
      <c r="N963" s="27"/>
      <c r="O963" s="30"/>
      <c r="P963" s="27"/>
      <c r="Q963" s="30"/>
      <c r="R963" s="27"/>
      <c r="S963" s="30"/>
      <c r="W963" s="1"/>
      <c r="Y963" s="2"/>
      <c r="Z963" s="2"/>
      <c r="AA963" s="2"/>
      <c r="AB963" s="2"/>
      <c r="AC963" s="4"/>
    </row>
    <row r="964" spans="1:29" ht="13.5" customHeight="1">
      <c r="A964" s="2"/>
      <c r="C964" s="3"/>
      <c r="D964" s="3"/>
      <c r="E964" s="3"/>
      <c r="F964" s="3"/>
      <c r="G964" s="3"/>
      <c r="H964" s="22"/>
      <c r="I964" s="22"/>
      <c r="J964" s="22"/>
      <c r="K964" s="22"/>
      <c r="L964" s="27"/>
      <c r="M964" s="30"/>
      <c r="N964" s="27"/>
      <c r="O964" s="30"/>
      <c r="P964" s="27"/>
      <c r="Q964" s="30"/>
      <c r="R964" s="27"/>
      <c r="S964" s="30"/>
      <c r="W964" s="1"/>
      <c r="Y964" s="2"/>
      <c r="Z964" s="2"/>
      <c r="AA964" s="2"/>
      <c r="AB964" s="2"/>
      <c r="AC964" s="4"/>
    </row>
    <row r="965" spans="1:29" ht="13.5" customHeight="1">
      <c r="A965" s="2"/>
      <c r="C965" s="3"/>
      <c r="D965" s="3"/>
      <c r="E965" s="3"/>
      <c r="F965" s="3"/>
      <c r="G965" s="3"/>
      <c r="H965" s="22"/>
      <c r="I965" s="22"/>
      <c r="J965" s="22"/>
      <c r="K965" s="22"/>
      <c r="L965" s="27"/>
      <c r="M965" s="30"/>
      <c r="N965" s="27"/>
      <c r="O965" s="30"/>
      <c r="P965" s="27"/>
      <c r="Q965" s="30"/>
      <c r="R965" s="27"/>
      <c r="S965" s="30"/>
      <c r="W965" s="1"/>
      <c r="Y965" s="2"/>
      <c r="Z965" s="2"/>
      <c r="AA965" s="2"/>
      <c r="AB965" s="2"/>
      <c r="AC965" s="4"/>
    </row>
    <row r="966" spans="1:29" ht="13.5" customHeight="1">
      <c r="A966" s="2"/>
      <c r="C966" s="3"/>
      <c r="D966" s="3"/>
      <c r="E966" s="3"/>
      <c r="F966" s="3"/>
      <c r="G966" s="3"/>
      <c r="H966" s="22"/>
      <c r="I966" s="22"/>
      <c r="J966" s="22"/>
      <c r="K966" s="22"/>
      <c r="L966" s="27"/>
      <c r="M966" s="30"/>
      <c r="N966" s="27"/>
      <c r="O966" s="30"/>
      <c r="P966" s="27"/>
      <c r="Q966" s="30"/>
      <c r="R966" s="27"/>
      <c r="S966" s="30"/>
      <c r="W966" s="1"/>
      <c r="Y966" s="2"/>
      <c r="Z966" s="2"/>
      <c r="AA966" s="2"/>
      <c r="AB966" s="2"/>
      <c r="AC966" s="4"/>
    </row>
    <row r="967" spans="1:29" ht="13.5" customHeight="1">
      <c r="A967" s="2"/>
      <c r="C967" s="3"/>
      <c r="D967" s="3"/>
      <c r="E967" s="3"/>
      <c r="F967" s="3"/>
      <c r="G967" s="3"/>
      <c r="H967" s="22"/>
      <c r="I967" s="22"/>
      <c r="J967" s="22"/>
      <c r="K967" s="22"/>
      <c r="L967" s="27"/>
      <c r="M967" s="30"/>
      <c r="N967" s="27"/>
      <c r="O967" s="30"/>
      <c r="P967" s="27"/>
      <c r="Q967" s="30"/>
      <c r="R967" s="27"/>
      <c r="S967" s="30"/>
      <c r="W967" s="1"/>
      <c r="Y967" s="2"/>
      <c r="Z967" s="2"/>
      <c r="AA967" s="2"/>
      <c r="AB967" s="2"/>
      <c r="AC967" s="4"/>
    </row>
    <row r="968" spans="1:29" ht="13.5" customHeight="1">
      <c r="A968" s="2"/>
      <c r="C968" s="3"/>
      <c r="D968" s="3"/>
      <c r="E968" s="3"/>
      <c r="F968" s="3"/>
      <c r="G968" s="3"/>
      <c r="H968" s="22"/>
      <c r="I968" s="22"/>
      <c r="J968" s="22"/>
      <c r="K968" s="22"/>
      <c r="L968" s="27"/>
      <c r="M968" s="30"/>
      <c r="N968" s="27"/>
      <c r="O968" s="30"/>
      <c r="P968" s="27"/>
      <c r="Q968" s="30"/>
      <c r="R968" s="27"/>
      <c r="S968" s="30"/>
      <c r="W968" s="1"/>
      <c r="Y968" s="2"/>
      <c r="Z968" s="2"/>
      <c r="AA968" s="2"/>
      <c r="AB968" s="2"/>
      <c r="AC968" s="4"/>
    </row>
    <row r="969" spans="1:29" ht="13.5" customHeight="1">
      <c r="A969" s="2"/>
      <c r="C969" s="3"/>
      <c r="D969" s="3"/>
      <c r="E969" s="3"/>
      <c r="F969" s="3"/>
      <c r="G969" s="3"/>
      <c r="H969" s="22"/>
      <c r="I969" s="22"/>
      <c r="J969" s="22"/>
      <c r="K969" s="22"/>
      <c r="L969" s="27"/>
      <c r="M969" s="30"/>
      <c r="N969" s="27"/>
      <c r="O969" s="30"/>
      <c r="P969" s="27"/>
      <c r="Q969" s="30"/>
      <c r="R969" s="27"/>
      <c r="S969" s="30"/>
      <c r="W969" s="1"/>
      <c r="Y969" s="2"/>
      <c r="Z969" s="2"/>
      <c r="AA969" s="2"/>
      <c r="AB969" s="2"/>
      <c r="AC969" s="4"/>
    </row>
    <row r="970" spans="1:29" ht="13.5" customHeight="1">
      <c r="A970" s="2"/>
      <c r="C970" s="3"/>
      <c r="D970" s="3"/>
      <c r="E970" s="3"/>
      <c r="F970" s="3"/>
      <c r="G970" s="3"/>
      <c r="H970" s="22"/>
      <c r="I970" s="22"/>
      <c r="J970" s="22"/>
      <c r="K970" s="22"/>
      <c r="L970" s="27"/>
      <c r="M970" s="30"/>
      <c r="N970" s="27"/>
      <c r="O970" s="30"/>
      <c r="P970" s="27"/>
      <c r="Q970" s="30"/>
      <c r="R970" s="27"/>
      <c r="S970" s="30"/>
      <c r="W970" s="1"/>
      <c r="Y970" s="2"/>
      <c r="Z970" s="2"/>
      <c r="AA970" s="2"/>
      <c r="AB970" s="2"/>
      <c r="AC970" s="4"/>
    </row>
    <row r="971" spans="1:29" ht="13.5" customHeight="1">
      <c r="A971" s="2"/>
      <c r="C971" s="3"/>
      <c r="D971" s="3"/>
      <c r="E971" s="3"/>
      <c r="F971" s="3"/>
      <c r="G971" s="3"/>
      <c r="H971" s="22"/>
      <c r="I971" s="22"/>
      <c r="J971" s="22"/>
      <c r="K971" s="22"/>
      <c r="L971" s="27"/>
      <c r="M971" s="30"/>
      <c r="N971" s="27"/>
      <c r="O971" s="30"/>
      <c r="P971" s="27"/>
      <c r="Q971" s="30"/>
      <c r="R971" s="27"/>
      <c r="S971" s="30"/>
      <c r="W971" s="1"/>
      <c r="Y971" s="2"/>
      <c r="Z971" s="2"/>
      <c r="AA971" s="2"/>
      <c r="AB971" s="2"/>
      <c r="AC971" s="4"/>
    </row>
    <row r="972" spans="1:29" ht="13.5" customHeight="1">
      <c r="A972" s="2"/>
      <c r="C972" s="3"/>
      <c r="D972" s="3"/>
      <c r="E972" s="3"/>
      <c r="F972" s="3"/>
      <c r="G972" s="3"/>
      <c r="H972" s="22"/>
      <c r="I972" s="22"/>
      <c r="J972" s="22"/>
      <c r="K972" s="22"/>
      <c r="L972" s="27"/>
      <c r="M972" s="30"/>
      <c r="N972" s="27"/>
      <c r="O972" s="30"/>
      <c r="P972" s="27"/>
      <c r="Q972" s="30"/>
      <c r="R972" s="27"/>
      <c r="S972" s="30"/>
      <c r="W972" s="1"/>
      <c r="Y972" s="2"/>
      <c r="Z972" s="2"/>
      <c r="AA972" s="2"/>
      <c r="AB972" s="2"/>
      <c r="AC972" s="4"/>
    </row>
    <row r="973" spans="1:29" ht="13.5" customHeight="1">
      <c r="A973" s="2"/>
      <c r="C973" s="3"/>
      <c r="D973" s="3"/>
      <c r="E973" s="3"/>
      <c r="F973" s="3"/>
      <c r="G973" s="3"/>
      <c r="H973" s="22"/>
      <c r="I973" s="22"/>
      <c r="J973" s="22"/>
      <c r="K973" s="22"/>
      <c r="L973" s="27"/>
      <c r="M973" s="30"/>
      <c r="N973" s="27"/>
      <c r="O973" s="30"/>
      <c r="P973" s="27"/>
      <c r="Q973" s="30"/>
      <c r="R973" s="27"/>
      <c r="S973" s="30"/>
      <c r="W973" s="1"/>
      <c r="Y973" s="2"/>
      <c r="Z973" s="2"/>
      <c r="AA973" s="2"/>
      <c r="AB973" s="2"/>
      <c r="AC973" s="4"/>
    </row>
    <row r="974" spans="1:29" ht="13.5" customHeight="1">
      <c r="A974" s="2"/>
      <c r="C974" s="3"/>
      <c r="D974" s="3"/>
      <c r="E974" s="3"/>
      <c r="F974" s="3"/>
      <c r="G974" s="3"/>
      <c r="H974" s="22"/>
      <c r="I974" s="22"/>
      <c r="J974" s="22"/>
      <c r="K974" s="22"/>
      <c r="L974" s="27"/>
      <c r="M974" s="30"/>
      <c r="N974" s="27"/>
      <c r="O974" s="30"/>
      <c r="P974" s="27"/>
      <c r="Q974" s="30"/>
      <c r="R974" s="27"/>
      <c r="S974" s="30"/>
      <c r="W974" s="1"/>
      <c r="Y974" s="2"/>
      <c r="Z974" s="2"/>
      <c r="AA974" s="2"/>
      <c r="AB974" s="2"/>
      <c r="AC974" s="4"/>
    </row>
    <row r="975" spans="1:29" ht="13.5" customHeight="1">
      <c r="A975" s="2"/>
      <c r="C975" s="3"/>
      <c r="D975" s="3"/>
      <c r="E975" s="3"/>
      <c r="F975" s="3"/>
      <c r="G975" s="3"/>
      <c r="H975" s="22"/>
      <c r="I975" s="22"/>
      <c r="J975" s="22"/>
      <c r="K975" s="22"/>
      <c r="L975" s="27"/>
      <c r="M975" s="30"/>
      <c r="N975" s="27"/>
      <c r="O975" s="30"/>
      <c r="P975" s="27"/>
      <c r="Q975" s="30"/>
      <c r="R975" s="27"/>
      <c r="S975" s="30"/>
      <c r="W975" s="1"/>
      <c r="Y975" s="2"/>
      <c r="Z975" s="2"/>
      <c r="AA975" s="2"/>
      <c r="AB975" s="2"/>
      <c r="AC975" s="4"/>
    </row>
    <row r="976" spans="1:29" ht="13.5" customHeight="1">
      <c r="A976" s="2"/>
      <c r="C976" s="3"/>
      <c r="D976" s="3"/>
      <c r="E976" s="3"/>
      <c r="F976" s="3"/>
      <c r="G976" s="3"/>
      <c r="H976" s="22"/>
      <c r="I976" s="22"/>
      <c r="J976" s="22"/>
      <c r="K976" s="22"/>
      <c r="L976" s="27"/>
      <c r="M976" s="30"/>
      <c r="N976" s="27"/>
      <c r="O976" s="30"/>
      <c r="P976" s="27"/>
      <c r="Q976" s="30"/>
      <c r="R976" s="27"/>
      <c r="S976" s="30"/>
      <c r="W976" s="1"/>
      <c r="Y976" s="2"/>
      <c r="Z976" s="2"/>
      <c r="AA976" s="2"/>
      <c r="AB976" s="2"/>
      <c r="AC976" s="4"/>
    </row>
    <row r="977" spans="1:29" ht="13.5" customHeight="1">
      <c r="A977" s="2"/>
      <c r="C977" s="3"/>
      <c r="D977" s="3"/>
      <c r="E977" s="3"/>
      <c r="F977" s="3"/>
      <c r="G977" s="3"/>
      <c r="H977" s="22"/>
      <c r="I977" s="22"/>
      <c r="J977" s="22"/>
      <c r="K977" s="22"/>
      <c r="L977" s="27"/>
      <c r="M977" s="30"/>
      <c r="N977" s="27"/>
      <c r="O977" s="30"/>
      <c r="P977" s="27"/>
      <c r="Q977" s="30"/>
      <c r="R977" s="27"/>
      <c r="S977" s="30"/>
      <c r="W977" s="1"/>
      <c r="Y977" s="2"/>
      <c r="Z977" s="2"/>
      <c r="AA977" s="2"/>
      <c r="AB977" s="2"/>
      <c r="AC977" s="4"/>
    </row>
    <row r="978" spans="1:29" ht="13.5" customHeight="1">
      <c r="A978" s="2"/>
      <c r="C978" s="3"/>
      <c r="D978" s="3"/>
      <c r="E978" s="3"/>
      <c r="F978" s="3"/>
      <c r="G978" s="3"/>
      <c r="H978" s="22"/>
      <c r="I978" s="22"/>
      <c r="J978" s="22"/>
      <c r="K978" s="22"/>
      <c r="L978" s="27"/>
      <c r="M978" s="30"/>
      <c r="N978" s="27"/>
      <c r="O978" s="30"/>
      <c r="P978" s="27"/>
      <c r="Q978" s="30"/>
      <c r="R978" s="27"/>
      <c r="S978" s="30"/>
      <c r="W978" s="1"/>
      <c r="Y978" s="2"/>
      <c r="Z978" s="2"/>
      <c r="AA978" s="2"/>
      <c r="AB978" s="2"/>
      <c r="AC978" s="4"/>
    </row>
    <row r="979" spans="1:29" ht="13.5" customHeight="1">
      <c r="A979" s="2"/>
      <c r="C979" s="3"/>
      <c r="D979" s="3"/>
      <c r="E979" s="3"/>
      <c r="F979" s="3"/>
      <c r="G979" s="3"/>
      <c r="H979" s="22"/>
      <c r="I979" s="22"/>
      <c r="J979" s="22"/>
      <c r="K979" s="22"/>
      <c r="L979" s="27"/>
      <c r="M979" s="30"/>
      <c r="N979" s="27"/>
      <c r="O979" s="30"/>
      <c r="P979" s="27"/>
      <c r="Q979" s="30"/>
      <c r="R979" s="27"/>
      <c r="S979" s="30"/>
      <c r="W979" s="1"/>
      <c r="Y979" s="2"/>
      <c r="Z979" s="2"/>
      <c r="AA979" s="2"/>
      <c r="AB979" s="2"/>
      <c r="AC979" s="4"/>
    </row>
    <row r="980" spans="1:29" ht="13.5" customHeight="1">
      <c r="A980" s="2"/>
      <c r="C980" s="3"/>
      <c r="D980" s="3"/>
      <c r="E980" s="3"/>
      <c r="F980" s="3"/>
      <c r="G980" s="3"/>
      <c r="H980" s="22"/>
      <c r="I980" s="22"/>
      <c r="J980" s="22"/>
      <c r="K980" s="22"/>
      <c r="L980" s="27"/>
      <c r="M980" s="30"/>
      <c r="N980" s="27"/>
      <c r="O980" s="30"/>
      <c r="P980" s="27"/>
      <c r="Q980" s="30"/>
      <c r="R980" s="27"/>
      <c r="S980" s="30"/>
      <c r="W980" s="1"/>
      <c r="Y980" s="2"/>
      <c r="Z980" s="2"/>
      <c r="AA980" s="2"/>
      <c r="AB980" s="2"/>
      <c r="AC980" s="4"/>
    </row>
    <row r="981" spans="1:29" ht="13.5" customHeight="1">
      <c r="A981" s="2"/>
      <c r="C981" s="3"/>
      <c r="D981" s="3"/>
      <c r="E981" s="3"/>
      <c r="F981" s="3"/>
      <c r="G981" s="3"/>
      <c r="H981" s="22"/>
      <c r="I981" s="22"/>
      <c r="J981" s="22"/>
      <c r="K981" s="22"/>
      <c r="L981" s="27"/>
      <c r="M981" s="30"/>
      <c r="N981" s="27"/>
      <c r="O981" s="30"/>
      <c r="P981" s="27"/>
      <c r="Q981" s="30"/>
      <c r="R981" s="27"/>
      <c r="S981" s="30"/>
      <c r="W981" s="1"/>
      <c r="Y981" s="2"/>
      <c r="Z981" s="2"/>
      <c r="AA981" s="2"/>
      <c r="AB981" s="2"/>
      <c r="AC981" s="4"/>
    </row>
    <row r="982" spans="1:29" ht="13.5" customHeight="1">
      <c r="A982" s="2"/>
      <c r="C982" s="3"/>
      <c r="D982" s="3"/>
      <c r="E982" s="3"/>
      <c r="F982" s="3"/>
      <c r="G982" s="3"/>
      <c r="H982" s="22"/>
      <c r="I982" s="22"/>
      <c r="J982" s="22"/>
      <c r="K982" s="22"/>
      <c r="L982" s="27"/>
      <c r="M982" s="30"/>
      <c r="N982" s="27"/>
      <c r="O982" s="30"/>
      <c r="P982" s="27"/>
      <c r="Q982" s="30"/>
      <c r="R982" s="27"/>
      <c r="S982" s="30"/>
      <c r="W982" s="1"/>
      <c r="Y982" s="2"/>
      <c r="Z982" s="2"/>
      <c r="AA982" s="2"/>
      <c r="AB982" s="2"/>
      <c r="AC982" s="4"/>
    </row>
    <row r="983" spans="1:29" ht="13.5" customHeight="1">
      <c r="A983" s="2"/>
      <c r="C983" s="3"/>
      <c r="D983" s="3"/>
      <c r="E983" s="3"/>
      <c r="F983" s="3"/>
      <c r="G983" s="3"/>
      <c r="H983" s="22"/>
      <c r="I983" s="22"/>
      <c r="J983" s="22"/>
      <c r="K983" s="22"/>
      <c r="L983" s="27"/>
      <c r="M983" s="30"/>
      <c r="N983" s="27"/>
      <c r="O983" s="30"/>
      <c r="P983" s="27"/>
      <c r="Q983" s="30"/>
      <c r="R983" s="27"/>
      <c r="S983" s="30"/>
      <c r="W983" s="1"/>
      <c r="Y983" s="2"/>
      <c r="Z983" s="2"/>
      <c r="AA983" s="2"/>
      <c r="AB983" s="2"/>
      <c r="AC983" s="4"/>
    </row>
    <row r="984" spans="1:29" ht="13.5" customHeight="1">
      <c r="A984" s="2"/>
      <c r="C984" s="3"/>
      <c r="D984" s="3"/>
      <c r="E984" s="3"/>
      <c r="F984" s="3"/>
      <c r="G984" s="3"/>
      <c r="H984" s="22"/>
      <c r="I984" s="22"/>
      <c r="J984" s="22"/>
      <c r="K984" s="22"/>
      <c r="L984" s="27"/>
      <c r="M984" s="30"/>
      <c r="N984" s="27"/>
      <c r="O984" s="30"/>
      <c r="P984" s="27"/>
      <c r="Q984" s="30"/>
      <c r="R984" s="27"/>
      <c r="S984" s="30"/>
      <c r="W984" s="1"/>
      <c r="Y984" s="2"/>
      <c r="Z984" s="2"/>
      <c r="AA984" s="2"/>
      <c r="AB984" s="2"/>
      <c r="AC984" s="4"/>
    </row>
    <row r="985" spans="1:29" ht="13.5" customHeight="1">
      <c r="A985" s="2"/>
      <c r="C985" s="3"/>
      <c r="D985" s="3"/>
      <c r="E985" s="3"/>
      <c r="F985" s="3"/>
      <c r="G985" s="3"/>
      <c r="H985" s="22"/>
      <c r="I985" s="22"/>
      <c r="J985" s="22"/>
      <c r="K985" s="22"/>
      <c r="L985" s="27"/>
      <c r="M985" s="30"/>
      <c r="N985" s="27"/>
      <c r="O985" s="30"/>
      <c r="P985" s="27"/>
      <c r="Q985" s="30"/>
      <c r="R985" s="27"/>
      <c r="S985" s="30"/>
      <c r="W985" s="1"/>
      <c r="Y985" s="2"/>
      <c r="Z985" s="2"/>
      <c r="AA985" s="2"/>
      <c r="AB985" s="2"/>
      <c r="AC985" s="4"/>
    </row>
    <row r="986" spans="1:29" ht="13.5" customHeight="1">
      <c r="A986" s="2"/>
      <c r="C986" s="3"/>
      <c r="D986" s="3"/>
      <c r="E986" s="3"/>
      <c r="F986" s="3"/>
      <c r="G986" s="3"/>
      <c r="H986" s="22"/>
      <c r="I986" s="22"/>
      <c r="J986" s="22"/>
      <c r="K986" s="22"/>
      <c r="L986" s="27"/>
      <c r="M986" s="30"/>
      <c r="N986" s="27"/>
      <c r="O986" s="30"/>
      <c r="P986" s="27"/>
      <c r="Q986" s="30"/>
      <c r="R986" s="27"/>
      <c r="S986" s="30"/>
      <c r="W986" s="1"/>
      <c r="Y986" s="2"/>
      <c r="Z986" s="2"/>
      <c r="AA986" s="2"/>
      <c r="AB986" s="2"/>
      <c r="AC986" s="4"/>
    </row>
    <row r="987" spans="1:29" ht="13.5" customHeight="1">
      <c r="A987" s="2"/>
      <c r="C987" s="3"/>
      <c r="D987" s="3"/>
      <c r="E987" s="3"/>
      <c r="F987" s="3"/>
      <c r="G987" s="3"/>
      <c r="H987" s="22"/>
      <c r="I987" s="22"/>
      <c r="J987" s="22"/>
      <c r="K987" s="22"/>
      <c r="L987" s="27"/>
      <c r="M987" s="30"/>
      <c r="N987" s="27"/>
      <c r="O987" s="30"/>
      <c r="P987" s="27"/>
      <c r="Q987" s="30"/>
      <c r="R987" s="27"/>
      <c r="S987" s="30"/>
      <c r="W987" s="1"/>
      <c r="Y987" s="2"/>
      <c r="Z987" s="2"/>
      <c r="AA987" s="2"/>
      <c r="AB987" s="2"/>
      <c r="AC987" s="4"/>
    </row>
    <row r="988" spans="1:29" ht="13.5" customHeight="1">
      <c r="A988" s="2"/>
      <c r="C988" s="3"/>
      <c r="D988" s="3"/>
      <c r="E988" s="3"/>
      <c r="F988" s="3"/>
      <c r="G988" s="3"/>
      <c r="H988" s="22"/>
      <c r="I988" s="22"/>
      <c r="J988" s="22"/>
      <c r="K988" s="22"/>
      <c r="L988" s="27"/>
      <c r="M988" s="30"/>
      <c r="N988" s="27"/>
      <c r="O988" s="30"/>
      <c r="P988" s="27"/>
      <c r="Q988" s="30"/>
      <c r="R988" s="27"/>
      <c r="S988" s="30"/>
      <c r="W988" s="1"/>
      <c r="Y988" s="2"/>
      <c r="Z988" s="2"/>
      <c r="AA988" s="2"/>
      <c r="AB988" s="2"/>
      <c r="AC988" s="4"/>
    </row>
    <row r="989" spans="1:29" ht="13.5" customHeight="1">
      <c r="A989" s="2"/>
      <c r="C989" s="3"/>
      <c r="D989" s="3"/>
      <c r="E989" s="3"/>
      <c r="F989" s="3"/>
      <c r="G989" s="3"/>
      <c r="H989" s="22"/>
      <c r="I989" s="22"/>
      <c r="J989" s="22"/>
      <c r="K989" s="22"/>
      <c r="L989" s="27"/>
      <c r="M989" s="30"/>
      <c r="N989" s="27"/>
      <c r="O989" s="30"/>
      <c r="P989" s="27"/>
      <c r="Q989" s="30"/>
      <c r="R989" s="27"/>
      <c r="S989" s="30"/>
      <c r="W989" s="1"/>
      <c r="Y989" s="2"/>
      <c r="Z989" s="2"/>
      <c r="AA989" s="2"/>
      <c r="AB989" s="2"/>
      <c r="AC989" s="4"/>
    </row>
    <row r="990" spans="1:29" ht="13.5" customHeight="1">
      <c r="A990" s="2"/>
      <c r="C990" s="3"/>
      <c r="D990" s="3"/>
      <c r="E990" s="3"/>
      <c r="F990" s="3"/>
      <c r="G990" s="3"/>
      <c r="H990" s="22"/>
      <c r="I990" s="22"/>
      <c r="J990" s="22"/>
      <c r="K990" s="22"/>
      <c r="L990" s="27"/>
      <c r="M990" s="30"/>
      <c r="N990" s="27"/>
      <c r="O990" s="30"/>
      <c r="P990" s="27"/>
      <c r="Q990" s="30"/>
      <c r="R990" s="27"/>
      <c r="S990" s="30"/>
      <c r="W990" s="1"/>
      <c r="Y990" s="2"/>
      <c r="Z990" s="2"/>
      <c r="AA990" s="2"/>
      <c r="AB990" s="2"/>
      <c r="AC990" s="4"/>
    </row>
    <row r="991" spans="1:29" ht="13.5" customHeight="1">
      <c r="A991" s="2"/>
      <c r="C991" s="3"/>
      <c r="D991" s="3"/>
      <c r="E991" s="3"/>
      <c r="F991" s="3"/>
      <c r="G991" s="3"/>
      <c r="H991" s="22"/>
      <c r="I991" s="22"/>
      <c r="J991" s="22"/>
      <c r="K991" s="22"/>
      <c r="L991" s="27"/>
      <c r="M991" s="30"/>
      <c r="N991" s="27"/>
      <c r="O991" s="30"/>
      <c r="P991" s="27"/>
      <c r="Q991" s="30"/>
      <c r="R991" s="27"/>
      <c r="S991" s="30"/>
      <c r="W991" s="1"/>
      <c r="Y991" s="2"/>
      <c r="Z991" s="2"/>
      <c r="AA991" s="2"/>
      <c r="AB991" s="2"/>
      <c r="AC991" s="4"/>
    </row>
    <row r="992" spans="1:29" ht="13.5" customHeight="1">
      <c r="A992" s="2"/>
      <c r="C992" s="3"/>
      <c r="D992" s="3"/>
      <c r="E992" s="3"/>
      <c r="F992" s="3"/>
      <c r="G992" s="3"/>
      <c r="H992" s="22"/>
      <c r="I992" s="22"/>
      <c r="J992" s="22"/>
      <c r="K992" s="22"/>
      <c r="L992" s="27"/>
      <c r="M992" s="30"/>
      <c r="N992" s="27"/>
      <c r="O992" s="30"/>
      <c r="P992" s="27"/>
      <c r="Q992" s="30"/>
      <c r="R992" s="27"/>
      <c r="S992" s="30"/>
      <c r="W992" s="1"/>
      <c r="Y992" s="2"/>
      <c r="Z992" s="2"/>
      <c r="AA992" s="2"/>
      <c r="AB992" s="2"/>
      <c r="AC992" s="4"/>
    </row>
    <row r="993" spans="1:29" ht="13.5" customHeight="1">
      <c r="A993" s="2"/>
      <c r="C993" s="3"/>
      <c r="D993" s="3"/>
      <c r="E993" s="3"/>
      <c r="F993" s="3"/>
      <c r="G993" s="3"/>
      <c r="H993" s="22"/>
      <c r="I993" s="22"/>
      <c r="J993" s="22"/>
      <c r="K993" s="22"/>
      <c r="L993" s="27"/>
      <c r="M993" s="30"/>
      <c r="N993" s="27"/>
      <c r="O993" s="30"/>
      <c r="P993" s="27"/>
      <c r="Q993" s="30"/>
      <c r="R993" s="27"/>
      <c r="S993" s="30"/>
      <c r="W993" s="1"/>
      <c r="Y993" s="2"/>
      <c r="Z993" s="2"/>
      <c r="AA993" s="2"/>
      <c r="AB993" s="2"/>
      <c r="AC993" s="4"/>
    </row>
    <row r="994" spans="1:29" ht="13.5" customHeight="1">
      <c r="A994" s="2"/>
      <c r="C994" s="3"/>
      <c r="D994" s="3"/>
      <c r="E994" s="3"/>
      <c r="F994" s="3"/>
      <c r="G994" s="3"/>
      <c r="H994" s="22"/>
      <c r="I994" s="22"/>
      <c r="J994" s="22"/>
      <c r="K994" s="22"/>
      <c r="L994" s="27"/>
      <c r="M994" s="30"/>
      <c r="N994" s="27"/>
      <c r="O994" s="30"/>
      <c r="P994" s="27"/>
      <c r="Q994" s="30"/>
      <c r="R994" s="27"/>
      <c r="S994" s="30"/>
      <c r="W994" s="1"/>
      <c r="Y994" s="2"/>
      <c r="Z994" s="2"/>
      <c r="AA994" s="2"/>
      <c r="AB994" s="2"/>
      <c r="AC994" s="4"/>
    </row>
    <row r="995" spans="1:29" ht="13.5" customHeight="1">
      <c r="A995" s="2"/>
      <c r="C995" s="3"/>
      <c r="D995" s="3"/>
      <c r="E995" s="3"/>
      <c r="F995" s="3"/>
      <c r="G995" s="3"/>
      <c r="H995" s="22"/>
      <c r="I995" s="22"/>
      <c r="J995" s="22"/>
      <c r="K995" s="22"/>
      <c r="L995" s="27"/>
      <c r="M995" s="30"/>
      <c r="N995" s="27"/>
      <c r="O995" s="30"/>
      <c r="P995" s="27"/>
      <c r="Q995" s="30"/>
      <c r="R995" s="27"/>
      <c r="S995" s="30"/>
      <c r="W995" s="1"/>
      <c r="Y995" s="2"/>
      <c r="Z995" s="2"/>
      <c r="AA995" s="2"/>
      <c r="AB995" s="2"/>
      <c r="AC995" s="4"/>
    </row>
    <row r="996" spans="1:29" ht="13.5" customHeight="1">
      <c r="A996" s="2"/>
      <c r="C996" s="3"/>
      <c r="D996" s="3"/>
      <c r="E996" s="3"/>
      <c r="F996" s="3"/>
      <c r="G996" s="3"/>
      <c r="H996" s="22"/>
      <c r="I996" s="22"/>
      <c r="J996" s="22"/>
      <c r="K996" s="22"/>
      <c r="L996" s="27"/>
      <c r="M996" s="30"/>
      <c r="N996" s="27"/>
      <c r="O996" s="30"/>
      <c r="P996" s="27"/>
      <c r="Q996" s="30"/>
      <c r="R996" s="27"/>
      <c r="S996" s="30"/>
      <c r="W996" s="1"/>
      <c r="Y996" s="2"/>
      <c r="Z996" s="2"/>
      <c r="AA996" s="2"/>
      <c r="AB996" s="2"/>
      <c r="AC996" s="4"/>
    </row>
    <row r="997" spans="1:29" ht="13.5" customHeight="1">
      <c r="A997" s="2"/>
      <c r="C997" s="3"/>
      <c r="D997" s="3"/>
      <c r="E997" s="3"/>
      <c r="F997" s="3"/>
      <c r="G997" s="3"/>
      <c r="H997" s="22"/>
      <c r="I997" s="22"/>
      <c r="J997" s="22"/>
      <c r="K997" s="22"/>
      <c r="L997" s="27"/>
      <c r="M997" s="30"/>
      <c r="N997" s="27"/>
      <c r="O997" s="30"/>
      <c r="P997" s="27"/>
      <c r="Q997" s="30"/>
      <c r="R997" s="27"/>
      <c r="S997" s="30"/>
      <c r="W997" s="1"/>
      <c r="Y997" s="2"/>
      <c r="Z997" s="2"/>
      <c r="AA997" s="2"/>
      <c r="AB997" s="2"/>
      <c r="AC997" s="4"/>
    </row>
    <row r="998" spans="1:29" ht="13.5" customHeight="1">
      <c r="A998" s="2"/>
      <c r="C998" s="3"/>
      <c r="D998" s="3"/>
      <c r="E998" s="3"/>
      <c r="F998" s="3"/>
      <c r="G998" s="3"/>
      <c r="H998" s="22"/>
      <c r="I998" s="22"/>
      <c r="J998" s="22"/>
      <c r="K998" s="22"/>
      <c r="L998" s="27"/>
      <c r="M998" s="30"/>
      <c r="N998" s="27"/>
      <c r="O998" s="30"/>
      <c r="P998" s="27"/>
      <c r="Q998" s="30"/>
      <c r="R998" s="27"/>
      <c r="S998" s="30"/>
      <c r="W998" s="1"/>
      <c r="Y998" s="2"/>
      <c r="Z998" s="2"/>
      <c r="AA998" s="2"/>
      <c r="AB998" s="2"/>
      <c r="AC998" s="4"/>
    </row>
  </sheetData>
  <phoneticPr fontId="12" type="noConversion"/>
  <dataValidations count="4">
    <dataValidation type="decimal" operator="greaterThanOrEqual" allowBlank="1" showInputMessage="1" showErrorMessage="1" prompt="Bottom Depth (m) - Sea floor depth below sea surface._x000a_Bathymetric depth at measurement site._x000a_0 is the surface." sqref="AB2 AB6:AB998" xr:uid="{00000000-0002-0000-0000-000002000000}">
      <formula1>0</formula1>
    </dataValidation>
    <dataValidation type="decimal" allowBlank="1" showInputMessage="1" showErrorMessage="1" promptTitle="Minimum depth in (m)" prompt="The minimum depth in decimal meters._x000a_0 m is the surface._x000a_Needs to be smaller than the maximum depth_x000a__x000a_Darwin core supl. info:_x000a_The lesser depth of a range of depth_x000a_below the local surface, in meters." sqref="Y2:AB2 Y3:AA5 Y71:Z71 Y6:AB70 AB71 AA165:AB165 Y72:AB164 Y165 Y166:AB998" xr:uid="{00000000-0002-0000-0000-000006000000}">
      <formula1>0</formula1>
      <formula2>9999</formula2>
    </dataValidation>
    <dataValidation type="decimal" allowBlank="1" showInputMessage="1" showErrorMessage="1" promptTitle="Decimal Longitude" prompt="Longitude in decimal degrees._x000a_East of Greenwich (0) is positive._x000a_Example: 15.0012_x000a__x000a_Darwin core supl. info:_x000a_The geographic longitude (in decimal_x000a_degrees, using the spatial reference_x000a_system given in geodeticDatum) o" sqref="Y2:AB2 Y3:AA5 AB71 Y71:Z71 Y6:AB70 AA165:AB165 W2:W998 Y72:AB164 Y165 Y166:AB998" xr:uid="{00000000-0002-0000-0000-000008000000}">
      <formula1>-180</formula1>
      <formula2>180</formula2>
    </dataValidation>
    <dataValidation type="decimal" allowBlank="1" showInputMessage="1" showErrorMessage="1" prompt="Maximum depth in (m) - The maximum depth in meters._x000a_0 m is the surface._x000a_9999 m is the bottom._x000a__x000a_Darwin core supl. info:_x000a_The greater depth of a range of depth_x000a_below the local surface, in meters." sqref="Z2:AB2 Z3:AA5 Z6:Z30 Y71 Z46:Z71 AA6:AB70 AB71 AA165:AB165 Z72:AB164 Z166:AB998" xr:uid="{00000000-0002-0000-0000-00000B000000}">
      <formula1>0</formula1>
      <formula2>9999</formula2>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InputMessage="1" showErrorMessage="1" xr:uid="{F0E040D0-88EA-2549-AEAC-503D267866A7}">
          <x14:formula1>
            <xm:f>'Drop-down_menus'!$D$2:$D$13</xm:f>
          </x14:formula1>
          <xm:sqref>D46:G51 D54:G57 D63:G66 D69:G69 D2:G30 F71:G1048576 D71:E172 D175:E175 D179:E1048576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sheetPr>
  <dimension ref="A1:AI3952"/>
  <sheetViews>
    <sheetView zoomScale="140" zoomScaleNormal="140" workbookViewId="0">
      <pane ySplit="1" topLeftCell="A2" activePane="bottomLeft" state="frozen"/>
      <selection activeCell="C1" sqref="C1"/>
      <selection pane="bottomLeft" activeCell="A19" sqref="A19:XFD19"/>
    </sheetView>
  </sheetViews>
  <sheetFormatPr baseColWidth="10" defaultColWidth="14.3984375" defaultRowHeight="15" customHeight="1"/>
  <cols>
    <col min="1" max="1" width="16" style="47" customWidth="1"/>
    <col min="2" max="3" width="9.796875" style="47" bestFit="1" customWidth="1"/>
    <col min="4" max="4" width="25.3984375" style="47" bestFit="1" customWidth="1"/>
    <col min="5" max="5" width="31.19921875" style="47" bestFit="1" customWidth="1"/>
    <col min="6" max="6" width="22.796875" style="47" bestFit="1" customWidth="1"/>
    <col min="7" max="7" width="16.19921875" style="47" bestFit="1" customWidth="1"/>
    <col min="8" max="8" width="15.796875" style="47" bestFit="1" customWidth="1"/>
    <col min="9" max="9" width="14" style="47" bestFit="1" customWidth="1"/>
    <col min="10" max="10" width="15.19921875" style="47" bestFit="1" customWidth="1"/>
    <col min="11" max="11" width="15.19921875" style="47" customWidth="1"/>
    <col min="12" max="12" width="35" style="47" bestFit="1" customWidth="1"/>
    <col min="13" max="13" width="26.59765625" style="47" bestFit="1" customWidth="1"/>
    <col min="14" max="14" width="28.19921875" style="47" bestFit="1" customWidth="1"/>
    <col min="15" max="16" width="20.796875" style="47" customWidth="1"/>
    <col min="17" max="17" width="13.796875" style="47" customWidth="1"/>
    <col min="18" max="18" width="20.59765625" style="47" customWidth="1"/>
    <col min="19" max="19" width="20.3984375" style="47" customWidth="1"/>
    <col min="20" max="25" width="9.796875" style="47" customWidth="1"/>
    <col min="26" max="26" width="13.59765625" style="47" customWidth="1"/>
    <col min="27" max="27" width="15.796875" style="47" customWidth="1"/>
    <col min="28" max="28" width="40.796875" style="47" customWidth="1"/>
    <col min="29" max="16384" width="14.3984375" style="47"/>
  </cols>
  <sheetData>
    <row r="1" spans="1:28" ht="13.5" customHeight="1">
      <c r="A1" s="12" t="s">
        <v>145</v>
      </c>
      <c r="B1" s="12" t="s">
        <v>146</v>
      </c>
      <c r="C1" s="12" t="s">
        <v>0</v>
      </c>
      <c r="D1" s="12" t="s">
        <v>147</v>
      </c>
      <c r="E1" s="12" t="s">
        <v>148</v>
      </c>
      <c r="F1" s="12" t="s">
        <v>149</v>
      </c>
      <c r="G1" s="12" t="s">
        <v>150</v>
      </c>
      <c r="H1" s="12" t="s">
        <v>151</v>
      </c>
      <c r="I1" s="12" t="s">
        <v>152</v>
      </c>
      <c r="J1" s="12" t="s">
        <v>153</v>
      </c>
      <c r="K1" s="12"/>
      <c r="L1" s="12" t="s">
        <v>154</v>
      </c>
      <c r="M1" s="12" t="s">
        <v>155</v>
      </c>
      <c r="N1" s="12" t="s">
        <v>156</v>
      </c>
      <c r="O1" s="12" t="s">
        <v>157</v>
      </c>
      <c r="P1" s="12" t="s">
        <v>158</v>
      </c>
      <c r="Q1" s="12" t="s">
        <v>159</v>
      </c>
      <c r="R1" s="12" t="s">
        <v>160</v>
      </c>
      <c r="S1" s="12" t="s">
        <v>161</v>
      </c>
      <c r="T1" s="12" t="s">
        <v>162</v>
      </c>
      <c r="U1" s="12" t="s">
        <v>163</v>
      </c>
      <c r="V1" s="12" t="s">
        <v>164</v>
      </c>
      <c r="W1" s="12" t="s">
        <v>165</v>
      </c>
      <c r="X1" s="12" t="s">
        <v>166</v>
      </c>
      <c r="Y1" s="12" t="s">
        <v>167</v>
      </c>
      <c r="Z1" s="12" t="s">
        <v>168</v>
      </c>
      <c r="AA1" s="12" t="s">
        <v>169</v>
      </c>
      <c r="AB1" s="12" t="s">
        <v>170</v>
      </c>
    </row>
    <row r="2" spans="1:28" ht="13.5" customHeight="1">
      <c r="B2" s="47">
        <v>1</v>
      </c>
      <c r="C2" s="47" t="s">
        <v>29</v>
      </c>
      <c r="D2" s="47" t="s">
        <v>171</v>
      </c>
      <c r="E2" s="47" t="s">
        <v>1114</v>
      </c>
      <c r="H2" s="47" t="s">
        <v>30</v>
      </c>
      <c r="L2" s="15"/>
      <c r="M2" s="15" t="s">
        <v>1115</v>
      </c>
      <c r="O2" s="47" t="s">
        <v>30</v>
      </c>
      <c r="P2" s="47" t="s">
        <v>46</v>
      </c>
    </row>
    <row r="3" spans="1:28" ht="13.5" customHeight="1">
      <c r="B3" s="47">
        <v>2</v>
      </c>
      <c r="C3" s="47" t="s">
        <v>34</v>
      </c>
      <c r="D3" s="47" t="s">
        <v>172</v>
      </c>
      <c r="E3" s="47" t="s">
        <v>173</v>
      </c>
      <c r="L3" s="15"/>
      <c r="M3" s="15" t="s">
        <v>174</v>
      </c>
      <c r="N3" s="47" t="s">
        <v>175</v>
      </c>
      <c r="O3" s="47" t="s">
        <v>30</v>
      </c>
      <c r="P3" s="47" t="s">
        <v>46</v>
      </c>
    </row>
    <row r="4" spans="1:28" ht="13.5" customHeight="1">
      <c r="B4" s="47">
        <v>3</v>
      </c>
      <c r="C4" s="47" t="s">
        <v>38</v>
      </c>
      <c r="D4" s="47" t="s">
        <v>172</v>
      </c>
      <c r="E4" s="47" t="s">
        <v>173</v>
      </c>
      <c r="H4" s="47" t="s">
        <v>30</v>
      </c>
      <c r="I4" s="47" t="s">
        <v>35</v>
      </c>
      <c r="L4" s="15"/>
      <c r="M4" s="15" t="s">
        <v>174</v>
      </c>
      <c r="N4" s="47" t="s">
        <v>175</v>
      </c>
      <c r="O4" s="47" t="s">
        <v>30</v>
      </c>
      <c r="P4" s="47" t="s">
        <v>46</v>
      </c>
    </row>
    <row r="5" spans="1:28" ht="13.5" customHeight="1">
      <c r="B5" s="47">
        <v>4</v>
      </c>
      <c r="C5" s="47" t="s">
        <v>38</v>
      </c>
      <c r="D5" s="47" t="s">
        <v>172</v>
      </c>
      <c r="E5" s="47" t="s">
        <v>176</v>
      </c>
      <c r="H5" s="47" t="s">
        <v>30</v>
      </c>
      <c r="I5" s="47" t="s">
        <v>35</v>
      </c>
      <c r="L5" s="15"/>
      <c r="M5" s="15" t="s">
        <v>174</v>
      </c>
      <c r="N5" s="47" t="s">
        <v>175</v>
      </c>
      <c r="O5" s="47" t="s">
        <v>30</v>
      </c>
      <c r="P5" s="47" t="s">
        <v>46</v>
      </c>
    </row>
    <row r="6" spans="1:28" ht="13.5" customHeight="1">
      <c r="B6" s="47">
        <v>5</v>
      </c>
      <c r="C6" s="47" t="s">
        <v>40</v>
      </c>
      <c r="D6" s="47" t="s">
        <v>172</v>
      </c>
      <c r="E6" s="47" t="s">
        <v>176</v>
      </c>
      <c r="H6" s="47" t="s">
        <v>30</v>
      </c>
      <c r="I6" s="47" t="s">
        <v>35</v>
      </c>
      <c r="L6" s="15"/>
      <c r="M6" s="15" t="s">
        <v>174</v>
      </c>
      <c r="N6" s="47" t="s">
        <v>175</v>
      </c>
      <c r="O6" s="47" t="s">
        <v>30</v>
      </c>
      <c r="P6" s="47" t="s">
        <v>46</v>
      </c>
    </row>
    <row r="7" spans="1:28" ht="13.5" customHeight="1">
      <c r="B7" s="47">
        <v>6</v>
      </c>
      <c r="C7" s="47" t="s">
        <v>42</v>
      </c>
      <c r="D7" s="47" t="s">
        <v>171</v>
      </c>
      <c r="E7" s="47" t="s">
        <v>1295</v>
      </c>
      <c r="L7" s="15"/>
      <c r="M7" s="15"/>
      <c r="O7" s="47" t="s">
        <v>30</v>
      </c>
      <c r="P7" s="47" t="s">
        <v>46</v>
      </c>
    </row>
    <row r="8" spans="1:28" ht="13.5" customHeight="1">
      <c r="B8" s="47">
        <v>7</v>
      </c>
      <c r="C8" s="47" t="s">
        <v>45</v>
      </c>
      <c r="D8" s="47" t="s">
        <v>177</v>
      </c>
      <c r="E8" s="47" t="s">
        <v>178</v>
      </c>
      <c r="F8" s="47" t="s">
        <v>179</v>
      </c>
      <c r="G8" s="47">
        <v>4</v>
      </c>
      <c r="H8" s="47" t="s">
        <v>46</v>
      </c>
      <c r="I8" s="47" t="s">
        <v>47</v>
      </c>
      <c r="L8" s="15" t="s">
        <v>180</v>
      </c>
      <c r="M8" s="15" t="s">
        <v>181</v>
      </c>
      <c r="O8" s="47" t="s">
        <v>30</v>
      </c>
      <c r="P8" s="47" t="s">
        <v>46</v>
      </c>
    </row>
    <row r="9" spans="1:28" ht="13.5" customHeight="1">
      <c r="B9" s="47">
        <v>8</v>
      </c>
      <c r="C9" s="47" t="s">
        <v>45</v>
      </c>
      <c r="D9" s="47" t="s">
        <v>177</v>
      </c>
      <c r="E9" s="47" t="s">
        <v>178</v>
      </c>
      <c r="F9" s="47" t="s">
        <v>179</v>
      </c>
      <c r="G9" s="47">
        <v>500</v>
      </c>
      <c r="H9" s="47" t="s">
        <v>46</v>
      </c>
      <c r="I9" s="47" t="s">
        <v>47</v>
      </c>
      <c r="L9" s="15" t="s">
        <v>182</v>
      </c>
      <c r="M9" s="15" t="s">
        <v>183</v>
      </c>
      <c r="O9" s="47" t="s">
        <v>30</v>
      </c>
      <c r="P9" s="47" t="s">
        <v>46</v>
      </c>
    </row>
    <row r="10" spans="1:28" ht="13.5" customHeight="1">
      <c r="B10" s="47">
        <v>9</v>
      </c>
      <c r="C10" s="47" t="s">
        <v>45</v>
      </c>
      <c r="D10" s="47" t="s">
        <v>177</v>
      </c>
      <c r="E10" s="47" t="s">
        <v>178</v>
      </c>
      <c r="F10" s="47" t="s">
        <v>179</v>
      </c>
      <c r="G10" s="47">
        <v>15</v>
      </c>
      <c r="H10" s="47" t="s">
        <v>46</v>
      </c>
      <c r="I10" s="47" t="s">
        <v>47</v>
      </c>
      <c r="L10" s="15" t="s">
        <v>182</v>
      </c>
      <c r="M10" s="15" t="s">
        <v>183</v>
      </c>
      <c r="O10" s="47" t="s">
        <v>30</v>
      </c>
      <c r="P10" s="47" t="s">
        <v>46</v>
      </c>
    </row>
    <row r="11" spans="1:28" ht="13.5" customHeight="1">
      <c r="B11" s="47">
        <v>10</v>
      </c>
      <c r="C11" s="47" t="s">
        <v>45</v>
      </c>
      <c r="D11" s="47" t="s">
        <v>177</v>
      </c>
      <c r="E11" s="47" t="s">
        <v>178</v>
      </c>
      <c r="F11" s="47" t="s">
        <v>179</v>
      </c>
      <c r="G11" s="47">
        <v>250</v>
      </c>
      <c r="H11" s="47" t="s">
        <v>46</v>
      </c>
      <c r="I11" s="47" t="s">
        <v>47</v>
      </c>
      <c r="L11" s="15" t="s">
        <v>182</v>
      </c>
      <c r="M11" s="15" t="s">
        <v>183</v>
      </c>
      <c r="O11" s="47" t="s">
        <v>30</v>
      </c>
      <c r="P11" s="47" t="s">
        <v>46</v>
      </c>
    </row>
    <row r="12" spans="1:28" ht="13.5" customHeight="1">
      <c r="B12" s="47">
        <v>11</v>
      </c>
      <c r="C12" s="47" t="s">
        <v>45</v>
      </c>
      <c r="D12" s="47" t="s">
        <v>177</v>
      </c>
      <c r="E12" s="47" t="s">
        <v>178</v>
      </c>
      <c r="F12" s="47" t="s">
        <v>179</v>
      </c>
      <c r="G12" s="47">
        <v>1000</v>
      </c>
      <c r="H12" s="47" t="s">
        <v>46</v>
      </c>
      <c r="I12" s="47" t="s">
        <v>47</v>
      </c>
      <c r="L12" s="15" t="s">
        <v>182</v>
      </c>
      <c r="M12" s="15" t="s">
        <v>183</v>
      </c>
      <c r="O12" s="47" t="s">
        <v>30</v>
      </c>
      <c r="P12" s="47" t="s">
        <v>46</v>
      </c>
    </row>
    <row r="13" spans="1:28" ht="13.5" customHeight="1">
      <c r="B13" s="47">
        <v>12</v>
      </c>
      <c r="C13" s="47" t="s">
        <v>48</v>
      </c>
      <c r="D13" s="47" t="s">
        <v>177</v>
      </c>
      <c r="E13" s="47" t="s">
        <v>178</v>
      </c>
      <c r="F13" s="47" t="s">
        <v>179</v>
      </c>
      <c r="G13" s="47">
        <v>2753</v>
      </c>
      <c r="H13" s="47" t="s">
        <v>46</v>
      </c>
      <c r="L13" s="15" t="s">
        <v>182</v>
      </c>
      <c r="M13" s="15" t="s">
        <v>184</v>
      </c>
      <c r="O13" s="47" t="s">
        <v>30</v>
      </c>
      <c r="P13" s="47" t="s">
        <v>46</v>
      </c>
    </row>
    <row r="14" spans="1:28" ht="13.5" customHeight="1">
      <c r="B14" s="47">
        <v>13</v>
      </c>
      <c r="C14" s="47" t="s">
        <v>48</v>
      </c>
      <c r="D14" s="47" t="s">
        <v>177</v>
      </c>
      <c r="E14" s="47" t="s">
        <v>178</v>
      </c>
      <c r="F14" s="47" t="s">
        <v>185</v>
      </c>
      <c r="G14" s="47">
        <v>2</v>
      </c>
      <c r="H14" s="47" t="s">
        <v>46</v>
      </c>
      <c r="L14" s="15" t="s">
        <v>182</v>
      </c>
      <c r="M14" s="15" t="s">
        <v>181</v>
      </c>
      <c r="O14" s="47" t="s">
        <v>30</v>
      </c>
      <c r="P14" s="47" t="s">
        <v>46</v>
      </c>
    </row>
    <row r="15" spans="1:28" ht="13.5" customHeight="1">
      <c r="B15" s="47">
        <v>14</v>
      </c>
      <c r="C15" s="47" t="s">
        <v>48</v>
      </c>
      <c r="D15" s="47" t="s">
        <v>177</v>
      </c>
      <c r="E15" s="47" t="s">
        <v>178</v>
      </c>
      <c r="F15" s="47" t="s">
        <v>186</v>
      </c>
      <c r="G15" s="47">
        <v>1</v>
      </c>
      <c r="H15" s="47" t="s">
        <v>46</v>
      </c>
      <c r="L15" s="15" t="s">
        <v>182</v>
      </c>
      <c r="M15" s="15" t="s">
        <v>183</v>
      </c>
      <c r="O15" s="47" t="s">
        <v>30</v>
      </c>
      <c r="P15" s="47" t="s">
        <v>46</v>
      </c>
    </row>
    <row r="16" spans="1:28" ht="13.5" customHeight="1">
      <c r="B16" s="47">
        <v>15</v>
      </c>
      <c r="C16" s="47" t="s">
        <v>48</v>
      </c>
      <c r="D16" s="47" t="s">
        <v>177</v>
      </c>
      <c r="E16" s="47" t="s">
        <v>178</v>
      </c>
      <c r="F16" s="47" t="s">
        <v>187</v>
      </c>
      <c r="G16" s="47">
        <v>1</v>
      </c>
      <c r="H16" s="47" t="s">
        <v>46</v>
      </c>
      <c r="L16" s="15" t="s">
        <v>182</v>
      </c>
      <c r="M16" s="15" t="s">
        <v>188</v>
      </c>
      <c r="O16" s="47" t="s">
        <v>30</v>
      </c>
      <c r="P16" s="47" t="s">
        <v>46</v>
      </c>
    </row>
    <row r="17" spans="2:35" ht="13.5" customHeight="1">
      <c r="B17" s="47">
        <v>16</v>
      </c>
      <c r="C17" s="47" t="s">
        <v>48</v>
      </c>
      <c r="D17" s="47" t="s">
        <v>177</v>
      </c>
      <c r="E17" s="47" t="s">
        <v>178</v>
      </c>
      <c r="F17" s="47" t="s">
        <v>189</v>
      </c>
      <c r="G17" s="47">
        <v>3</v>
      </c>
      <c r="H17" s="47" t="s">
        <v>46</v>
      </c>
      <c r="L17" s="15" t="s">
        <v>182</v>
      </c>
      <c r="M17" s="47" t="s">
        <v>190</v>
      </c>
      <c r="O17" s="47" t="s">
        <v>30</v>
      </c>
      <c r="P17" s="47" t="s">
        <v>46</v>
      </c>
    </row>
    <row r="18" spans="2:35" ht="13.5" customHeight="1">
      <c r="B18" s="47">
        <v>17</v>
      </c>
      <c r="C18" s="47" t="s">
        <v>56</v>
      </c>
      <c r="D18" s="47" t="s">
        <v>177</v>
      </c>
      <c r="E18" s="47" t="s">
        <v>178</v>
      </c>
      <c r="F18" s="47" t="s">
        <v>191</v>
      </c>
      <c r="G18" s="47">
        <v>400</v>
      </c>
      <c r="H18" s="47" t="s">
        <v>46</v>
      </c>
      <c r="L18" s="15" t="s">
        <v>182</v>
      </c>
      <c r="M18" s="15" t="s">
        <v>181</v>
      </c>
      <c r="O18" s="47" t="s">
        <v>30</v>
      </c>
      <c r="P18" s="47" t="s">
        <v>46</v>
      </c>
    </row>
    <row r="19" spans="2:35" ht="13.5" customHeight="1">
      <c r="B19" s="47">
        <v>18</v>
      </c>
      <c r="C19" s="47" t="s">
        <v>854</v>
      </c>
      <c r="D19" s="47" t="s">
        <v>750</v>
      </c>
      <c r="E19" s="47" t="s">
        <v>873</v>
      </c>
      <c r="F19" s="47" t="s">
        <v>318</v>
      </c>
      <c r="H19" s="47" t="s">
        <v>30</v>
      </c>
      <c r="L19" s="15" t="s">
        <v>871</v>
      </c>
      <c r="M19" s="15" t="s">
        <v>872</v>
      </c>
      <c r="N19" s="47" t="s">
        <v>874</v>
      </c>
      <c r="O19" s="47" t="s">
        <v>30</v>
      </c>
      <c r="P19" s="47" t="s">
        <v>46</v>
      </c>
    </row>
    <row r="20" spans="2:35" ht="13.5" customHeight="1">
      <c r="B20" s="47">
        <v>19</v>
      </c>
      <c r="C20" s="47" t="s">
        <v>72</v>
      </c>
      <c r="D20" s="47" t="s">
        <v>171</v>
      </c>
      <c r="E20" s="47" t="s">
        <v>1098</v>
      </c>
      <c r="H20" s="47" t="s">
        <v>30</v>
      </c>
      <c r="L20" s="15"/>
      <c r="M20" s="15" t="s">
        <v>1115</v>
      </c>
      <c r="N20" s="47" t="s">
        <v>1116</v>
      </c>
      <c r="O20" s="47" t="s">
        <v>30</v>
      </c>
      <c r="P20" s="47" t="s">
        <v>46</v>
      </c>
    </row>
    <row r="21" spans="2:35" ht="13.5" customHeight="1">
      <c r="B21" s="47">
        <v>20</v>
      </c>
      <c r="C21" s="47" t="s">
        <v>74</v>
      </c>
      <c r="D21" s="47" t="s">
        <v>171</v>
      </c>
      <c r="E21" s="47" t="s">
        <v>1098</v>
      </c>
      <c r="H21" s="47" t="s">
        <v>30</v>
      </c>
      <c r="L21" s="15"/>
      <c r="M21" s="15" t="s">
        <v>1115</v>
      </c>
      <c r="N21" s="47" t="s">
        <v>1116</v>
      </c>
      <c r="O21" s="47" t="s">
        <v>30</v>
      </c>
      <c r="P21" s="47" t="s">
        <v>46</v>
      </c>
    </row>
    <row r="22" spans="2:35" ht="13.5" customHeight="1">
      <c r="B22" s="47">
        <v>24</v>
      </c>
      <c r="C22" s="47" t="s">
        <v>52</v>
      </c>
      <c r="D22" s="47" t="s">
        <v>177</v>
      </c>
      <c r="E22" s="47" t="s">
        <v>178</v>
      </c>
      <c r="F22" s="47" t="s">
        <v>192</v>
      </c>
      <c r="G22" s="47">
        <v>1</v>
      </c>
      <c r="H22" s="47" t="s">
        <v>47</v>
      </c>
      <c r="I22" s="47" t="s">
        <v>30</v>
      </c>
      <c r="L22" s="15" t="s">
        <v>182</v>
      </c>
      <c r="M22" s="15" t="s">
        <v>181</v>
      </c>
      <c r="N22" s="47" t="s">
        <v>193</v>
      </c>
      <c r="O22" s="47" t="s">
        <v>30</v>
      </c>
      <c r="P22" s="47" t="s">
        <v>46</v>
      </c>
    </row>
    <row r="23" spans="2:35" ht="13.5" customHeight="1">
      <c r="B23" s="47">
        <v>25</v>
      </c>
      <c r="C23" s="47" t="s">
        <v>61</v>
      </c>
      <c r="D23" s="47" t="s">
        <v>177</v>
      </c>
      <c r="E23" s="47" t="s">
        <v>194</v>
      </c>
      <c r="F23" s="47" t="s">
        <v>185</v>
      </c>
      <c r="G23" s="47">
        <v>1</v>
      </c>
      <c r="H23" s="47" t="s">
        <v>62</v>
      </c>
      <c r="L23" s="41"/>
      <c r="M23" s="41"/>
      <c r="O23" s="47" t="s">
        <v>30</v>
      </c>
      <c r="P23" s="47" t="s">
        <v>46</v>
      </c>
    </row>
    <row r="24" spans="2:35" ht="13.5" customHeight="1">
      <c r="B24">
        <v>25</v>
      </c>
      <c r="C24" t="s">
        <v>61</v>
      </c>
      <c r="D24" s="2" t="s">
        <v>177</v>
      </c>
      <c r="F24" s="47" t="s">
        <v>185</v>
      </c>
      <c r="H24" s="47" t="s">
        <v>47</v>
      </c>
      <c r="I24" s="47" t="s">
        <v>30</v>
      </c>
      <c r="J24" s="47" t="s">
        <v>35</v>
      </c>
      <c r="L24" s="47" t="s">
        <v>1133</v>
      </c>
    </row>
    <row r="25" spans="2:35" ht="13.5" customHeight="1">
      <c r="B25" s="47">
        <v>26</v>
      </c>
      <c r="C25" s="47" t="s">
        <v>61</v>
      </c>
      <c r="D25" s="47" t="s">
        <v>177</v>
      </c>
      <c r="E25" s="47" t="s">
        <v>194</v>
      </c>
      <c r="F25" s="47" t="s">
        <v>185</v>
      </c>
      <c r="G25" s="47">
        <v>1</v>
      </c>
      <c r="H25" s="47" t="s">
        <v>62</v>
      </c>
      <c r="L25" s="41"/>
      <c r="M25" s="41"/>
      <c r="O25" s="47" t="s">
        <v>30</v>
      </c>
      <c r="P25" s="47" t="s">
        <v>46</v>
      </c>
    </row>
    <row r="26" spans="2:35" ht="13.5" customHeight="1">
      <c r="B26">
        <v>26</v>
      </c>
      <c r="C26" t="s">
        <v>61</v>
      </c>
      <c r="D26" s="2" t="s">
        <v>177</v>
      </c>
      <c r="F26" s="47" t="s">
        <v>185</v>
      </c>
      <c r="H26" s="47" t="s">
        <v>47</v>
      </c>
      <c r="I26" s="47" t="s">
        <v>30</v>
      </c>
      <c r="J26" s="47" t="s">
        <v>35</v>
      </c>
    </row>
    <row r="27" spans="2:35" ht="13.5" customHeight="1">
      <c r="B27" s="47">
        <v>27</v>
      </c>
      <c r="C27" s="47" t="s">
        <v>61</v>
      </c>
      <c r="D27" s="47" t="s">
        <v>177</v>
      </c>
      <c r="E27" s="47" t="s">
        <v>194</v>
      </c>
      <c r="F27" s="47" t="s">
        <v>185</v>
      </c>
      <c r="G27" s="47">
        <v>1</v>
      </c>
      <c r="H27" s="47" t="s">
        <v>62</v>
      </c>
      <c r="L27" s="41"/>
      <c r="M27" s="41"/>
      <c r="O27" s="47" t="s">
        <v>30</v>
      </c>
      <c r="P27" s="47" t="s">
        <v>46</v>
      </c>
    </row>
    <row r="28" spans="2:35" ht="13.5" customHeight="1">
      <c r="B28">
        <v>27</v>
      </c>
      <c r="C28" t="s">
        <v>61</v>
      </c>
      <c r="D28" s="2" t="s">
        <v>177</v>
      </c>
      <c r="F28" s="47" t="s">
        <v>185</v>
      </c>
      <c r="H28" s="47" t="s">
        <v>47</v>
      </c>
      <c r="I28" s="47" t="s">
        <v>30</v>
      </c>
      <c r="J28" s="47" t="s">
        <v>35</v>
      </c>
    </row>
    <row r="29" spans="2:35" ht="13.5" customHeight="1">
      <c r="B29" s="47">
        <v>28</v>
      </c>
      <c r="C29" s="47" t="s">
        <v>61</v>
      </c>
      <c r="D29" s="47" t="s">
        <v>177</v>
      </c>
      <c r="E29" s="47" t="s">
        <v>194</v>
      </c>
      <c r="F29" s="47" t="s">
        <v>185</v>
      </c>
      <c r="G29" s="47">
        <v>1</v>
      </c>
      <c r="H29" s="47" t="s">
        <v>62</v>
      </c>
      <c r="L29" s="41"/>
      <c r="M29" s="41"/>
      <c r="O29" s="47" t="s">
        <v>30</v>
      </c>
      <c r="P29" s="47" t="s">
        <v>46</v>
      </c>
    </row>
    <row r="30" spans="2:35" ht="13.5" customHeight="1">
      <c r="B30">
        <v>28</v>
      </c>
      <c r="C30" t="s">
        <v>61</v>
      </c>
      <c r="D30" s="2" t="s">
        <v>177</v>
      </c>
      <c r="F30" s="47" t="s">
        <v>185</v>
      </c>
      <c r="H30" s="47" t="s">
        <v>47</v>
      </c>
      <c r="I30" s="47" t="s">
        <v>30</v>
      </c>
      <c r="J30" s="47" t="s">
        <v>35</v>
      </c>
    </row>
    <row r="31" spans="2:35" ht="13.5" customHeight="1">
      <c r="B31" s="47">
        <v>29</v>
      </c>
      <c r="C31" s="47" t="s">
        <v>61</v>
      </c>
      <c r="D31" s="47" t="s">
        <v>177</v>
      </c>
      <c r="E31" s="47" t="s">
        <v>194</v>
      </c>
      <c r="F31" s="47" t="s">
        <v>185</v>
      </c>
      <c r="G31" s="47">
        <v>1</v>
      </c>
      <c r="H31" s="47" t="s">
        <v>62</v>
      </c>
      <c r="L31" s="41"/>
      <c r="M31" s="41"/>
      <c r="O31" s="47" t="s">
        <v>30</v>
      </c>
      <c r="P31" s="47" t="s">
        <v>46</v>
      </c>
      <c r="AC31" s="48"/>
      <c r="AD31" s="48"/>
      <c r="AE31" s="48"/>
      <c r="AF31" s="48"/>
      <c r="AG31" s="48"/>
      <c r="AH31" s="48"/>
      <c r="AI31" s="48"/>
    </row>
    <row r="32" spans="2:35" ht="13.5" customHeight="1">
      <c r="B32">
        <v>29</v>
      </c>
      <c r="C32" t="s">
        <v>61</v>
      </c>
      <c r="D32" s="2" t="s">
        <v>177</v>
      </c>
      <c r="F32" s="47" t="s">
        <v>185</v>
      </c>
      <c r="H32" s="47" t="s">
        <v>47</v>
      </c>
      <c r="I32" s="47" t="s">
        <v>30</v>
      </c>
      <c r="J32" s="47" t="s">
        <v>35</v>
      </c>
    </row>
    <row r="33" spans="2:35" ht="13.5" customHeight="1">
      <c r="B33" s="47">
        <v>30</v>
      </c>
      <c r="C33" s="47" t="s">
        <v>61</v>
      </c>
      <c r="D33" s="47" t="s">
        <v>177</v>
      </c>
      <c r="E33" s="47" t="s">
        <v>194</v>
      </c>
      <c r="F33" s="47" t="s">
        <v>185</v>
      </c>
      <c r="G33" s="47">
        <v>1</v>
      </c>
      <c r="H33" s="47" t="s">
        <v>62</v>
      </c>
      <c r="L33" s="41"/>
      <c r="M33" s="41"/>
      <c r="O33" s="47" t="s">
        <v>30</v>
      </c>
      <c r="P33" s="47" t="s">
        <v>46</v>
      </c>
      <c r="AC33" s="48"/>
      <c r="AD33" s="48"/>
      <c r="AE33" s="48"/>
      <c r="AF33" s="48"/>
      <c r="AG33" s="48"/>
      <c r="AH33" s="48"/>
      <c r="AI33" s="48"/>
    </row>
    <row r="34" spans="2:35" ht="13.5" customHeight="1">
      <c r="B34">
        <v>30</v>
      </c>
      <c r="C34" t="s">
        <v>61</v>
      </c>
      <c r="D34" s="2" t="s">
        <v>177</v>
      </c>
      <c r="F34" s="47" t="s">
        <v>185</v>
      </c>
      <c r="H34" s="47" t="s">
        <v>47</v>
      </c>
      <c r="I34" s="47" t="s">
        <v>30</v>
      </c>
      <c r="J34" s="47" t="s">
        <v>35</v>
      </c>
    </row>
    <row r="35" spans="2:35" ht="13.5" customHeight="1">
      <c r="B35" s="47">
        <v>31</v>
      </c>
      <c r="C35" s="47" t="s">
        <v>61</v>
      </c>
      <c r="D35" s="47" t="s">
        <v>177</v>
      </c>
      <c r="E35" s="47" t="s">
        <v>194</v>
      </c>
      <c r="F35" s="47" t="s">
        <v>185</v>
      </c>
      <c r="G35" s="47">
        <v>1</v>
      </c>
      <c r="H35" s="47" t="s">
        <v>62</v>
      </c>
      <c r="L35" s="41"/>
      <c r="M35" s="41"/>
      <c r="O35" s="47" t="s">
        <v>30</v>
      </c>
      <c r="P35" s="47" t="s">
        <v>46</v>
      </c>
      <c r="AC35" s="48"/>
      <c r="AD35" s="48"/>
      <c r="AE35" s="48"/>
      <c r="AF35" s="48"/>
      <c r="AG35" s="48"/>
      <c r="AH35" s="48"/>
      <c r="AI35" s="48"/>
    </row>
    <row r="36" spans="2:35" ht="13.5" customHeight="1">
      <c r="B36">
        <v>31</v>
      </c>
      <c r="C36" t="s">
        <v>61</v>
      </c>
      <c r="D36" s="2" t="s">
        <v>177</v>
      </c>
      <c r="F36" s="47" t="s">
        <v>185</v>
      </c>
      <c r="H36" s="47" t="s">
        <v>47</v>
      </c>
      <c r="I36" s="47" t="s">
        <v>30</v>
      </c>
      <c r="J36" s="47" t="s">
        <v>35</v>
      </c>
    </row>
    <row r="37" spans="2:35" ht="13.5" customHeight="1">
      <c r="B37" s="47">
        <v>32</v>
      </c>
      <c r="C37" s="47" t="s">
        <v>61</v>
      </c>
      <c r="D37" s="47" t="s">
        <v>177</v>
      </c>
      <c r="E37" s="47" t="s">
        <v>194</v>
      </c>
      <c r="F37" s="47" t="s">
        <v>185</v>
      </c>
      <c r="G37" s="47">
        <v>1</v>
      </c>
      <c r="H37" s="47" t="s">
        <v>62</v>
      </c>
      <c r="L37" s="41"/>
      <c r="M37" s="41"/>
      <c r="O37" s="47" t="s">
        <v>30</v>
      </c>
      <c r="P37" s="47" t="s">
        <v>46</v>
      </c>
      <c r="AC37" s="48"/>
      <c r="AD37" s="48"/>
      <c r="AE37" s="48"/>
      <c r="AF37" s="48"/>
      <c r="AG37" s="48"/>
      <c r="AH37" s="48"/>
      <c r="AI37" s="48"/>
    </row>
    <row r="38" spans="2:35" ht="13.5" customHeight="1">
      <c r="B38">
        <v>32</v>
      </c>
      <c r="C38" t="s">
        <v>61</v>
      </c>
      <c r="D38" s="2" t="s">
        <v>177</v>
      </c>
      <c r="F38" s="47" t="s">
        <v>185</v>
      </c>
      <c r="H38" s="47" t="s">
        <v>47</v>
      </c>
      <c r="I38" s="47" t="s">
        <v>30</v>
      </c>
      <c r="J38" s="47" t="s">
        <v>35</v>
      </c>
    </row>
    <row r="39" spans="2:35" ht="13.5" customHeight="1">
      <c r="B39" s="47">
        <v>33</v>
      </c>
      <c r="C39" s="47" t="s">
        <v>61</v>
      </c>
      <c r="D39" s="47" t="s">
        <v>177</v>
      </c>
      <c r="E39" s="47" t="s">
        <v>194</v>
      </c>
      <c r="F39" s="47" t="s">
        <v>185</v>
      </c>
      <c r="G39" s="47">
        <v>1</v>
      </c>
      <c r="H39" s="47" t="s">
        <v>62</v>
      </c>
      <c r="L39" s="41"/>
      <c r="M39" s="41"/>
      <c r="O39" s="47" t="s">
        <v>30</v>
      </c>
      <c r="P39" s="47" t="s">
        <v>46</v>
      </c>
      <c r="AC39" s="48"/>
      <c r="AD39" s="48"/>
      <c r="AE39" s="48"/>
      <c r="AF39" s="48"/>
      <c r="AG39" s="48"/>
      <c r="AH39" s="48"/>
      <c r="AI39" s="48"/>
    </row>
    <row r="40" spans="2:35" ht="13.5" customHeight="1">
      <c r="B40">
        <v>33</v>
      </c>
      <c r="C40" t="s">
        <v>61</v>
      </c>
      <c r="D40" s="2" t="s">
        <v>177</v>
      </c>
      <c r="F40" s="47" t="s">
        <v>185</v>
      </c>
      <c r="H40" s="47" t="s">
        <v>47</v>
      </c>
      <c r="I40" s="47" t="s">
        <v>30</v>
      </c>
      <c r="J40" s="47" t="s">
        <v>35</v>
      </c>
    </row>
    <row r="41" spans="2:35" ht="13.5" customHeight="1">
      <c r="B41" s="47">
        <v>34</v>
      </c>
      <c r="C41" s="47" t="s">
        <v>61</v>
      </c>
      <c r="D41" s="47" t="s">
        <v>177</v>
      </c>
      <c r="E41" s="47" t="s">
        <v>194</v>
      </c>
      <c r="F41" s="47" t="s">
        <v>185</v>
      </c>
      <c r="G41" s="47">
        <v>1</v>
      </c>
      <c r="H41" s="47" t="s">
        <v>62</v>
      </c>
      <c r="L41" s="41"/>
      <c r="M41" s="41"/>
      <c r="O41" s="47" t="s">
        <v>30</v>
      </c>
      <c r="P41" s="47" t="s">
        <v>46</v>
      </c>
      <c r="AC41" s="48"/>
      <c r="AD41" s="48"/>
      <c r="AE41" s="48"/>
      <c r="AF41" s="48"/>
      <c r="AG41" s="48"/>
      <c r="AH41" s="48"/>
      <c r="AI41" s="48"/>
    </row>
    <row r="42" spans="2:35" ht="13.5" customHeight="1">
      <c r="B42">
        <v>34</v>
      </c>
      <c r="C42" t="s">
        <v>61</v>
      </c>
      <c r="D42" s="2" t="s">
        <v>177</v>
      </c>
      <c r="F42" s="47" t="s">
        <v>185</v>
      </c>
      <c r="H42" s="47" t="s">
        <v>47</v>
      </c>
      <c r="I42" s="47" t="s">
        <v>30</v>
      </c>
      <c r="J42" s="47" t="s">
        <v>35</v>
      </c>
    </row>
    <row r="43" spans="2:35" ht="13.5" customHeight="1">
      <c r="B43" s="47">
        <v>35</v>
      </c>
      <c r="C43" s="47" t="s">
        <v>61</v>
      </c>
      <c r="D43" s="47" t="s">
        <v>177</v>
      </c>
      <c r="E43" s="47" t="s">
        <v>194</v>
      </c>
      <c r="F43" s="47" t="s">
        <v>185</v>
      </c>
      <c r="G43" s="47">
        <v>1</v>
      </c>
      <c r="H43" s="47" t="s">
        <v>62</v>
      </c>
      <c r="L43" s="41"/>
      <c r="M43" s="41"/>
      <c r="O43" s="47" t="s">
        <v>30</v>
      </c>
      <c r="P43" s="47" t="s">
        <v>46</v>
      </c>
      <c r="AC43" s="48"/>
      <c r="AD43" s="48"/>
      <c r="AE43" s="48"/>
      <c r="AF43" s="48"/>
      <c r="AG43" s="48"/>
      <c r="AH43" s="48"/>
      <c r="AI43" s="48"/>
    </row>
    <row r="44" spans="2:35" ht="13.5" customHeight="1">
      <c r="B44">
        <v>35</v>
      </c>
      <c r="C44" t="s">
        <v>61</v>
      </c>
      <c r="D44" s="2" t="s">
        <v>177</v>
      </c>
      <c r="F44" s="47" t="s">
        <v>185</v>
      </c>
      <c r="H44" s="47" t="s">
        <v>47</v>
      </c>
      <c r="I44" s="47" t="s">
        <v>30</v>
      </c>
      <c r="J44" s="47" t="s">
        <v>35</v>
      </c>
    </row>
    <row r="45" spans="2:35" ht="13.5" customHeight="1">
      <c r="B45" s="47">
        <v>36</v>
      </c>
      <c r="C45" s="47" t="s">
        <v>61</v>
      </c>
      <c r="D45" s="47" t="s">
        <v>177</v>
      </c>
      <c r="E45" s="47" t="s">
        <v>194</v>
      </c>
      <c r="F45" s="47" t="s">
        <v>185</v>
      </c>
      <c r="G45" s="47">
        <v>1</v>
      </c>
      <c r="H45" s="47" t="s">
        <v>62</v>
      </c>
      <c r="L45" s="41"/>
      <c r="M45" s="41"/>
      <c r="O45" s="47" t="s">
        <v>30</v>
      </c>
      <c r="P45" s="47" t="s">
        <v>46</v>
      </c>
      <c r="AC45" s="48"/>
      <c r="AD45" s="48"/>
      <c r="AE45" s="48"/>
      <c r="AF45" s="48"/>
      <c r="AG45" s="48"/>
      <c r="AH45" s="48"/>
      <c r="AI45" s="48"/>
    </row>
    <row r="46" spans="2:35" ht="13.5" customHeight="1">
      <c r="B46">
        <v>36</v>
      </c>
      <c r="C46" t="s">
        <v>61</v>
      </c>
      <c r="D46" s="2" t="s">
        <v>177</v>
      </c>
      <c r="F46" s="47" t="s">
        <v>185</v>
      </c>
      <c r="H46" s="47" t="s">
        <v>47</v>
      </c>
      <c r="I46" s="47" t="s">
        <v>30</v>
      </c>
      <c r="J46" s="47" t="s">
        <v>35</v>
      </c>
    </row>
    <row r="47" spans="2:35" ht="13.5" customHeight="1">
      <c r="B47" s="47">
        <v>37</v>
      </c>
      <c r="C47" s="47" t="s">
        <v>61</v>
      </c>
      <c r="D47" s="47" t="s">
        <v>177</v>
      </c>
      <c r="E47" s="47" t="s">
        <v>194</v>
      </c>
      <c r="F47" s="47" t="s">
        <v>185</v>
      </c>
      <c r="G47" s="47">
        <v>1</v>
      </c>
      <c r="H47" s="47" t="s">
        <v>62</v>
      </c>
      <c r="L47" s="41"/>
      <c r="M47" s="41"/>
      <c r="O47" s="47" t="s">
        <v>30</v>
      </c>
      <c r="P47" s="47" t="s">
        <v>46</v>
      </c>
      <c r="AC47" s="48"/>
      <c r="AD47" s="48"/>
      <c r="AE47" s="48"/>
      <c r="AF47" s="48"/>
      <c r="AG47" s="48"/>
      <c r="AH47" s="48"/>
      <c r="AI47" s="48"/>
    </row>
    <row r="48" spans="2:35" ht="13.5" customHeight="1">
      <c r="B48">
        <v>37</v>
      </c>
      <c r="C48" t="s">
        <v>61</v>
      </c>
      <c r="D48" s="2" t="s">
        <v>177</v>
      </c>
      <c r="F48" s="47" t="s">
        <v>185</v>
      </c>
      <c r="H48" s="47" t="s">
        <v>47</v>
      </c>
      <c r="I48" s="47" t="s">
        <v>30</v>
      </c>
      <c r="J48" s="47" t="s">
        <v>35</v>
      </c>
    </row>
    <row r="49" spans="2:35" ht="13.5" customHeight="1">
      <c r="B49" s="47">
        <v>38</v>
      </c>
      <c r="C49" s="47" t="s">
        <v>61</v>
      </c>
      <c r="D49" s="47" t="s">
        <v>177</v>
      </c>
      <c r="E49" s="47" t="s">
        <v>194</v>
      </c>
      <c r="F49" s="47" t="s">
        <v>185</v>
      </c>
      <c r="G49" s="47">
        <v>1</v>
      </c>
      <c r="H49" s="47" t="s">
        <v>62</v>
      </c>
      <c r="L49" s="41"/>
      <c r="M49" s="41"/>
      <c r="O49" s="47" t="s">
        <v>30</v>
      </c>
      <c r="P49" s="47" t="s">
        <v>46</v>
      </c>
      <c r="AC49" s="48"/>
      <c r="AD49" s="48"/>
      <c r="AE49" s="48"/>
      <c r="AF49" s="48"/>
      <c r="AG49" s="48"/>
      <c r="AH49" s="48"/>
      <c r="AI49" s="48"/>
    </row>
    <row r="50" spans="2:35" ht="13.5" customHeight="1">
      <c r="B50">
        <v>38</v>
      </c>
      <c r="C50" t="s">
        <v>61</v>
      </c>
      <c r="D50" s="2" t="s">
        <v>177</v>
      </c>
      <c r="F50" s="47" t="s">
        <v>185</v>
      </c>
      <c r="H50" s="47" t="s">
        <v>47</v>
      </c>
      <c r="I50" s="47" t="s">
        <v>30</v>
      </c>
      <c r="J50" s="47" t="s">
        <v>35</v>
      </c>
    </row>
    <row r="51" spans="2:35" ht="13.5" customHeight="1">
      <c r="B51" s="47">
        <v>39</v>
      </c>
      <c r="C51" s="47" t="s">
        <v>61</v>
      </c>
      <c r="D51" s="47" t="s">
        <v>177</v>
      </c>
      <c r="E51" s="47" t="s">
        <v>194</v>
      </c>
      <c r="F51" s="47" t="s">
        <v>185</v>
      </c>
      <c r="G51" s="47">
        <v>1</v>
      </c>
      <c r="H51" s="47" t="s">
        <v>62</v>
      </c>
      <c r="L51" s="41"/>
      <c r="M51" s="41"/>
      <c r="O51" s="47" t="s">
        <v>30</v>
      </c>
      <c r="P51" s="47" t="s">
        <v>46</v>
      </c>
      <c r="AC51" s="48"/>
      <c r="AD51" s="48"/>
      <c r="AE51" s="48"/>
      <c r="AF51" s="48"/>
      <c r="AG51" s="48"/>
      <c r="AH51" s="48"/>
      <c r="AI51" s="48"/>
    </row>
    <row r="52" spans="2:35" ht="13.5" customHeight="1">
      <c r="B52">
        <v>39</v>
      </c>
      <c r="C52" t="s">
        <v>61</v>
      </c>
      <c r="D52" s="2" t="s">
        <v>177</v>
      </c>
      <c r="F52" s="47" t="s">
        <v>185</v>
      </c>
      <c r="H52" s="47" t="s">
        <v>47</v>
      </c>
      <c r="I52" s="47" t="s">
        <v>30</v>
      </c>
      <c r="J52" s="47" t="s">
        <v>35</v>
      </c>
    </row>
    <row r="53" spans="2:35" ht="13.5" customHeight="1">
      <c r="B53" s="47">
        <v>40</v>
      </c>
      <c r="C53" s="47" t="s">
        <v>61</v>
      </c>
      <c r="D53" s="47" t="s">
        <v>177</v>
      </c>
      <c r="E53" s="47" t="s">
        <v>194</v>
      </c>
      <c r="F53" s="47" t="s">
        <v>185</v>
      </c>
      <c r="G53" s="47">
        <v>1</v>
      </c>
      <c r="H53" s="47" t="s">
        <v>62</v>
      </c>
      <c r="L53" s="41"/>
      <c r="M53" s="41"/>
      <c r="O53" s="47" t="s">
        <v>30</v>
      </c>
      <c r="P53" s="47" t="s">
        <v>46</v>
      </c>
      <c r="AC53" s="48"/>
      <c r="AD53" s="48"/>
      <c r="AE53" s="48"/>
      <c r="AF53" s="48"/>
      <c r="AG53" s="48"/>
      <c r="AH53" s="48"/>
      <c r="AI53" s="48"/>
    </row>
    <row r="54" spans="2:35" ht="13.5" customHeight="1">
      <c r="B54">
        <v>40</v>
      </c>
      <c r="C54" t="s">
        <v>61</v>
      </c>
      <c r="D54" s="2" t="s">
        <v>177</v>
      </c>
      <c r="F54" s="47" t="s">
        <v>185</v>
      </c>
      <c r="H54" s="47" t="s">
        <v>47</v>
      </c>
      <c r="I54" s="47" t="s">
        <v>30</v>
      </c>
      <c r="J54" s="47" t="s">
        <v>35</v>
      </c>
    </row>
    <row r="55" spans="2:35" ht="13.5" customHeight="1">
      <c r="B55" s="47">
        <v>41</v>
      </c>
      <c r="C55" s="47" t="s">
        <v>61</v>
      </c>
      <c r="D55" s="47" t="s">
        <v>177</v>
      </c>
      <c r="E55" s="47" t="s">
        <v>194</v>
      </c>
      <c r="F55" s="47" t="s">
        <v>185</v>
      </c>
      <c r="G55" s="47">
        <v>1</v>
      </c>
      <c r="H55" s="47" t="s">
        <v>62</v>
      </c>
      <c r="L55" s="41"/>
      <c r="M55" s="41"/>
      <c r="O55" s="47" t="s">
        <v>30</v>
      </c>
      <c r="P55" s="47" t="s">
        <v>46</v>
      </c>
      <c r="AC55" s="48"/>
      <c r="AD55" s="48"/>
      <c r="AE55" s="48"/>
      <c r="AF55" s="48"/>
      <c r="AG55" s="48"/>
      <c r="AH55" s="48"/>
      <c r="AI55" s="48"/>
    </row>
    <row r="56" spans="2:35" ht="13.5" customHeight="1">
      <c r="B56">
        <v>41</v>
      </c>
      <c r="C56" t="s">
        <v>61</v>
      </c>
      <c r="D56" s="2" t="s">
        <v>177</v>
      </c>
      <c r="F56" s="47" t="s">
        <v>185</v>
      </c>
      <c r="H56" s="47" t="s">
        <v>47</v>
      </c>
      <c r="I56" s="47" t="s">
        <v>30</v>
      </c>
      <c r="J56" s="47" t="s">
        <v>35</v>
      </c>
    </row>
    <row r="57" spans="2:35" ht="13.5" customHeight="1">
      <c r="B57" s="47">
        <v>42</v>
      </c>
      <c r="C57" s="47" t="s">
        <v>61</v>
      </c>
      <c r="D57" s="47" t="s">
        <v>177</v>
      </c>
      <c r="E57" s="47" t="s">
        <v>194</v>
      </c>
      <c r="F57" s="47" t="s">
        <v>185</v>
      </c>
      <c r="G57" s="47">
        <v>1</v>
      </c>
      <c r="H57" s="47" t="s">
        <v>62</v>
      </c>
      <c r="L57" s="41"/>
      <c r="M57" s="41"/>
      <c r="O57" s="47" t="s">
        <v>30</v>
      </c>
      <c r="P57" s="47" t="s">
        <v>46</v>
      </c>
      <c r="AC57" s="48"/>
      <c r="AD57" s="48"/>
      <c r="AE57" s="48"/>
      <c r="AF57" s="48"/>
      <c r="AG57" s="48"/>
      <c r="AH57" s="48"/>
      <c r="AI57" s="48"/>
    </row>
    <row r="58" spans="2:35" ht="13.5" customHeight="1">
      <c r="B58">
        <v>42</v>
      </c>
      <c r="C58" t="s">
        <v>61</v>
      </c>
      <c r="D58" s="2" t="s">
        <v>177</v>
      </c>
      <c r="F58" s="47" t="s">
        <v>185</v>
      </c>
      <c r="H58" s="47" t="s">
        <v>47</v>
      </c>
      <c r="I58" s="47" t="s">
        <v>30</v>
      </c>
      <c r="J58" s="47" t="s">
        <v>35</v>
      </c>
    </row>
    <row r="59" spans="2:35" ht="13.5" customHeight="1">
      <c r="B59" s="47">
        <v>43</v>
      </c>
      <c r="C59" s="47" t="s">
        <v>61</v>
      </c>
      <c r="D59" s="47" t="s">
        <v>177</v>
      </c>
      <c r="E59" s="47" t="s">
        <v>194</v>
      </c>
      <c r="F59" s="47" t="s">
        <v>185</v>
      </c>
      <c r="G59" s="47">
        <v>1</v>
      </c>
      <c r="H59" s="47" t="s">
        <v>62</v>
      </c>
      <c r="L59" s="41"/>
      <c r="M59" s="41"/>
      <c r="O59" s="47" t="s">
        <v>30</v>
      </c>
      <c r="P59" s="47" t="s">
        <v>46</v>
      </c>
      <c r="AC59" s="48"/>
      <c r="AD59" s="48"/>
      <c r="AE59" s="48"/>
      <c r="AF59" s="48"/>
      <c r="AG59" s="48"/>
      <c r="AH59" s="48"/>
      <c r="AI59" s="48"/>
    </row>
    <row r="60" spans="2:35" ht="13.5" customHeight="1">
      <c r="B60">
        <v>43</v>
      </c>
      <c r="C60" t="s">
        <v>61</v>
      </c>
      <c r="D60" s="2" t="s">
        <v>177</v>
      </c>
      <c r="F60" s="47" t="s">
        <v>185</v>
      </c>
      <c r="H60" s="47" t="s">
        <v>47</v>
      </c>
      <c r="I60" s="47" t="s">
        <v>30</v>
      </c>
      <c r="J60" s="47" t="s">
        <v>35</v>
      </c>
    </row>
    <row r="61" spans="2:35" ht="13.5" customHeight="1">
      <c r="B61" s="47">
        <v>44</v>
      </c>
      <c r="C61" s="47" t="s">
        <v>61</v>
      </c>
      <c r="D61" s="47" t="s">
        <v>177</v>
      </c>
      <c r="E61" s="47" t="s">
        <v>194</v>
      </c>
      <c r="F61" s="47" t="s">
        <v>185</v>
      </c>
      <c r="G61" s="47">
        <v>1</v>
      </c>
      <c r="H61" s="47" t="s">
        <v>62</v>
      </c>
      <c r="L61" s="41"/>
      <c r="M61" s="41"/>
      <c r="O61" s="47" t="s">
        <v>30</v>
      </c>
      <c r="P61" s="47" t="s">
        <v>46</v>
      </c>
      <c r="AC61" s="48"/>
      <c r="AD61" s="48"/>
      <c r="AE61" s="48"/>
      <c r="AF61" s="48"/>
      <c r="AG61" s="48"/>
      <c r="AH61" s="48"/>
      <c r="AI61" s="48"/>
    </row>
    <row r="62" spans="2:35" ht="13.5" customHeight="1">
      <c r="B62">
        <v>44</v>
      </c>
      <c r="C62" t="s">
        <v>61</v>
      </c>
      <c r="D62" s="2" t="s">
        <v>177</v>
      </c>
      <c r="F62" s="47" t="s">
        <v>185</v>
      </c>
      <c r="H62" s="47" t="s">
        <v>47</v>
      </c>
      <c r="I62" s="47" t="s">
        <v>30</v>
      </c>
      <c r="J62" s="47" t="s">
        <v>35</v>
      </c>
    </row>
    <row r="63" spans="2:35" ht="13.5" customHeight="1">
      <c r="B63" s="47">
        <v>45</v>
      </c>
      <c r="C63" s="47" t="s">
        <v>61</v>
      </c>
      <c r="D63" s="47" t="s">
        <v>177</v>
      </c>
      <c r="E63" s="47" t="s">
        <v>194</v>
      </c>
      <c r="F63" s="47" t="s">
        <v>185</v>
      </c>
      <c r="G63" s="47">
        <v>1</v>
      </c>
      <c r="H63" s="47" t="s">
        <v>62</v>
      </c>
      <c r="L63" s="41"/>
      <c r="M63" s="41"/>
      <c r="O63" s="47" t="s">
        <v>30</v>
      </c>
      <c r="P63" s="47" t="s">
        <v>46</v>
      </c>
    </row>
    <row r="64" spans="2:35" ht="13.5" customHeight="1">
      <c r="B64">
        <v>45</v>
      </c>
      <c r="C64" t="s">
        <v>61</v>
      </c>
      <c r="D64" s="2" t="s">
        <v>177</v>
      </c>
      <c r="F64" s="47" t="s">
        <v>185</v>
      </c>
      <c r="H64" s="47" t="s">
        <v>47</v>
      </c>
      <c r="I64" s="47" t="s">
        <v>30</v>
      </c>
      <c r="J64" s="47" t="s">
        <v>35</v>
      </c>
    </row>
    <row r="65" spans="2:16" ht="13.5" customHeight="1">
      <c r="B65" s="47">
        <v>46</v>
      </c>
      <c r="C65" s="47" t="s">
        <v>61</v>
      </c>
      <c r="D65" s="47" t="s">
        <v>177</v>
      </c>
      <c r="E65" s="47" t="s">
        <v>194</v>
      </c>
      <c r="F65" s="47" t="s">
        <v>185</v>
      </c>
      <c r="G65" s="47">
        <v>1</v>
      </c>
      <c r="H65" s="47" t="s">
        <v>62</v>
      </c>
      <c r="L65" s="41"/>
      <c r="M65" s="41"/>
      <c r="O65" s="47" t="s">
        <v>30</v>
      </c>
      <c r="P65" s="47" t="s">
        <v>46</v>
      </c>
    </row>
    <row r="66" spans="2:16" ht="13.5" customHeight="1">
      <c r="B66">
        <v>46</v>
      </c>
      <c r="C66" t="s">
        <v>61</v>
      </c>
      <c r="D66" s="2" t="s">
        <v>177</v>
      </c>
      <c r="F66" s="47" t="s">
        <v>185</v>
      </c>
      <c r="H66" s="47" t="s">
        <v>47</v>
      </c>
      <c r="I66" s="47" t="s">
        <v>30</v>
      </c>
      <c r="J66" s="47" t="s">
        <v>35</v>
      </c>
    </row>
    <row r="67" spans="2:16" ht="13.5" customHeight="1">
      <c r="B67" s="47">
        <v>47</v>
      </c>
      <c r="C67" s="47" t="s">
        <v>61</v>
      </c>
      <c r="D67" s="47" t="s">
        <v>177</v>
      </c>
      <c r="E67" s="47" t="s">
        <v>194</v>
      </c>
      <c r="F67" s="47" t="s">
        <v>185</v>
      </c>
      <c r="G67" s="47">
        <v>1</v>
      </c>
      <c r="H67" s="47" t="s">
        <v>62</v>
      </c>
      <c r="L67" s="41"/>
      <c r="M67" s="41"/>
      <c r="O67" s="47" t="s">
        <v>30</v>
      </c>
      <c r="P67" s="47" t="s">
        <v>46</v>
      </c>
    </row>
    <row r="68" spans="2:16" ht="13.5" customHeight="1">
      <c r="B68">
        <v>47</v>
      </c>
      <c r="C68" t="s">
        <v>61</v>
      </c>
      <c r="D68" s="2" t="s">
        <v>177</v>
      </c>
      <c r="F68" s="47" t="s">
        <v>185</v>
      </c>
      <c r="H68" s="47" t="s">
        <v>47</v>
      </c>
      <c r="I68" s="47" t="s">
        <v>30</v>
      </c>
      <c r="J68" s="47" t="s">
        <v>35</v>
      </c>
    </row>
    <row r="69" spans="2:16" ht="13.5" customHeight="1">
      <c r="B69" s="47">
        <v>48</v>
      </c>
      <c r="C69" s="47" t="s">
        <v>61</v>
      </c>
      <c r="D69" s="47" t="s">
        <v>177</v>
      </c>
      <c r="E69" s="47" t="s">
        <v>194</v>
      </c>
      <c r="F69" s="47" t="s">
        <v>185</v>
      </c>
      <c r="G69" s="47">
        <v>1</v>
      </c>
      <c r="H69" s="47" t="s">
        <v>62</v>
      </c>
      <c r="L69" s="41"/>
      <c r="M69" s="41"/>
      <c r="O69" s="47" t="s">
        <v>30</v>
      </c>
      <c r="P69" s="47" t="s">
        <v>46</v>
      </c>
    </row>
    <row r="70" spans="2:16" ht="13.5" customHeight="1">
      <c r="B70">
        <v>48</v>
      </c>
      <c r="C70" t="s">
        <v>61</v>
      </c>
      <c r="D70" s="2" t="s">
        <v>177</v>
      </c>
      <c r="F70" s="47" t="s">
        <v>185</v>
      </c>
      <c r="H70" s="47" t="s">
        <v>47</v>
      </c>
      <c r="I70" s="47" t="s">
        <v>30</v>
      </c>
      <c r="J70" s="47" t="s">
        <v>35</v>
      </c>
    </row>
    <row r="71" spans="2:16" ht="13.5" customHeight="1">
      <c r="B71" s="47">
        <v>49</v>
      </c>
      <c r="C71" s="47" t="s">
        <v>61</v>
      </c>
      <c r="D71" s="47" t="s">
        <v>177</v>
      </c>
      <c r="E71" s="47" t="s">
        <v>194</v>
      </c>
      <c r="F71" s="47" t="s">
        <v>185</v>
      </c>
      <c r="G71" s="47">
        <v>1</v>
      </c>
      <c r="H71" s="47" t="s">
        <v>62</v>
      </c>
      <c r="L71" s="41"/>
      <c r="M71" s="41"/>
      <c r="O71" s="47" t="s">
        <v>30</v>
      </c>
      <c r="P71" s="47" t="s">
        <v>46</v>
      </c>
    </row>
    <row r="72" spans="2:16" ht="13.5" customHeight="1">
      <c r="B72">
        <v>49</v>
      </c>
      <c r="C72" t="s">
        <v>61</v>
      </c>
      <c r="D72" s="2" t="s">
        <v>177</v>
      </c>
      <c r="F72" s="47" t="s">
        <v>185</v>
      </c>
      <c r="H72" s="47" t="s">
        <v>47</v>
      </c>
      <c r="I72" s="47" t="s">
        <v>30</v>
      </c>
      <c r="J72" s="47" t="s">
        <v>35</v>
      </c>
    </row>
    <row r="73" spans="2:16" ht="13.5" customHeight="1">
      <c r="B73" s="47">
        <v>50</v>
      </c>
      <c r="C73" s="47" t="s">
        <v>61</v>
      </c>
      <c r="D73" s="47" t="s">
        <v>177</v>
      </c>
      <c r="E73" s="47" t="s">
        <v>194</v>
      </c>
      <c r="F73" s="47" t="s">
        <v>195</v>
      </c>
      <c r="G73" s="47">
        <v>1</v>
      </c>
      <c r="H73" s="47" t="s">
        <v>47</v>
      </c>
      <c r="I73" s="47" t="s">
        <v>30</v>
      </c>
      <c r="L73" s="15" t="s">
        <v>196</v>
      </c>
      <c r="M73" s="15" t="s">
        <v>197</v>
      </c>
      <c r="O73" s="47" t="s">
        <v>30</v>
      </c>
      <c r="P73" s="47" t="s">
        <v>46</v>
      </c>
    </row>
    <row r="74" spans="2:16" ht="13.5" customHeight="1">
      <c r="B74">
        <v>50</v>
      </c>
      <c r="C74" t="s">
        <v>61</v>
      </c>
      <c r="D74" s="47" t="s">
        <v>1124</v>
      </c>
      <c r="F74" t="s">
        <v>1117</v>
      </c>
    </row>
    <row r="75" spans="2:16" ht="13.5" customHeight="1">
      <c r="B75" s="47">
        <v>51</v>
      </c>
      <c r="C75" s="47" t="s">
        <v>61</v>
      </c>
      <c r="D75" s="47" t="s">
        <v>177</v>
      </c>
      <c r="E75" s="47" t="s">
        <v>194</v>
      </c>
      <c r="F75" s="47" t="s">
        <v>198</v>
      </c>
      <c r="G75" s="47">
        <v>1</v>
      </c>
      <c r="H75" s="47" t="s">
        <v>47</v>
      </c>
      <c r="I75" s="47" t="s">
        <v>30</v>
      </c>
      <c r="L75" s="15" t="s">
        <v>196</v>
      </c>
      <c r="M75" s="15" t="s">
        <v>197</v>
      </c>
      <c r="O75" s="47" t="s">
        <v>30</v>
      </c>
      <c r="P75" s="47" t="s">
        <v>46</v>
      </c>
    </row>
    <row r="76" spans="2:16" ht="13.5" customHeight="1">
      <c r="B76">
        <v>51</v>
      </c>
      <c r="C76" t="s">
        <v>61</v>
      </c>
      <c r="D76" s="47" t="s">
        <v>1124</v>
      </c>
      <c r="F76" t="s">
        <v>1118</v>
      </c>
    </row>
    <row r="77" spans="2:16" ht="13.5" customHeight="1">
      <c r="B77" s="47">
        <v>52</v>
      </c>
      <c r="C77" s="47" t="s">
        <v>61</v>
      </c>
      <c r="D77" s="47" t="s">
        <v>177</v>
      </c>
      <c r="E77" s="47" t="s">
        <v>194</v>
      </c>
      <c r="F77" s="47" t="s">
        <v>199</v>
      </c>
      <c r="G77" s="47">
        <v>1</v>
      </c>
      <c r="H77" s="47" t="s">
        <v>47</v>
      </c>
      <c r="I77" s="47" t="s">
        <v>30</v>
      </c>
      <c r="L77" s="15" t="s">
        <v>196</v>
      </c>
      <c r="M77" s="15" t="s">
        <v>197</v>
      </c>
      <c r="O77" s="47" t="s">
        <v>30</v>
      </c>
      <c r="P77" s="47" t="s">
        <v>46</v>
      </c>
    </row>
    <row r="78" spans="2:16" ht="13.5" customHeight="1">
      <c r="B78">
        <v>52</v>
      </c>
      <c r="C78" t="s">
        <v>61</v>
      </c>
      <c r="D78" s="47" t="s">
        <v>1124</v>
      </c>
      <c r="F78" t="s">
        <v>1119</v>
      </c>
    </row>
    <row r="79" spans="2:16" ht="13.5" customHeight="1">
      <c r="B79" s="47">
        <v>53</v>
      </c>
      <c r="C79" s="47" t="s">
        <v>61</v>
      </c>
      <c r="D79" s="47" t="s">
        <v>177</v>
      </c>
      <c r="E79" s="47" t="s">
        <v>194</v>
      </c>
      <c r="F79" s="47" t="s">
        <v>200</v>
      </c>
      <c r="G79" s="47">
        <v>1</v>
      </c>
      <c r="H79" s="47" t="s">
        <v>47</v>
      </c>
      <c r="I79" s="47" t="s">
        <v>30</v>
      </c>
      <c r="L79" s="15" t="s">
        <v>196</v>
      </c>
      <c r="M79" s="15" t="s">
        <v>197</v>
      </c>
      <c r="O79" s="47" t="s">
        <v>30</v>
      </c>
      <c r="P79" s="47" t="s">
        <v>46</v>
      </c>
    </row>
    <row r="80" spans="2:16" ht="13.5" customHeight="1">
      <c r="B80">
        <v>53</v>
      </c>
      <c r="C80" t="s">
        <v>61</v>
      </c>
      <c r="D80" s="47" t="s">
        <v>1124</v>
      </c>
      <c r="F80" t="s">
        <v>1120</v>
      </c>
    </row>
    <row r="81" spans="1:35" ht="13.5" customHeight="1">
      <c r="B81" s="47">
        <v>54</v>
      </c>
      <c r="C81" s="47" t="s">
        <v>61</v>
      </c>
      <c r="D81" s="47" t="s">
        <v>177</v>
      </c>
      <c r="E81" s="47" t="s">
        <v>194</v>
      </c>
      <c r="F81" s="47" t="s">
        <v>201</v>
      </c>
      <c r="G81" s="47">
        <v>1</v>
      </c>
      <c r="H81" s="47" t="s">
        <v>47</v>
      </c>
      <c r="I81" s="47" t="s">
        <v>30</v>
      </c>
      <c r="L81" s="15" t="s">
        <v>196</v>
      </c>
      <c r="M81" s="15" t="s">
        <v>197</v>
      </c>
      <c r="O81" s="47" t="s">
        <v>30</v>
      </c>
      <c r="P81" s="47" t="s">
        <v>46</v>
      </c>
    </row>
    <row r="82" spans="1:35" s="48" customFormat="1" ht="13.5" customHeight="1">
      <c r="A82" s="47"/>
      <c r="B82">
        <v>54</v>
      </c>
      <c r="C82" t="s">
        <v>61</v>
      </c>
      <c r="D82" s="47" t="s">
        <v>1124</v>
      </c>
      <c r="E82" s="47"/>
      <c r="F82" t="s">
        <v>1121</v>
      </c>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row>
    <row r="83" spans="1:35" ht="13.5" customHeight="1">
      <c r="B83" s="47">
        <v>55</v>
      </c>
      <c r="C83" s="47" t="s">
        <v>61</v>
      </c>
      <c r="D83" s="47" t="s">
        <v>177</v>
      </c>
      <c r="E83" s="47" t="s">
        <v>194</v>
      </c>
      <c r="F83" s="47" t="s">
        <v>202</v>
      </c>
      <c r="G83" s="47">
        <v>1</v>
      </c>
      <c r="H83" s="47" t="s">
        <v>47</v>
      </c>
      <c r="I83" s="47" t="s">
        <v>30</v>
      </c>
      <c r="L83" s="15" t="s">
        <v>196</v>
      </c>
      <c r="M83" s="15" t="s">
        <v>197</v>
      </c>
      <c r="O83" s="47" t="s">
        <v>30</v>
      </c>
      <c r="P83" s="47" t="s">
        <v>46</v>
      </c>
    </row>
    <row r="84" spans="1:35" ht="13.5" customHeight="1">
      <c r="B84">
        <v>55</v>
      </c>
      <c r="C84" t="s">
        <v>61</v>
      </c>
      <c r="D84" s="47" t="s">
        <v>1124</v>
      </c>
      <c r="F84" t="s">
        <v>1122</v>
      </c>
    </row>
    <row r="85" spans="1:35" ht="13.5" customHeight="1">
      <c r="B85" s="47">
        <v>56</v>
      </c>
      <c r="C85" s="47" t="s">
        <v>61</v>
      </c>
      <c r="D85" s="47" t="s">
        <v>177</v>
      </c>
      <c r="E85" s="47" t="s">
        <v>194</v>
      </c>
      <c r="F85" s="47" t="s">
        <v>203</v>
      </c>
      <c r="G85" s="47">
        <v>1</v>
      </c>
      <c r="H85" s="47" t="s">
        <v>47</v>
      </c>
      <c r="I85" s="47" t="s">
        <v>30</v>
      </c>
      <c r="L85" s="15" t="s">
        <v>196</v>
      </c>
      <c r="M85" s="15" t="s">
        <v>197</v>
      </c>
      <c r="O85" s="47" t="s">
        <v>30</v>
      </c>
      <c r="P85" s="47" t="s">
        <v>46</v>
      </c>
    </row>
    <row r="86" spans="1:35" ht="13.5" customHeight="1">
      <c r="B86">
        <v>56</v>
      </c>
      <c r="C86" t="s">
        <v>61</v>
      </c>
      <c r="D86" s="47" t="s">
        <v>1124</v>
      </c>
      <c r="F86" t="s">
        <v>1123</v>
      </c>
    </row>
    <row r="87" spans="1:35" ht="13.5" customHeight="1">
      <c r="B87" s="47">
        <v>57</v>
      </c>
      <c r="C87" s="47" t="s">
        <v>61</v>
      </c>
      <c r="D87" s="47" t="s">
        <v>204</v>
      </c>
      <c r="E87" s="47" t="s">
        <v>194</v>
      </c>
      <c r="G87" s="47">
        <v>1</v>
      </c>
      <c r="H87" s="47" t="s">
        <v>47</v>
      </c>
      <c r="L87" s="15" t="s">
        <v>196</v>
      </c>
      <c r="M87" s="15" t="s">
        <v>197</v>
      </c>
      <c r="O87" s="47" t="s">
        <v>30</v>
      </c>
      <c r="P87" s="47" t="s">
        <v>46</v>
      </c>
    </row>
    <row r="88" spans="1:35" ht="13.5" customHeight="1">
      <c r="B88">
        <v>57</v>
      </c>
      <c r="C88" t="s">
        <v>61</v>
      </c>
      <c r="D88" t="s">
        <v>204</v>
      </c>
    </row>
    <row r="89" spans="1:35" ht="13.5" customHeight="1">
      <c r="B89">
        <v>57</v>
      </c>
      <c r="C89" t="s">
        <v>61</v>
      </c>
      <c r="D89" t="s">
        <v>224</v>
      </c>
    </row>
    <row r="90" spans="1:35" ht="13.5" customHeight="1">
      <c r="B90">
        <v>58</v>
      </c>
      <c r="C90" t="s">
        <v>61</v>
      </c>
      <c r="D90" t="s">
        <v>224</v>
      </c>
    </row>
    <row r="91" spans="1:35" ht="13.5" customHeight="1">
      <c r="B91">
        <v>59</v>
      </c>
      <c r="C91" t="s">
        <v>61</v>
      </c>
      <c r="D91" t="s">
        <v>224</v>
      </c>
    </row>
    <row r="92" spans="1:35" ht="13.5" customHeight="1">
      <c r="B92">
        <v>60</v>
      </c>
      <c r="C92" t="s">
        <v>61</v>
      </c>
      <c r="D92" t="s">
        <v>224</v>
      </c>
    </row>
    <row r="93" spans="1:35" ht="13.5" customHeight="1">
      <c r="B93">
        <v>61</v>
      </c>
      <c r="C93" t="s">
        <v>61</v>
      </c>
      <c r="D93" t="s">
        <v>224</v>
      </c>
    </row>
    <row r="94" spans="1:35" ht="13.5" customHeight="1">
      <c r="B94" s="47">
        <v>64</v>
      </c>
      <c r="C94" s="47" t="s">
        <v>42</v>
      </c>
      <c r="D94" s="47" t="s">
        <v>171</v>
      </c>
      <c r="E94" s="47" t="s">
        <v>1295</v>
      </c>
      <c r="H94" s="47" t="s">
        <v>43</v>
      </c>
      <c r="I94" s="47" t="s">
        <v>50</v>
      </c>
      <c r="L94" s="15"/>
      <c r="M94" s="15" t="s">
        <v>205</v>
      </c>
      <c r="O94" s="47" t="s">
        <v>30</v>
      </c>
      <c r="P94" s="47" t="s">
        <v>46</v>
      </c>
    </row>
    <row r="95" spans="1:35" ht="13.5" customHeight="1">
      <c r="B95" s="47">
        <v>65</v>
      </c>
      <c r="C95" s="47" t="s">
        <v>55</v>
      </c>
      <c r="D95" s="47" t="s">
        <v>177</v>
      </c>
      <c r="E95" s="47" t="s">
        <v>178</v>
      </c>
      <c r="F95" s="47" t="s">
        <v>206</v>
      </c>
      <c r="G95" s="47">
        <v>5000</v>
      </c>
      <c r="H95" s="47" t="s">
        <v>46</v>
      </c>
      <c r="L95" s="15" t="s">
        <v>182</v>
      </c>
      <c r="M95" s="15" t="s">
        <v>207</v>
      </c>
      <c r="N95" s="47" t="s">
        <v>208</v>
      </c>
      <c r="O95" s="47" t="s">
        <v>30</v>
      </c>
      <c r="P95" s="47" t="s">
        <v>46</v>
      </c>
    </row>
    <row r="96" spans="1:35" ht="13.5" customHeight="1">
      <c r="B96" s="47">
        <v>74</v>
      </c>
      <c r="C96" s="47" t="s">
        <v>82</v>
      </c>
      <c r="D96" s="47" t="s">
        <v>177</v>
      </c>
      <c r="E96" s="47" t="s">
        <v>178</v>
      </c>
      <c r="F96" s="47" t="s">
        <v>179</v>
      </c>
      <c r="G96" s="47">
        <v>500</v>
      </c>
      <c r="H96" s="47" t="s">
        <v>46</v>
      </c>
      <c r="L96" s="15" t="s">
        <v>182</v>
      </c>
      <c r="M96" s="15" t="s">
        <v>181</v>
      </c>
      <c r="O96" s="47" t="s">
        <v>30</v>
      </c>
      <c r="P96" s="47" t="s">
        <v>46</v>
      </c>
    </row>
    <row r="97" spans="2:16" ht="13.5" customHeight="1">
      <c r="B97" s="47">
        <v>75</v>
      </c>
      <c r="C97" s="47" t="s">
        <v>84</v>
      </c>
      <c r="D97" s="47" t="s">
        <v>177</v>
      </c>
      <c r="E97" s="47" t="s">
        <v>178</v>
      </c>
      <c r="F97" s="47" t="s">
        <v>179</v>
      </c>
      <c r="G97" s="47">
        <v>300</v>
      </c>
      <c r="H97" s="47" t="s">
        <v>46</v>
      </c>
      <c r="L97" s="15" t="s">
        <v>182</v>
      </c>
      <c r="M97" s="15" t="s">
        <v>181</v>
      </c>
      <c r="O97" s="47" t="s">
        <v>30</v>
      </c>
      <c r="P97" s="47" t="s">
        <v>46</v>
      </c>
    </row>
    <row r="98" spans="2:16" ht="13.5" customHeight="1">
      <c r="B98" s="47">
        <v>80</v>
      </c>
      <c r="C98" s="47" t="s">
        <v>209</v>
      </c>
      <c r="D98" s="47" t="s">
        <v>177</v>
      </c>
      <c r="E98" s="47" t="s">
        <v>178</v>
      </c>
      <c r="F98" s="47" t="s">
        <v>210</v>
      </c>
      <c r="G98" s="47">
        <v>5</v>
      </c>
      <c r="H98" s="47" t="s">
        <v>47</v>
      </c>
      <c r="L98" s="15" t="s">
        <v>182</v>
      </c>
      <c r="M98" s="15" t="s">
        <v>211</v>
      </c>
      <c r="N98" s="47" t="s">
        <v>212</v>
      </c>
      <c r="O98" s="47" t="s">
        <v>30</v>
      </c>
      <c r="P98" s="47" t="s">
        <v>46</v>
      </c>
    </row>
    <row r="99" spans="2:16" ht="13.5" customHeight="1">
      <c r="B99" s="47">
        <v>81</v>
      </c>
      <c r="C99" s="47" t="s">
        <v>81</v>
      </c>
      <c r="D99" s="47" t="s">
        <v>213</v>
      </c>
      <c r="E99" s="48"/>
      <c r="H99" s="47" t="s">
        <v>43</v>
      </c>
      <c r="I99" s="47" t="s">
        <v>50</v>
      </c>
      <c r="L99" s="48"/>
      <c r="M99" s="15" t="s">
        <v>214</v>
      </c>
      <c r="O99" s="47" t="s">
        <v>30</v>
      </c>
      <c r="P99" s="47" t="s">
        <v>46</v>
      </c>
    </row>
    <row r="100" spans="2:16" ht="13.5" customHeight="1">
      <c r="B100" s="47">
        <v>91</v>
      </c>
      <c r="C100" s="47" t="s">
        <v>70</v>
      </c>
      <c r="D100" s="47" t="s">
        <v>172</v>
      </c>
      <c r="E100" s="47" t="s">
        <v>173</v>
      </c>
      <c r="H100" s="47" t="s">
        <v>35</v>
      </c>
      <c r="I100" s="47" t="s">
        <v>46</v>
      </c>
      <c r="L100" s="15"/>
      <c r="M100" s="15"/>
      <c r="N100" s="47" t="s">
        <v>175</v>
      </c>
      <c r="O100" s="47" t="s">
        <v>30</v>
      </c>
      <c r="P100" s="47" t="s">
        <v>46</v>
      </c>
    </row>
    <row r="101" spans="2:16" ht="13.5" customHeight="1">
      <c r="B101" s="47">
        <v>92</v>
      </c>
      <c r="C101" s="47" t="s">
        <v>70</v>
      </c>
      <c r="D101" s="47" t="s">
        <v>172</v>
      </c>
      <c r="E101" s="47" t="s">
        <v>173</v>
      </c>
      <c r="H101" s="47" t="s">
        <v>35</v>
      </c>
      <c r="I101" s="47" t="s">
        <v>46</v>
      </c>
      <c r="L101" s="15"/>
      <c r="M101" s="15"/>
      <c r="N101" s="47" t="s">
        <v>175</v>
      </c>
      <c r="O101" s="47" t="s">
        <v>30</v>
      </c>
      <c r="P101" s="47" t="s">
        <v>46</v>
      </c>
    </row>
    <row r="102" spans="2:16" ht="13.5" customHeight="1">
      <c r="B102" s="47">
        <v>93</v>
      </c>
      <c r="C102" s="47" t="s">
        <v>70</v>
      </c>
      <c r="D102" s="47" t="s">
        <v>172</v>
      </c>
      <c r="E102" s="47" t="s">
        <v>173</v>
      </c>
      <c r="H102" s="47" t="s">
        <v>35</v>
      </c>
      <c r="I102" s="47" t="s">
        <v>46</v>
      </c>
      <c r="L102" s="15"/>
      <c r="M102" s="15"/>
      <c r="N102" s="47" t="s">
        <v>175</v>
      </c>
      <c r="O102" s="47" t="s">
        <v>30</v>
      </c>
      <c r="P102" s="47" t="s">
        <v>46</v>
      </c>
    </row>
    <row r="103" spans="2:16" ht="13.5" customHeight="1">
      <c r="B103" s="47">
        <v>94</v>
      </c>
      <c r="C103" s="47" t="s">
        <v>70</v>
      </c>
      <c r="D103" s="47" t="s">
        <v>172</v>
      </c>
      <c r="E103" s="47" t="s">
        <v>173</v>
      </c>
      <c r="H103" s="47" t="s">
        <v>35</v>
      </c>
      <c r="I103" s="47" t="s">
        <v>46</v>
      </c>
      <c r="L103" s="15"/>
      <c r="M103" s="15"/>
      <c r="O103" s="47" t="s">
        <v>30</v>
      </c>
      <c r="P103" s="47" t="s">
        <v>46</v>
      </c>
    </row>
    <row r="104" spans="2:16" ht="13.5" customHeight="1">
      <c r="B104" s="47">
        <v>101</v>
      </c>
      <c r="C104" s="47" t="s">
        <v>66</v>
      </c>
      <c r="D104" s="47" t="s">
        <v>171</v>
      </c>
      <c r="E104" s="47" t="s">
        <v>1295</v>
      </c>
      <c r="H104" s="47" t="s">
        <v>43</v>
      </c>
      <c r="I104" s="47" t="s">
        <v>50</v>
      </c>
      <c r="L104" s="15"/>
      <c r="M104" s="15"/>
      <c r="O104" s="47" t="s">
        <v>30</v>
      </c>
      <c r="P104" s="47" t="s">
        <v>46</v>
      </c>
    </row>
    <row r="105" spans="2:16" ht="13.5" customHeight="1">
      <c r="B105" s="47">
        <v>102</v>
      </c>
      <c r="C105" s="47" t="s">
        <v>66</v>
      </c>
      <c r="D105" s="47" t="s">
        <v>171</v>
      </c>
      <c r="E105" s="47" t="s">
        <v>1295</v>
      </c>
      <c r="H105" s="47" t="s">
        <v>43</v>
      </c>
      <c r="I105" s="47" t="s">
        <v>50</v>
      </c>
      <c r="L105" s="15"/>
      <c r="M105" s="41"/>
      <c r="N105" s="47" t="s">
        <v>216</v>
      </c>
      <c r="O105" s="47" t="s">
        <v>30</v>
      </c>
      <c r="P105" s="47" t="s">
        <v>46</v>
      </c>
    </row>
    <row r="106" spans="2:16" ht="13.5" customHeight="1">
      <c r="B106" s="47">
        <v>103</v>
      </c>
      <c r="C106" s="47" t="s">
        <v>66</v>
      </c>
      <c r="D106" s="47" t="s">
        <v>171</v>
      </c>
      <c r="E106" s="47" t="s">
        <v>217</v>
      </c>
      <c r="H106" s="47" t="s">
        <v>43</v>
      </c>
      <c r="I106" s="47" t="s">
        <v>50</v>
      </c>
      <c r="L106" s="15"/>
      <c r="M106" s="41"/>
      <c r="N106" s="47" t="s">
        <v>216</v>
      </c>
      <c r="O106" s="47" t="s">
        <v>30</v>
      </c>
      <c r="P106" s="47" t="s">
        <v>46</v>
      </c>
    </row>
    <row r="107" spans="2:16" ht="13.5" customHeight="1">
      <c r="B107" s="47">
        <v>104</v>
      </c>
      <c r="C107" s="47" t="s">
        <v>66</v>
      </c>
      <c r="D107" s="47" t="s">
        <v>171</v>
      </c>
      <c r="E107" s="47" t="s">
        <v>218</v>
      </c>
      <c r="H107" s="47" t="s">
        <v>43</v>
      </c>
      <c r="I107" s="47" t="s">
        <v>50</v>
      </c>
      <c r="L107" s="15"/>
      <c r="M107" s="41"/>
      <c r="N107" s="47" t="s">
        <v>216</v>
      </c>
      <c r="O107" s="47" t="s">
        <v>30</v>
      </c>
      <c r="P107" s="47" t="s">
        <v>46</v>
      </c>
    </row>
    <row r="108" spans="2:16" ht="13.5" customHeight="1">
      <c r="B108" s="47">
        <v>105</v>
      </c>
      <c r="C108" s="47" t="s">
        <v>66</v>
      </c>
      <c r="D108" s="47" t="s">
        <v>171</v>
      </c>
      <c r="E108" s="47" t="s">
        <v>219</v>
      </c>
      <c r="H108" s="47" t="s">
        <v>43</v>
      </c>
      <c r="I108" s="47" t="s">
        <v>50</v>
      </c>
      <c r="L108" s="15"/>
      <c r="M108" s="41"/>
      <c r="N108" s="47" t="s">
        <v>216</v>
      </c>
      <c r="O108" s="47" t="s">
        <v>30</v>
      </c>
      <c r="P108" s="47" t="s">
        <v>46</v>
      </c>
    </row>
    <row r="109" spans="2:16" ht="13.5" customHeight="1">
      <c r="B109" s="47">
        <v>106</v>
      </c>
      <c r="C109" s="47" t="s">
        <v>66</v>
      </c>
      <c r="D109" s="47" t="s">
        <v>171</v>
      </c>
      <c r="E109" s="47" t="s">
        <v>220</v>
      </c>
      <c r="H109" s="47" t="s">
        <v>43</v>
      </c>
      <c r="I109" s="47" t="s">
        <v>50</v>
      </c>
      <c r="L109" s="15"/>
      <c r="M109" s="41"/>
      <c r="N109" s="47" t="s">
        <v>216</v>
      </c>
      <c r="O109" s="47" t="s">
        <v>30</v>
      </c>
      <c r="P109" s="47" t="s">
        <v>46</v>
      </c>
    </row>
    <row r="110" spans="2:16" ht="13.5" customHeight="1">
      <c r="B110" s="47">
        <v>112</v>
      </c>
      <c r="C110" s="47" t="s">
        <v>68</v>
      </c>
      <c r="D110" s="47" t="s">
        <v>171</v>
      </c>
      <c r="E110" s="47" t="s">
        <v>215</v>
      </c>
      <c r="H110" s="47" t="s">
        <v>43</v>
      </c>
      <c r="I110" s="47" t="s">
        <v>50</v>
      </c>
      <c r="L110" s="15"/>
      <c r="M110" s="41"/>
      <c r="N110" s="47" t="s">
        <v>216</v>
      </c>
      <c r="O110" s="47" t="s">
        <v>30</v>
      </c>
      <c r="P110" s="47" t="s">
        <v>46</v>
      </c>
    </row>
    <row r="111" spans="2:16" ht="13.5" customHeight="1">
      <c r="B111" s="47">
        <v>113</v>
      </c>
      <c r="C111" s="47" t="s">
        <v>68</v>
      </c>
      <c r="D111" s="47" t="s">
        <v>171</v>
      </c>
      <c r="E111" s="47" t="s">
        <v>217</v>
      </c>
      <c r="H111" s="47" t="s">
        <v>43</v>
      </c>
      <c r="I111" s="47" t="s">
        <v>50</v>
      </c>
      <c r="L111" s="15"/>
      <c r="M111" s="41"/>
      <c r="N111" s="47" t="s">
        <v>216</v>
      </c>
      <c r="O111" s="47" t="s">
        <v>30</v>
      </c>
      <c r="P111" s="47" t="s">
        <v>46</v>
      </c>
    </row>
    <row r="112" spans="2:16" ht="13.5" customHeight="1">
      <c r="B112" s="47">
        <v>114</v>
      </c>
      <c r="C112" s="47" t="s">
        <v>68</v>
      </c>
      <c r="D112" s="47" t="s">
        <v>171</v>
      </c>
      <c r="E112" s="47" t="s">
        <v>218</v>
      </c>
      <c r="H112" s="47" t="s">
        <v>43</v>
      </c>
      <c r="I112" s="47" t="s">
        <v>50</v>
      </c>
      <c r="L112" s="15"/>
      <c r="M112" s="41"/>
      <c r="N112" s="47" t="s">
        <v>216</v>
      </c>
      <c r="O112" s="47" t="s">
        <v>30</v>
      </c>
      <c r="P112" s="47" t="s">
        <v>46</v>
      </c>
    </row>
    <row r="113" spans="2:16" ht="13.5" customHeight="1">
      <c r="B113" s="47">
        <v>115</v>
      </c>
      <c r="C113" s="47" t="s">
        <v>68</v>
      </c>
      <c r="D113" s="47" t="s">
        <v>171</v>
      </c>
      <c r="E113" s="48"/>
      <c r="H113" s="47" t="s">
        <v>43</v>
      </c>
      <c r="I113" s="47" t="s">
        <v>50</v>
      </c>
      <c r="L113" s="15"/>
      <c r="M113" s="41"/>
      <c r="N113" s="47" t="s">
        <v>216</v>
      </c>
      <c r="O113" s="47" t="s">
        <v>30</v>
      </c>
      <c r="P113" s="47" t="s">
        <v>46</v>
      </c>
    </row>
    <row r="114" spans="2:16" ht="13.5" customHeight="1">
      <c r="B114" s="47">
        <v>116</v>
      </c>
      <c r="C114" s="47" t="s">
        <v>68</v>
      </c>
      <c r="D114" s="47" t="s">
        <v>171</v>
      </c>
      <c r="E114" s="48"/>
      <c r="H114" s="47" t="s">
        <v>43</v>
      </c>
      <c r="I114" s="47" t="s">
        <v>50</v>
      </c>
      <c r="L114" s="15"/>
      <c r="M114" s="41"/>
      <c r="N114" s="47" t="s">
        <v>221</v>
      </c>
      <c r="O114" s="47" t="s">
        <v>30</v>
      </c>
      <c r="P114" s="47" t="s">
        <v>46</v>
      </c>
    </row>
    <row r="115" spans="2:16" ht="13.5" customHeight="1">
      <c r="B115" s="47">
        <v>117</v>
      </c>
      <c r="C115" s="47" t="s">
        <v>68</v>
      </c>
      <c r="D115" s="47" t="s">
        <v>171</v>
      </c>
      <c r="E115" s="47" t="s">
        <v>217</v>
      </c>
      <c r="H115" s="47" t="s">
        <v>43</v>
      </c>
      <c r="I115" s="47" t="s">
        <v>50</v>
      </c>
      <c r="L115" s="15"/>
      <c r="M115" s="41"/>
      <c r="N115" s="47" t="s">
        <v>216</v>
      </c>
      <c r="O115" s="47" t="s">
        <v>30</v>
      </c>
      <c r="P115" s="47" t="s">
        <v>46</v>
      </c>
    </row>
    <row r="116" spans="2:16" ht="13.5" customHeight="1">
      <c r="B116" s="47">
        <v>118</v>
      </c>
      <c r="C116" s="47" t="s">
        <v>68</v>
      </c>
      <c r="D116" s="47" t="s">
        <v>171</v>
      </c>
      <c r="E116" s="47" t="s">
        <v>218</v>
      </c>
      <c r="H116" s="47" t="s">
        <v>43</v>
      </c>
      <c r="I116" s="47" t="s">
        <v>50</v>
      </c>
      <c r="L116" s="15"/>
      <c r="M116" s="41"/>
      <c r="N116" s="47" t="s">
        <v>216</v>
      </c>
      <c r="O116" s="47" t="s">
        <v>30</v>
      </c>
      <c r="P116" s="47" t="s">
        <v>46</v>
      </c>
    </row>
    <row r="117" spans="2:16" ht="13.5" customHeight="1">
      <c r="B117" s="47">
        <v>119</v>
      </c>
      <c r="C117" s="47" t="s">
        <v>68</v>
      </c>
      <c r="D117" s="47" t="s">
        <v>171</v>
      </c>
      <c r="E117" s="47" t="s">
        <v>219</v>
      </c>
      <c r="H117" s="47" t="s">
        <v>43</v>
      </c>
      <c r="I117" s="47" t="s">
        <v>50</v>
      </c>
      <c r="L117" s="15"/>
      <c r="M117" s="41"/>
      <c r="N117" s="47" t="s">
        <v>216</v>
      </c>
      <c r="O117" s="47" t="s">
        <v>30</v>
      </c>
      <c r="P117" s="47" t="s">
        <v>46</v>
      </c>
    </row>
    <row r="118" spans="2:16" ht="13.5" customHeight="1">
      <c r="B118" s="47">
        <v>120</v>
      </c>
      <c r="C118" s="47" t="s">
        <v>68</v>
      </c>
      <c r="D118" s="47" t="s">
        <v>171</v>
      </c>
      <c r="E118" s="47" t="s">
        <v>220</v>
      </c>
      <c r="H118" s="47" t="s">
        <v>43</v>
      </c>
      <c r="I118" s="47" t="s">
        <v>50</v>
      </c>
      <c r="L118" s="15"/>
      <c r="M118" s="41"/>
      <c r="N118" s="47" t="s">
        <v>216</v>
      </c>
      <c r="O118" s="47" t="s">
        <v>30</v>
      </c>
      <c r="P118" s="47" t="s">
        <v>46</v>
      </c>
    </row>
    <row r="119" spans="2:16" ht="13.5" customHeight="1">
      <c r="B119" s="47">
        <v>121</v>
      </c>
      <c r="C119" s="47" t="s">
        <v>69</v>
      </c>
      <c r="D119" s="47" t="s">
        <v>171</v>
      </c>
      <c r="E119" s="47" t="s">
        <v>222</v>
      </c>
      <c r="H119" s="47" t="s">
        <v>43</v>
      </c>
      <c r="I119" s="47" t="s">
        <v>50</v>
      </c>
      <c r="L119" s="15"/>
      <c r="M119" s="47" t="s">
        <v>223</v>
      </c>
      <c r="O119" s="47" t="s">
        <v>30</v>
      </c>
      <c r="P119" s="47" t="s">
        <v>46</v>
      </c>
    </row>
    <row r="120" spans="2:16" ht="13.5" customHeight="1">
      <c r="B120" s="47">
        <v>122</v>
      </c>
      <c r="C120" s="47" t="s">
        <v>86</v>
      </c>
      <c r="D120" s="47" t="s">
        <v>224</v>
      </c>
      <c r="E120" s="47" t="s">
        <v>225</v>
      </c>
      <c r="H120" s="47" t="s">
        <v>43</v>
      </c>
      <c r="I120" s="47" t="s">
        <v>50</v>
      </c>
      <c r="L120" s="15"/>
      <c r="M120" s="15" t="s">
        <v>226</v>
      </c>
      <c r="O120" s="47" t="s">
        <v>30</v>
      </c>
      <c r="P120" s="47" t="s">
        <v>46</v>
      </c>
    </row>
    <row r="121" spans="2:16" ht="13.5" customHeight="1">
      <c r="B121" s="47">
        <v>123</v>
      </c>
      <c r="C121" s="47" t="s">
        <v>86</v>
      </c>
      <c r="D121" s="47" t="s">
        <v>224</v>
      </c>
      <c r="E121" s="47" t="s">
        <v>225</v>
      </c>
      <c r="H121" s="47" t="s">
        <v>43</v>
      </c>
      <c r="I121" s="47" t="s">
        <v>50</v>
      </c>
      <c r="L121" s="15"/>
      <c r="M121" s="15" t="s">
        <v>226</v>
      </c>
      <c r="O121" s="47" t="s">
        <v>30</v>
      </c>
      <c r="P121" s="47" t="s">
        <v>46</v>
      </c>
    </row>
    <row r="122" spans="2:16" ht="13.5" customHeight="1">
      <c r="B122" s="47">
        <v>124</v>
      </c>
      <c r="C122" s="47" t="s">
        <v>86</v>
      </c>
      <c r="D122" s="47" t="s">
        <v>224</v>
      </c>
      <c r="E122" s="47" t="s">
        <v>227</v>
      </c>
      <c r="H122" s="47" t="s">
        <v>43</v>
      </c>
      <c r="I122" s="47" t="s">
        <v>50</v>
      </c>
      <c r="L122" s="15"/>
      <c r="M122" s="15" t="s">
        <v>226</v>
      </c>
      <c r="O122" s="47" t="s">
        <v>30</v>
      </c>
      <c r="P122" s="47" t="s">
        <v>46</v>
      </c>
    </row>
    <row r="123" spans="2:16" ht="13.5" customHeight="1">
      <c r="B123" s="47">
        <v>125</v>
      </c>
      <c r="C123" s="47" t="s">
        <v>86</v>
      </c>
      <c r="D123" s="47" t="s">
        <v>224</v>
      </c>
      <c r="E123" s="47" t="s">
        <v>227</v>
      </c>
      <c r="H123" s="47" t="s">
        <v>43</v>
      </c>
      <c r="I123" s="47" t="s">
        <v>50</v>
      </c>
      <c r="L123" s="15"/>
      <c r="M123" s="15" t="s">
        <v>226</v>
      </c>
      <c r="O123" s="47" t="s">
        <v>30</v>
      </c>
      <c r="P123" s="47" t="s">
        <v>46</v>
      </c>
    </row>
    <row r="124" spans="2:16" ht="13.5" customHeight="1">
      <c r="B124" s="47">
        <v>126</v>
      </c>
      <c r="C124" s="47" t="s">
        <v>86</v>
      </c>
      <c r="D124" s="47" t="s">
        <v>224</v>
      </c>
      <c r="E124" s="47" t="s">
        <v>228</v>
      </c>
      <c r="H124" s="47" t="s">
        <v>43</v>
      </c>
      <c r="I124" s="47" t="s">
        <v>50</v>
      </c>
      <c r="L124" s="15"/>
      <c r="M124" s="15" t="s">
        <v>229</v>
      </c>
      <c r="O124" s="47" t="s">
        <v>30</v>
      </c>
      <c r="P124" s="47" t="s">
        <v>46</v>
      </c>
    </row>
    <row r="125" spans="2:16" ht="13.5" customHeight="1">
      <c r="B125" s="47">
        <v>127</v>
      </c>
      <c r="C125" s="47" t="s">
        <v>87</v>
      </c>
      <c r="D125" s="47" t="s">
        <v>224</v>
      </c>
      <c r="E125" s="47" t="s">
        <v>225</v>
      </c>
      <c r="H125" s="47" t="s">
        <v>43</v>
      </c>
      <c r="I125" s="47" t="s">
        <v>50</v>
      </c>
      <c r="L125" s="15"/>
      <c r="M125" s="15" t="s">
        <v>226</v>
      </c>
      <c r="O125" s="47" t="s">
        <v>30</v>
      </c>
      <c r="P125" s="47" t="s">
        <v>46</v>
      </c>
    </row>
    <row r="126" spans="2:16" ht="13.5" customHeight="1">
      <c r="B126" s="47">
        <v>128</v>
      </c>
      <c r="C126" s="47" t="s">
        <v>87</v>
      </c>
      <c r="D126" s="47" t="s">
        <v>224</v>
      </c>
      <c r="E126" s="47" t="s">
        <v>225</v>
      </c>
      <c r="H126" s="47" t="s">
        <v>43</v>
      </c>
      <c r="I126" s="47" t="s">
        <v>50</v>
      </c>
      <c r="L126" s="15"/>
      <c r="M126" s="15" t="s">
        <v>226</v>
      </c>
      <c r="O126" s="47" t="s">
        <v>30</v>
      </c>
      <c r="P126" s="47" t="s">
        <v>46</v>
      </c>
    </row>
    <row r="127" spans="2:16" ht="13.5" customHeight="1">
      <c r="B127" s="47">
        <v>129</v>
      </c>
      <c r="C127" s="47" t="s">
        <v>87</v>
      </c>
      <c r="D127" s="47" t="s">
        <v>224</v>
      </c>
      <c r="E127" s="47" t="s">
        <v>227</v>
      </c>
      <c r="H127" s="47" t="s">
        <v>43</v>
      </c>
      <c r="I127" s="47" t="s">
        <v>50</v>
      </c>
      <c r="L127" s="15"/>
      <c r="M127" s="15" t="s">
        <v>226</v>
      </c>
      <c r="O127" s="47" t="s">
        <v>30</v>
      </c>
      <c r="P127" s="47" t="s">
        <v>46</v>
      </c>
    </row>
    <row r="128" spans="2:16" ht="13.5" customHeight="1">
      <c r="B128" s="47">
        <v>130</v>
      </c>
      <c r="C128" s="47" t="s">
        <v>87</v>
      </c>
      <c r="D128" s="47" t="s">
        <v>224</v>
      </c>
      <c r="E128" s="47" t="s">
        <v>227</v>
      </c>
      <c r="H128" s="47" t="s">
        <v>43</v>
      </c>
      <c r="I128" s="47" t="s">
        <v>50</v>
      </c>
      <c r="L128" s="15"/>
      <c r="M128" s="15" t="s">
        <v>226</v>
      </c>
      <c r="O128" s="47" t="s">
        <v>30</v>
      </c>
      <c r="P128" s="47" t="s">
        <v>46</v>
      </c>
    </row>
    <row r="129" spans="2:16" ht="13.5" customHeight="1">
      <c r="B129" s="47">
        <v>131</v>
      </c>
      <c r="C129" s="47" t="s">
        <v>87</v>
      </c>
      <c r="D129" s="47" t="s">
        <v>224</v>
      </c>
      <c r="E129" s="47" t="s">
        <v>228</v>
      </c>
      <c r="H129" s="47" t="s">
        <v>43</v>
      </c>
      <c r="I129" s="47" t="s">
        <v>50</v>
      </c>
      <c r="L129" s="15"/>
      <c r="M129" s="15" t="s">
        <v>229</v>
      </c>
      <c r="O129" s="47" t="s">
        <v>30</v>
      </c>
      <c r="P129" s="47" t="s">
        <v>46</v>
      </c>
    </row>
    <row r="130" spans="2:16" ht="13.5" customHeight="1">
      <c r="B130" s="47">
        <v>132</v>
      </c>
      <c r="C130" s="47" t="s">
        <v>88</v>
      </c>
      <c r="D130" s="47" t="s">
        <v>224</v>
      </c>
      <c r="E130" s="47" t="s">
        <v>225</v>
      </c>
      <c r="H130" s="47" t="s">
        <v>43</v>
      </c>
      <c r="I130" s="47" t="s">
        <v>50</v>
      </c>
      <c r="L130" s="15"/>
      <c r="M130" s="15" t="s">
        <v>226</v>
      </c>
      <c r="O130" s="47" t="s">
        <v>30</v>
      </c>
      <c r="P130" s="47" t="s">
        <v>46</v>
      </c>
    </row>
    <row r="131" spans="2:16" ht="13.5" customHeight="1">
      <c r="B131" s="47">
        <v>133</v>
      </c>
      <c r="C131" s="47" t="s">
        <v>88</v>
      </c>
      <c r="D131" s="47" t="s">
        <v>224</v>
      </c>
      <c r="E131" s="47" t="s">
        <v>225</v>
      </c>
      <c r="H131" s="47" t="s">
        <v>43</v>
      </c>
      <c r="I131" s="47" t="s">
        <v>50</v>
      </c>
      <c r="L131" s="15"/>
      <c r="M131" s="15" t="s">
        <v>226</v>
      </c>
      <c r="O131" s="47" t="s">
        <v>30</v>
      </c>
      <c r="P131" s="47" t="s">
        <v>46</v>
      </c>
    </row>
    <row r="132" spans="2:16" ht="13.5" customHeight="1">
      <c r="B132" s="47">
        <v>134</v>
      </c>
      <c r="C132" s="47" t="s">
        <v>88</v>
      </c>
      <c r="D132" s="47" t="s">
        <v>224</v>
      </c>
      <c r="E132" s="47" t="s">
        <v>227</v>
      </c>
      <c r="H132" s="47" t="s">
        <v>43</v>
      </c>
      <c r="I132" s="47" t="s">
        <v>50</v>
      </c>
      <c r="L132" s="15"/>
      <c r="M132" s="15" t="s">
        <v>226</v>
      </c>
      <c r="O132" s="47" t="s">
        <v>30</v>
      </c>
      <c r="P132" s="47" t="s">
        <v>46</v>
      </c>
    </row>
    <row r="133" spans="2:16" ht="13.5" customHeight="1">
      <c r="B133" s="47">
        <v>135</v>
      </c>
      <c r="C133" s="47" t="s">
        <v>88</v>
      </c>
      <c r="D133" s="47" t="s">
        <v>224</v>
      </c>
      <c r="E133" s="47" t="s">
        <v>227</v>
      </c>
      <c r="H133" s="47" t="s">
        <v>43</v>
      </c>
      <c r="I133" s="47" t="s">
        <v>50</v>
      </c>
      <c r="L133" s="15"/>
      <c r="M133" s="15" t="s">
        <v>226</v>
      </c>
      <c r="O133" s="47" t="s">
        <v>30</v>
      </c>
      <c r="P133" s="47" t="s">
        <v>46</v>
      </c>
    </row>
    <row r="134" spans="2:16" ht="13.5" customHeight="1">
      <c r="B134" s="47">
        <v>136</v>
      </c>
      <c r="C134" s="47" t="s">
        <v>88</v>
      </c>
      <c r="D134" s="47" t="s">
        <v>224</v>
      </c>
      <c r="E134" s="47" t="s">
        <v>228</v>
      </c>
      <c r="H134" s="47" t="s">
        <v>43</v>
      </c>
      <c r="I134" s="47" t="s">
        <v>50</v>
      </c>
      <c r="L134" s="15"/>
      <c r="M134" s="15" t="s">
        <v>229</v>
      </c>
      <c r="O134" s="47" t="s">
        <v>30</v>
      </c>
      <c r="P134" s="47" t="s">
        <v>46</v>
      </c>
    </row>
    <row r="135" spans="2:16" ht="13.5" customHeight="1">
      <c r="B135" s="47">
        <v>137</v>
      </c>
      <c r="C135" s="47" t="s">
        <v>89</v>
      </c>
      <c r="D135" s="47" t="s">
        <v>224</v>
      </c>
      <c r="E135" s="47" t="s">
        <v>225</v>
      </c>
      <c r="H135" s="47" t="s">
        <v>43</v>
      </c>
      <c r="I135" s="47" t="s">
        <v>50</v>
      </c>
      <c r="L135" s="15"/>
      <c r="M135" s="15" t="s">
        <v>226</v>
      </c>
      <c r="O135" s="47" t="s">
        <v>30</v>
      </c>
      <c r="P135" s="47" t="s">
        <v>46</v>
      </c>
    </row>
    <row r="136" spans="2:16" ht="13.5" customHeight="1">
      <c r="B136" s="47">
        <v>138</v>
      </c>
      <c r="C136" s="47" t="s">
        <v>89</v>
      </c>
      <c r="D136" s="47" t="s">
        <v>224</v>
      </c>
      <c r="E136" s="47" t="s">
        <v>225</v>
      </c>
      <c r="H136" s="47" t="s">
        <v>43</v>
      </c>
      <c r="I136" s="47" t="s">
        <v>50</v>
      </c>
      <c r="L136" s="15"/>
      <c r="M136" s="15" t="s">
        <v>226</v>
      </c>
      <c r="O136" s="47" t="s">
        <v>30</v>
      </c>
      <c r="P136" s="47" t="s">
        <v>46</v>
      </c>
    </row>
    <row r="137" spans="2:16" ht="13.5" customHeight="1">
      <c r="B137" s="47">
        <v>139</v>
      </c>
      <c r="C137" s="47" t="s">
        <v>89</v>
      </c>
      <c r="D137" s="47" t="s">
        <v>224</v>
      </c>
      <c r="E137" s="47" t="s">
        <v>227</v>
      </c>
      <c r="H137" s="47" t="s">
        <v>43</v>
      </c>
      <c r="I137" s="47" t="s">
        <v>50</v>
      </c>
      <c r="L137" s="15"/>
      <c r="M137" s="15" t="s">
        <v>226</v>
      </c>
      <c r="O137" s="47" t="s">
        <v>30</v>
      </c>
      <c r="P137" s="47" t="s">
        <v>46</v>
      </c>
    </row>
    <row r="138" spans="2:16" ht="13.5" customHeight="1">
      <c r="B138" s="47">
        <v>140</v>
      </c>
      <c r="C138" s="47" t="s">
        <v>89</v>
      </c>
      <c r="D138" s="47" t="s">
        <v>224</v>
      </c>
      <c r="E138" s="47" t="s">
        <v>227</v>
      </c>
      <c r="H138" s="47" t="s">
        <v>43</v>
      </c>
      <c r="I138" s="47" t="s">
        <v>50</v>
      </c>
      <c r="L138" s="15"/>
      <c r="M138" s="15" t="s">
        <v>226</v>
      </c>
      <c r="O138" s="47" t="s">
        <v>30</v>
      </c>
      <c r="P138" s="47" t="s">
        <v>46</v>
      </c>
    </row>
    <row r="139" spans="2:16" ht="13.5" customHeight="1">
      <c r="B139" s="47">
        <v>141</v>
      </c>
      <c r="C139" s="47" t="s">
        <v>89</v>
      </c>
      <c r="D139" s="47" t="s">
        <v>224</v>
      </c>
      <c r="E139" s="47" t="s">
        <v>228</v>
      </c>
      <c r="H139" s="47" t="s">
        <v>43</v>
      </c>
      <c r="I139" s="47" t="s">
        <v>50</v>
      </c>
      <c r="L139" s="15"/>
      <c r="M139" s="15" t="s">
        <v>229</v>
      </c>
      <c r="O139" s="47" t="s">
        <v>30</v>
      </c>
      <c r="P139" s="47" t="s">
        <v>46</v>
      </c>
    </row>
    <row r="140" spans="2:16" ht="13.5" customHeight="1">
      <c r="B140" s="47">
        <v>142</v>
      </c>
      <c r="C140" s="47" t="s">
        <v>90</v>
      </c>
      <c r="D140" s="47" t="s">
        <v>224</v>
      </c>
      <c r="E140" s="47" t="s">
        <v>225</v>
      </c>
      <c r="H140" s="47" t="s">
        <v>43</v>
      </c>
      <c r="I140" s="47" t="s">
        <v>50</v>
      </c>
      <c r="L140" s="15"/>
      <c r="M140" s="15" t="s">
        <v>226</v>
      </c>
      <c r="O140" s="47" t="s">
        <v>30</v>
      </c>
      <c r="P140" s="47" t="s">
        <v>46</v>
      </c>
    </row>
    <row r="141" spans="2:16" ht="13.5" customHeight="1">
      <c r="B141" s="47">
        <v>143</v>
      </c>
      <c r="C141" s="47" t="s">
        <v>90</v>
      </c>
      <c r="D141" s="47" t="s">
        <v>224</v>
      </c>
      <c r="E141" s="47" t="s">
        <v>225</v>
      </c>
      <c r="H141" s="47" t="s">
        <v>43</v>
      </c>
      <c r="I141" s="47" t="s">
        <v>50</v>
      </c>
      <c r="L141" s="15"/>
      <c r="M141" s="15" t="s">
        <v>226</v>
      </c>
      <c r="O141" s="47" t="s">
        <v>30</v>
      </c>
      <c r="P141" s="47" t="s">
        <v>46</v>
      </c>
    </row>
    <row r="142" spans="2:16" ht="13.5" customHeight="1">
      <c r="B142" s="47">
        <v>144</v>
      </c>
      <c r="C142" s="47" t="s">
        <v>90</v>
      </c>
      <c r="D142" s="47" t="s">
        <v>224</v>
      </c>
      <c r="E142" s="47" t="s">
        <v>227</v>
      </c>
      <c r="H142" s="47" t="s">
        <v>43</v>
      </c>
      <c r="I142" s="47" t="s">
        <v>50</v>
      </c>
      <c r="L142" s="15"/>
      <c r="M142" s="15" t="s">
        <v>226</v>
      </c>
      <c r="O142" s="47" t="s">
        <v>30</v>
      </c>
      <c r="P142" s="47" t="s">
        <v>46</v>
      </c>
    </row>
    <row r="143" spans="2:16" ht="13.5" customHeight="1">
      <c r="B143" s="47">
        <v>145</v>
      </c>
      <c r="C143" s="47" t="s">
        <v>90</v>
      </c>
      <c r="D143" s="47" t="s">
        <v>224</v>
      </c>
      <c r="E143" s="47" t="s">
        <v>227</v>
      </c>
      <c r="H143" s="47" t="s">
        <v>43</v>
      </c>
      <c r="I143" s="47" t="s">
        <v>50</v>
      </c>
      <c r="L143" s="15"/>
      <c r="M143" s="15" t="s">
        <v>226</v>
      </c>
      <c r="O143" s="47" t="s">
        <v>30</v>
      </c>
      <c r="P143" s="47" t="s">
        <v>46</v>
      </c>
    </row>
    <row r="144" spans="2:16" ht="13.5" customHeight="1">
      <c r="B144" s="47">
        <v>146</v>
      </c>
      <c r="C144" s="47" t="s">
        <v>90</v>
      </c>
      <c r="D144" s="47" t="s">
        <v>224</v>
      </c>
      <c r="E144" s="47" t="s">
        <v>228</v>
      </c>
      <c r="H144" s="47" t="s">
        <v>43</v>
      </c>
      <c r="I144" s="47" t="s">
        <v>50</v>
      </c>
      <c r="L144" s="15"/>
      <c r="M144" s="15" t="s">
        <v>229</v>
      </c>
      <c r="O144" s="47" t="s">
        <v>30</v>
      </c>
      <c r="P144" s="47" t="s">
        <v>46</v>
      </c>
    </row>
    <row r="145" spans="2:28" ht="13.5" customHeight="1">
      <c r="B145" s="47">
        <v>147</v>
      </c>
      <c r="C145" s="47" t="s">
        <v>91</v>
      </c>
      <c r="D145" s="47" t="s">
        <v>224</v>
      </c>
      <c r="E145" s="47" t="s">
        <v>225</v>
      </c>
      <c r="H145" s="47" t="s">
        <v>43</v>
      </c>
      <c r="I145" s="47" t="s">
        <v>50</v>
      </c>
      <c r="L145" s="15"/>
      <c r="M145" s="15" t="s">
        <v>226</v>
      </c>
      <c r="O145" s="47" t="s">
        <v>30</v>
      </c>
      <c r="P145" s="47" t="s">
        <v>46</v>
      </c>
    </row>
    <row r="146" spans="2:28" ht="13.5" customHeight="1">
      <c r="B146" s="47">
        <v>148</v>
      </c>
      <c r="C146" s="47" t="s">
        <v>91</v>
      </c>
      <c r="D146" s="47" t="s">
        <v>224</v>
      </c>
      <c r="E146" s="47" t="s">
        <v>225</v>
      </c>
      <c r="H146" s="47" t="s">
        <v>43</v>
      </c>
      <c r="I146" s="47" t="s">
        <v>50</v>
      </c>
      <c r="L146" s="15"/>
      <c r="M146" s="15" t="s">
        <v>226</v>
      </c>
      <c r="O146" s="47" t="s">
        <v>30</v>
      </c>
      <c r="P146" s="47" t="s">
        <v>46</v>
      </c>
      <c r="R146" s="48"/>
      <c r="S146" s="48"/>
      <c r="T146" s="48"/>
      <c r="U146" s="48"/>
      <c r="V146" s="48"/>
      <c r="W146" s="48"/>
      <c r="X146" s="48"/>
      <c r="Y146" s="48"/>
      <c r="Z146" s="48"/>
      <c r="AA146" s="48"/>
      <c r="AB146" s="48"/>
    </row>
    <row r="147" spans="2:28" ht="13.5" customHeight="1">
      <c r="B147" s="47">
        <v>149</v>
      </c>
      <c r="C147" s="47" t="s">
        <v>91</v>
      </c>
      <c r="D147" s="47" t="s">
        <v>224</v>
      </c>
      <c r="E147" s="47" t="s">
        <v>227</v>
      </c>
      <c r="H147" s="47" t="s">
        <v>43</v>
      </c>
      <c r="I147" s="47" t="s">
        <v>50</v>
      </c>
      <c r="L147" s="15"/>
      <c r="M147" s="15" t="s">
        <v>226</v>
      </c>
      <c r="O147" s="47" t="s">
        <v>30</v>
      </c>
      <c r="P147" s="47" t="s">
        <v>46</v>
      </c>
    </row>
    <row r="148" spans="2:28" ht="13.5" customHeight="1">
      <c r="B148" s="47">
        <v>150</v>
      </c>
      <c r="C148" s="47" t="s">
        <v>91</v>
      </c>
      <c r="D148" s="47" t="s">
        <v>224</v>
      </c>
      <c r="E148" s="47" t="s">
        <v>227</v>
      </c>
      <c r="H148" s="47" t="s">
        <v>43</v>
      </c>
      <c r="I148" s="47" t="s">
        <v>50</v>
      </c>
      <c r="L148" s="15"/>
      <c r="M148" s="15" t="s">
        <v>226</v>
      </c>
      <c r="O148" s="47" t="s">
        <v>30</v>
      </c>
      <c r="P148" s="47" t="s">
        <v>46</v>
      </c>
    </row>
    <row r="149" spans="2:28" ht="13.5" customHeight="1">
      <c r="B149" s="47">
        <v>151</v>
      </c>
      <c r="C149" s="47" t="s">
        <v>91</v>
      </c>
      <c r="D149" s="47" t="s">
        <v>224</v>
      </c>
      <c r="E149" s="47" t="s">
        <v>228</v>
      </c>
      <c r="H149" s="47" t="s">
        <v>43</v>
      </c>
      <c r="I149" s="47" t="s">
        <v>50</v>
      </c>
      <c r="L149" s="15"/>
      <c r="M149" s="15" t="s">
        <v>229</v>
      </c>
      <c r="O149" s="47" t="s">
        <v>30</v>
      </c>
      <c r="P149" s="47" t="s">
        <v>46</v>
      </c>
    </row>
    <row r="150" spans="2:28" ht="13.5" customHeight="1">
      <c r="B150" s="47">
        <v>152</v>
      </c>
      <c r="C150" s="47" t="s">
        <v>92</v>
      </c>
      <c r="D150" s="47" t="s">
        <v>224</v>
      </c>
      <c r="E150" s="47" t="s">
        <v>225</v>
      </c>
      <c r="H150" s="47" t="s">
        <v>43</v>
      </c>
      <c r="I150" s="47" t="s">
        <v>50</v>
      </c>
      <c r="L150" s="15"/>
      <c r="M150" s="15" t="s">
        <v>226</v>
      </c>
      <c r="O150" s="47" t="s">
        <v>30</v>
      </c>
      <c r="P150" s="47" t="s">
        <v>46</v>
      </c>
    </row>
    <row r="151" spans="2:28" ht="13.5" customHeight="1">
      <c r="B151" s="47">
        <v>153</v>
      </c>
      <c r="C151" s="47" t="s">
        <v>92</v>
      </c>
      <c r="D151" s="47" t="s">
        <v>224</v>
      </c>
      <c r="E151" s="47" t="s">
        <v>225</v>
      </c>
      <c r="H151" s="47" t="s">
        <v>43</v>
      </c>
      <c r="I151" s="47" t="s">
        <v>50</v>
      </c>
      <c r="L151" s="15"/>
      <c r="M151" s="15" t="s">
        <v>226</v>
      </c>
      <c r="O151" s="47" t="s">
        <v>30</v>
      </c>
      <c r="P151" s="47" t="s">
        <v>46</v>
      </c>
    </row>
    <row r="152" spans="2:28" ht="13.5" customHeight="1">
      <c r="B152" s="47">
        <v>154</v>
      </c>
      <c r="C152" s="47" t="s">
        <v>92</v>
      </c>
      <c r="D152" s="47" t="s">
        <v>224</v>
      </c>
      <c r="E152" s="47" t="s">
        <v>227</v>
      </c>
      <c r="H152" s="47" t="s">
        <v>43</v>
      </c>
      <c r="I152" s="47" t="s">
        <v>50</v>
      </c>
      <c r="L152" s="15"/>
      <c r="M152" s="15" t="s">
        <v>226</v>
      </c>
      <c r="O152" s="47" t="s">
        <v>30</v>
      </c>
      <c r="P152" s="47" t="s">
        <v>46</v>
      </c>
    </row>
    <row r="153" spans="2:28" ht="13.5" customHeight="1">
      <c r="B153" s="47">
        <v>155</v>
      </c>
      <c r="C153" s="47" t="s">
        <v>92</v>
      </c>
      <c r="D153" s="47" t="s">
        <v>224</v>
      </c>
      <c r="E153" s="47" t="s">
        <v>227</v>
      </c>
      <c r="H153" s="47" t="s">
        <v>43</v>
      </c>
      <c r="I153" s="47" t="s">
        <v>50</v>
      </c>
      <c r="L153" s="15"/>
      <c r="M153" s="15" t="s">
        <v>226</v>
      </c>
      <c r="O153" s="47" t="s">
        <v>30</v>
      </c>
      <c r="P153" s="47" t="s">
        <v>46</v>
      </c>
    </row>
    <row r="154" spans="2:28" ht="13.5" customHeight="1">
      <c r="B154" s="47">
        <v>156</v>
      </c>
      <c r="C154" s="47" t="s">
        <v>92</v>
      </c>
      <c r="D154" s="47" t="s">
        <v>224</v>
      </c>
      <c r="E154" s="47" t="s">
        <v>228</v>
      </c>
      <c r="H154" s="47" t="s">
        <v>43</v>
      </c>
      <c r="I154" s="47" t="s">
        <v>50</v>
      </c>
      <c r="L154" s="15"/>
      <c r="M154" s="15" t="s">
        <v>229</v>
      </c>
      <c r="O154" s="47" t="s">
        <v>30</v>
      </c>
      <c r="P154" s="47" t="s">
        <v>46</v>
      </c>
    </row>
    <row r="155" spans="2:28" ht="13.5" customHeight="1">
      <c r="B155" s="47">
        <v>157</v>
      </c>
      <c r="C155" s="47" t="s">
        <v>93</v>
      </c>
      <c r="D155" s="47" t="s">
        <v>224</v>
      </c>
      <c r="E155" s="47" t="s">
        <v>225</v>
      </c>
      <c r="H155" s="47" t="s">
        <v>43</v>
      </c>
      <c r="I155" s="47" t="s">
        <v>50</v>
      </c>
      <c r="L155" s="15"/>
      <c r="M155" s="15" t="s">
        <v>226</v>
      </c>
      <c r="O155" s="47" t="s">
        <v>30</v>
      </c>
      <c r="P155" s="47" t="s">
        <v>46</v>
      </c>
    </row>
    <row r="156" spans="2:28" ht="13.5" customHeight="1">
      <c r="B156" s="47">
        <v>158</v>
      </c>
      <c r="C156" s="47" t="s">
        <v>93</v>
      </c>
      <c r="D156" s="47" t="s">
        <v>224</v>
      </c>
      <c r="E156" s="47" t="s">
        <v>225</v>
      </c>
      <c r="H156" s="47" t="s">
        <v>43</v>
      </c>
      <c r="I156" s="47" t="s">
        <v>50</v>
      </c>
      <c r="L156" s="15"/>
      <c r="M156" s="15" t="s">
        <v>226</v>
      </c>
      <c r="O156" s="47" t="s">
        <v>30</v>
      </c>
      <c r="P156" s="47" t="s">
        <v>46</v>
      </c>
    </row>
    <row r="157" spans="2:28" ht="13.5" customHeight="1">
      <c r="B157" s="47">
        <v>159</v>
      </c>
      <c r="C157" s="47" t="s">
        <v>93</v>
      </c>
      <c r="D157" s="47" t="s">
        <v>224</v>
      </c>
      <c r="E157" s="47" t="s">
        <v>227</v>
      </c>
      <c r="H157" s="47" t="s">
        <v>43</v>
      </c>
      <c r="I157" s="47" t="s">
        <v>50</v>
      </c>
      <c r="L157" s="15"/>
      <c r="M157" s="15" t="s">
        <v>226</v>
      </c>
      <c r="O157" s="47" t="s">
        <v>30</v>
      </c>
      <c r="P157" s="47" t="s">
        <v>46</v>
      </c>
    </row>
    <row r="158" spans="2:28" ht="13.5" customHeight="1">
      <c r="B158" s="47">
        <v>160</v>
      </c>
      <c r="C158" s="47" t="s">
        <v>93</v>
      </c>
      <c r="D158" s="47" t="s">
        <v>224</v>
      </c>
      <c r="E158" s="47" t="s">
        <v>227</v>
      </c>
      <c r="H158" s="47" t="s">
        <v>43</v>
      </c>
      <c r="I158" s="47" t="s">
        <v>50</v>
      </c>
      <c r="L158" s="15"/>
      <c r="M158" s="15" t="s">
        <v>226</v>
      </c>
      <c r="O158" s="47" t="s">
        <v>30</v>
      </c>
      <c r="P158" s="47" t="s">
        <v>46</v>
      </c>
    </row>
    <row r="159" spans="2:28" ht="13.5" customHeight="1">
      <c r="B159" s="47">
        <v>161</v>
      </c>
      <c r="C159" s="47" t="s">
        <v>93</v>
      </c>
      <c r="D159" s="47" t="s">
        <v>224</v>
      </c>
      <c r="E159" s="47" t="s">
        <v>228</v>
      </c>
      <c r="H159" s="47" t="s">
        <v>43</v>
      </c>
      <c r="I159" s="47" t="s">
        <v>50</v>
      </c>
      <c r="L159" s="15"/>
      <c r="M159" s="15" t="s">
        <v>229</v>
      </c>
      <c r="O159" s="47" t="s">
        <v>30</v>
      </c>
      <c r="P159" s="47" t="s">
        <v>46</v>
      </c>
    </row>
    <row r="160" spans="2:28" ht="13.5" customHeight="1">
      <c r="B160" s="47">
        <v>162</v>
      </c>
      <c r="C160" s="47" t="s">
        <v>94</v>
      </c>
      <c r="D160" s="47" t="s">
        <v>224</v>
      </c>
      <c r="E160" s="47" t="s">
        <v>225</v>
      </c>
      <c r="H160" s="47" t="s">
        <v>43</v>
      </c>
      <c r="I160" s="47" t="s">
        <v>50</v>
      </c>
      <c r="L160" s="15"/>
      <c r="M160" s="15" t="s">
        <v>226</v>
      </c>
      <c r="O160" s="47" t="s">
        <v>30</v>
      </c>
      <c r="P160" s="47" t="s">
        <v>46</v>
      </c>
    </row>
    <row r="161" spans="2:16" ht="13.5" customHeight="1">
      <c r="B161" s="47">
        <v>163</v>
      </c>
      <c r="C161" s="47" t="s">
        <v>94</v>
      </c>
      <c r="D161" s="47" t="s">
        <v>224</v>
      </c>
      <c r="E161" s="47" t="s">
        <v>225</v>
      </c>
      <c r="H161" s="47" t="s">
        <v>43</v>
      </c>
      <c r="I161" s="47" t="s">
        <v>50</v>
      </c>
      <c r="L161" s="15"/>
      <c r="M161" s="15" t="s">
        <v>226</v>
      </c>
      <c r="O161" s="47" t="s">
        <v>30</v>
      </c>
      <c r="P161" s="47" t="s">
        <v>46</v>
      </c>
    </row>
    <row r="162" spans="2:16" ht="13.5" customHeight="1">
      <c r="B162" s="47">
        <v>164</v>
      </c>
      <c r="C162" s="47" t="s">
        <v>94</v>
      </c>
      <c r="D162" s="47" t="s">
        <v>224</v>
      </c>
      <c r="E162" s="47" t="s">
        <v>227</v>
      </c>
      <c r="H162" s="47" t="s">
        <v>43</v>
      </c>
      <c r="I162" s="47" t="s">
        <v>50</v>
      </c>
      <c r="L162" s="15"/>
      <c r="M162" s="15" t="s">
        <v>226</v>
      </c>
      <c r="O162" s="47" t="s">
        <v>30</v>
      </c>
      <c r="P162" s="47" t="s">
        <v>46</v>
      </c>
    </row>
    <row r="163" spans="2:16" ht="13.5" customHeight="1">
      <c r="B163" s="47">
        <v>165</v>
      </c>
      <c r="C163" s="47" t="s">
        <v>94</v>
      </c>
      <c r="D163" s="47" t="s">
        <v>224</v>
      </c>
      <c r="E163" s="47" t="s">
        <v>227</v>
      </c>
      <c r="H163" s="47" t="s">
        <v>43</v>
      </c>
      <c r="I163" s="47" t="s">
        <v>50</v>
      </c>
      <c r="L163" s="15"/>
      <c r="M163" s="15" t="s">
        <v>226</v>
      </c>
      <c r="O163" s="47" t="s">
        <v>30</v>
      </c>
      <c r="P163" s="47" t="s">
        <v>46</v>
      </c>
    </row>
    <row r="164" spans="2:16" ht="13.5" customHeight="1">
      <c r="B164" s="47">
        <v>166</v>
      </c>
      <c r="C164" s="47" t="s">
        <v>94</v>
      </c>
      <c r="D164" s="47" t="s">
        <v>224</v>
      </c>
      <c r="E164" s="47" t="s">
        <v>228</v>
      </c>
      <c r="H164" s="47" t="s">
        <v>43</v>
      </c>
      <c r="I164" s="47" t="s">
        <v>50</v>
      </c>
      <c r="L164" s="15"/>
      <c r="M164" s="15" t="s">
        <v>229</v>
      </c>
      <c r="O164" s="47" t="s">
        <v>30</v>
      </c>
      <c r="P164" s="47" t="s">
        <v>46</v>
      </c>
    </row>
    <row r="165" spans="2:16" ht="13.5" customHeight="1">
      <c r="B165" s="47">
        <v>167</v>
      </c>
      <c r="C165" s="47" t="s">
        <v>95</v>
      </c>
      <c r="D165" s="47" t="s">
        <v>224</v>
      </c>
      <c r="E165" s="47" t="s">
        <v>225</v>
      </c>
      <c r="H165" s="47" t="s">
        <v>43</v>
      </c>
      <c r="I165" s="47" t="s">
        <v>50</v>
      </c>
      <c r="L165" s="15"/>
      <c r="M165" s="15" t="s">
        <v>226</v>
      </c>
      <c r="O165" s="47" t="s">
        <v>30</v>
      </c>
      <c r="P165" s="47" t="s">
        <v>46</v>
      </c>
    </row>
    <row r="166" spans="2:16" ht="13.5" customHeight="1">
      <c r="B166" s="47">
        <v>168</v>
      </c>
      <c r="C166" s="47" t="s">
        <v>95</v>
      </c>
      <c r="D166" s="47" t="s">
        <v>224</v>
      </c>
      <c r="E166" s="47" t="s">
        <v>225</v>
      </c>
      <c r="H166" s="47" t="s">
        <v>43</v>
      </c>
      <c r="I166" s="47" t="s">
        <v>50</v>
      </c>
      <c r="L166" s="15"/>
      <c r="M166" s="15" t="s">
        <v>226</v>
      </c>
      <c r="O166" s="47" t="s">
        <v>30</v>
      </c>
      <c r="P166" s="47" t="s">
        <v>46</v>
      </c>
    </row>
    <row r="167" spans="2:16" ht="13.5" customHeight="1">
      <c r="B167" s="47">
        <v>169</v>
      </c>
      <c r="C167" s="47" t="s">
        <v>95</v>
      </c>
      <c r="D167" s="47" t="s">
        <v>224</v>
      </c>
      <c r="E167" s="47" t="s">
        <v>227</v>
      </c>
      <c r="H167" s="47" t="s">
        <v>43</v>
      </c>
      <c r="I167" s="47" t="s">
        <v>50</v>
      </c>
      <c r="L167" s="15"/>
      <c r="M167" s="15" t="s">
        <v>226</v>
      </c>
      <c r="O167" s="47" t="s">
        <v>30</v>
      </c>
      <c r="P167" s="47" t="s">
        <v>46</v>
      </c>
    </row>
    <row r="168" spans="2:16" ht="13.5" customHeight="1">
      <c r="B168" s="47">
        <v>170</v>
      </c>
      <c r="C168" s="47" t="s">
        <v>95</v>
      </c>
      <c r="D168" s="47" t="s">
        <v>224</v>
      </c>
      <c r="E168" s="47" t="s">
        <v>227</v>
      </c>
      <c r="H168" s="47" t="s">
        <v>43</v>
      </c>
      <c r="I168" s="47" t="s">
        <v>50</v>
      </c>
      <c r="L168" s="15"/>
      <c r="M168" s="15" t="s">
        <v>226</v>
      </c>
      <c r="O168" s="47" t="s">
        <v>30</v>
      </c>
      <c r="P168" s="47" t="s">
        <v>46</v>
      </c>
    </row>
    <row r="169" spans="2:16" ht="13.5" customHeight="1">
      <c r="B169" s="47">
        <v>171</v>
      </c>
      <c r="C169" s="47" t="s">
        <v>95</v>
      </c>
      <c r="D169" s="47" t="s">
        <v>224</v>
      </c>
      <c r="E169" s="47" t="s">
        <v>228</v>
      </c>
      <c r="H169" s="47" t="s">
        <v>43</v>
      </c>
      <c r="I169" s="47" t="s">
        <v>50</v>
      </c>
      <c r="L169" s="15"/>
      <c r="M169" s="15" t="s">
        <v>229</v>
      </c>
      <c r="O169" s="47" t="s">
        <v>30</v>
      </c>
      <c r="P169" s="47" t="s">
        <v>46</v>
      </c>
    </row>
    <row r="170" spans="2:16" ht="13.5" customHeight="1">
      <c r="B170" s="47">
        <v>172</v>
      </c>
      <c r="C170" s="47" t="s">
        <v>96</v>
      </c>
      <c r="D170" s="47" t="s">
        <v>224</v>
      </c>
      <c r="E170" s="47" t="s">
        <v>225</v>
      </c>
      <c r="H170" s="47" t="s">
        <v>43</v>
      </c>
      <c r="I170" s="47" t="s">
        <v>50</v>
      </c>
      <c r="L170" s="15"/>
      <c r="M170" s="15" t="s">
        <v>226</v>
      </c>
      <c r="O170" s="47" t="s">
        <v>30</v>
      </c>
      <c r="P170" s="47" t="s">
        <v>46</v>
      </c>
    </row>
    <row r="171" spans="2:16" ht="13.5" customHeight="1">
      <c r="B171" s="47">
        <v>173</v>
      </c>
      <c r="C171" s="47" t="s">
        <v>96</v>
      </c>
      <c r="D171" s="47" t="s">
        <v>224</v>
      </c>
      <c r="E171" s="47" t="s">
        <v>225</v>
      </c>
      <c r="H171" s="47" t="s">
        <v>43</v>
      </c>
      <c r="I171" s="47" t="s">
        <v>50</v>
      </c>
      <c r="L171" s="15"/>
      <c r="M171" s="15" t="s">
        <v>226</v>
      </c>
      <c r="O171" s="47" t="s">
        <v>30</v>
      </c>
      <c r="P171" s="47" t="s">
        <v>46</v>
      </c>
    </row>
    <row r="172" spans="2:16" ht="13.5" customHeight="1">
      <c r="B172" s="47">
        <v>174</v>
      </c>
      <c r="C172" s="47" t="s">
        <v>96</v>
      </c>
      <c r="D172" s="47" t="s">
        <v>224</v>
      </c>
      <c r="E172" s="47" t="s">
        <v>227</v>
      </c>
      <c r="H172" s="47" t="s">
        <v>43</v>
      </c>
      <c r="I172" s="47" t="s">
        <v>50</v>
      </c>
      <c r="L172" s="15"/>
      <c r="M172" s="15" t="s">
        <v>226</v>
      </c>
      <c r="O172" s="47" t="s">
        <v>30</v>
      </c>
      <c r="P172" s="47" t="s">
        <v>46</v>
      </c>
    </row>
    <row r="173" spans="2:16" ht="13.5" customHeight="1">
      <c r="B173" s="47">
        <v>175</v>
      </c>
      <c r="C173" s="47" t="s">
        <v>96</v>
      </c>
      <c r="D173" s="47" t="s">
        <v>224</v>
      </c>
      <c r="E173" s="47" t="s">
        <v>227</v>
      </c>
      <c r="H173" s="47" t="s">
        <v>43</v>
      </c>
      <c r="I173" s="47" t="s">
        <v>50</v>
      </c>
      <c r="L173" s="15"/>
      <c r="M173" s="15" t="s">
        <v>226</v>
      </c>
      <c r="O173" s="47" t="s">
        <v>30</v>
      </c>
      <c r="P173" s="47" t="s">
        <v>46</v>
      </c>
    </row>
    <row r="174" spans="2:16" ht="13.5" customHeight="1">
      <c r="B174" s="47">
        <v>176</v>
      </c>
      <c r="C174" s="47" t="s">
        <v>96</v>
      </c>
      <c r="D174" s="47" t="s">
        <v>224</v>
      </c>
      <c r="E174" s="47" t="s">
        <v>228</v>
      </c>
      <c r="H174" s="47" t="s">
        <v>43</v>
      </c>
      <c r="I174" s="47" t="s">
        <v>50</v>
      </c>
      <c r="L174" s="15"/>
      <c r="M174" s="15" t="s">
        <v>229</v>
      </c>
      <c r="O174" s="47" t="s">
        <v>30</v>
      </c>
      <c r="P174" s="47" t="s">
        <v>46</v>
      </c>
    </row>
    <row r="175" spans="2:16" ht="13.5" customHeight="1">
      <c r="B175" s="47">
        <v>177</v>
      </c>
      <c r="C175" s="47" t="s">
        <v>97</v>
      </c>
      <c r="D175" s="47" t="s">
        <v>224</v>
      </c>
      <c r="E175" s="47" t="s">
        <v>225</v>
      </c>
      <c r="H175" s="47" t="s">
        <v>43</v>
      </c>
      <c r="I175" s="47" t="s">
        <v>50</v>
      </c>
      <c r="L175" s="15"/>
      <c r="M175" s="15" t="s">
        <v>226</v>
      </c>
      <c r="O175" s="47" t="s">
        <v>30</v>
      </c>
      <c r="P175" s="47" t="s">
        <v>46</v>
      </c>
    </row>
    <row r="176" spans="2:16" ht="13.5" customHeight="1">
      <c r="B176" s="47">
        <v>178</v>
      </c>
      <c r="C176" s="47" t="s">
        <v>97</v>
      </c>
      <c r="D176" s="47" t="s">
        <v>224</v>
      </c>
      <c r="E176" s="47" t="s">
        <v>225</v>
      </c>
      <c r="H176" s="47" t="s">
        <v>43</v>
      </c>
      <c r="I176" s="47" t="s">
        <v>50</v>
      </c>
      <c r="L176" s="15"/>
      <c r="M176" s="15" t="s">
        <v>226</v>
      </c>
      <c r="O176" s="47" t="s">
        <v>30</v>
      </c>
      <c r="P176" s="47" t="s">
        <v>46</v>
      </c>
    </row>
    <row r="177" spans="2:16" ht="13.5" customHeight="1">
      <c r="B177" s="47">
        <v>179</v>
      </c>
      <c r="C177" s="47" t="s">
        <v>97</v>
      </c>
      <c r="D177" s="47" t="s">
        <v>224</v>
      </c>
      <c r="E177" s="47" t="s">
        <v>227</v>
      </c>
      <c r="H177" s="47" t="s">
        <v>43</v>
      </c>
      <c r="I177" s="47" t="s">
        <v>50</v>
      </c>
      <c r="L177" s="15"/>
      <c r="M177" s="15" t="s">
        <v>226</v>
      </c>
      <c r="O177" s="47" t="s">
        <v>30</v>
      </c>
      <c r="P177" s="47" t="s">
        <v>46</v>
      </c>
    </row>
    <row r="178" spans="2:16" ht="13.5" customHeight="1">
      <c r="B178" s="47">
        <v>180</v>
      </c>
      <c r="C178" s="47" t="s">
        <v>97</v>
      </c>
      <c r="D178" s="47" t="s">
        <v>224</v>
      </c>
      <c r="E178" s="47" t="s">
        <v>227</v>
      </c>
      <c r="H178" s="47" t="s">
        <v>43</v>
      </c>
      <c r="I178" s="47" t="s">
        <v>50</v>
      </c>
      <c r="L178" s="15"/>
      <c r="M178" s="15" t="s">
        <v>226</v>
      </c>
      <c r="O178" s="47" t="s">
        <v>30</v>
      </c>
      <c r="P178" s="47" t="s">
        <v>46</v>
      </c>
    </row>
    <row r="179" spans="2:16" ht="13.5" customHeight="1">
      <c r="B179" s="47">
        <v>181</v>
      </c>
      <c r="C179" s="47" t="s">
        <v>97</v>
      </c>
      <c r="D179" s="47" t="s">
        <v>224</v>
      </c>
      <c r="E179" s="47" t="s">
        <v>228</v>
      </c>
      <c r="H179" s="47" t="s">
        <v>43</v>
      </c>
      <c r="I179" s="47" t="s">
        <v>50</v>
      </c>
      <c r="L179" s="15"/>
      <c r="M179" s="15" t="s">
        <v>229</v>
      </c>
      <c r="O179" s="47" t="s">
        <v>30</v>
      </c>
      <c r="P179" s="47" t="s">
        <v>46</v>
      </c>
    </row>
    <row r="180" spans="2:16" ht="13.5" customHeight="1">
      <c r="B180" s="47">
        <v>182</v>
      </c>
      <c r="C180" s="47" t="s">
        <v>98</v>
      </c>
      <c r="D180" s="47" t="s">
        <v>224</v>
      </c>
      <c r="E180" s="47" t="s">
        <v>225</v>
      </c>
      <c r="H180" s="47" t="s">
        <v>43</v>
      </c>
      <c r="I180" s="47" t="s">
        <v>50</v>
      </c>
      <c r="L180" s="15"/>
      <c r="M180" s="15" t="s">
        <v>226</v>
      </c>
      <c r="O180" s="47" t="s">
        <v>30</v>
      </c>
      <c r="P180" s="47" t="s">
        <v>46</v>
      </c>
    </row>
    <row r="181" spans="2:16" ht="13.5" customHeight="1">
      <c r="B181" s="47">
        <v>183</v>
      </c>
      <c r="C181" s="47" t="s">
        <v>98</v>
      </c>
      <c r="D181" s="47" t="s">
        <v>224</v>
      </c>
      <c r="E181" s="47" t="s">
        <v>225</v>
      </c>
      <c r="H181" s="47" t="s">
        <v>43</v>
      </c>
      <c r="I181" s="47" t="s">
        <v>50</v>
      </c>
      <c r="L181" s="15"/>
      <c r="M181" s="15" t="s">
        <v>226</v>
      </c>
      <c r="O181" s="47" t="s">
        <v>30</v>
      </c>
      <c r="P181" s="47" t="s">
        <v>46</v>
      </c>
    </row>
    <row r="182" spans="2:16" ht="13.5" customHeight="1">
      <c r="B182" s="47">
        <v>184</v>
      </c>
      <c r="C182" s="47" t="s">
        <v>98</v>
      </c>
      <c r="D182" s="47" t="s">
        <v>224</v>
      </c>
      <c r="E182" s="47" t="s">
        <v>227</v>
      </c>
      <c r="H182" s="47" t="s">
        <v>43</v>
      </c>
      <c r="I182" s="47" t="s">
        <v>50</v>
      </c>
      <c r="L182" s="15"/>
      <c r="M182" s="15" t="s">
        <v>226</v>
      </c>
      <c r="O182" s="47" t="s">
        <v>30</v>
      </c>
      <c r="P182" s="47" t="s">
        <v>46</v>
      </c>
    </row>
    <row r="183" spans="2:16" ht="13.5" customHeight="1">
      <c r="B183" s="47">
        <v>185</v>
      </c>
      <c r="C183" s="47" t="s">
        <v>98</v>
      </c>
      <c r="D183" s="47" t="s">
        <v>224</v>
      </c>
      <c r="E183" s="47" t="s">
        <v>227</v>
      </c>
      <c r="H183" s="47" t="s">
        <v>43</v>
      </c>
      <c r="I183" s="47" t="s">
        <v>50</v>
      </c>
      <c r="L183" s="15"/>
      <c r="M183" s="15" t="s">
        <v>226</v>
      </c>
      <c r="O183" s="47" t="s">
        <v>30</v>
      </c>
      <c r="P183" s="47" t="s">
        <v>46</v>
      </c>
    </row>
    <row r="184" spans="2:16" ht="13.5" customHeight="1">
      <c r="B184" s="47">
        <v>186</v>
      </c>
      <c r="C184" s="47" t="s">
        <v>98</v>
      </c>
      <c r="D184" s="47" t="s">
        <v>224</v>
      </c>
      <c r="E184" s="47" t="s">
        <v>228</v>
      </c>
      <c r="H184" s="47" t="s">
        <v>43</v>
      </c>
      <c r="I184" s="47" t="s">
        <v>50</v>
      </c>
      <c r="L184" s="15"/>
      <c r="M184" s="15" t="s">
        <v>229</v>
      </c>
      <c r="O184" s="47" t="s">
        <v>30</v>
      </c>
      <c r="P184" s="47" t="s">
        <v>46</v>
      </c>
    </row>
    <row r="185" spans="2:16" ht="13.5" customHeight="1">
      <c r="B185" s="47">
        <v>187</v>
      </c>
      <c r="C185" s="47" t="s">
        <v>99</v>
      </c>
      <c r="D185" s="47" t="s">
        <v>224</v>
      </c>
      <c r="E185" s="47" t="s">
        <v>225</v>
      </c>
      <c r="H185" s="47" t="s">
        <v>43</v>
      </c>
      <c r="I185" s="47" t="s">
        <v>50</v>
      </c>
      <c r="L185" s="15"/>
      <c r="M185" s="15" t="s">
        <v>226</v>
      </c>
      <c r="O185" s="47" t="s">
        <v>30</v>
      </c>
      <c r="P185" s="47" t="s">
        <v>46</v>
      </c>
    </row>
    <row r="186" spans="2:16" ht="13.5" customHeight="1">
      <c r="B186" s="47">
        <v>188</v>
      </c>
      <c r="C186" s="47" t="s">
        <v>99</v>
      </c>
      <c r="D186" s="47" t="s">
        <v>224</v>
      </c>
      <c r="E186" s="47" t="s">
        <v>225</v>
      </c>
      <c r="H186" s="47" t="s">
        <v>43</v>
      </c>
      <c r="I186" s="47" t="s">
        <v>50</v>
      </c>
      <c r="L186" s="15"/>
      <c r="M186" s="15" t="s">
        <v>226</v>
      </c>
      <c r="O186" s="47" t="s">
        <v>30</v>
      </c>
      <c r="P186" s="47" t="s">
        <v>46</v>
      </c>
    </row>
    <row r="187" spans="2:16" ht="13.5" customHeight="1">
      <c r="B187" s="47">
        <v>189</v>
      </c>
      <c r="C187" s="47" t="s">
        <v>99</v>
      </c>
      <c r="D187" s="47" t="s">
        <v>224</v>
      </c>
      <c r="E187" s="47" t="s">
        <v>227</v>
      </c>
      <c r="H187" s="47" t="s">
        <v>43</v>
      </c>
      <c r="I187" s="47" t="s">
        <v>50</v>
      </c>
      <c r="L187" s="15"/>
      <c r="M187" s="15" t="s">
        <v>226</v>
      </c>
      <c r="O187" s="47" t="s">
        <v>30</v>
      </c>
      <c r="P187" s="47" t="s">
        <v>46</v>
      </c>
    </row>
    <row r="188" spans="2:16" ht="13.5" customHeight="1">
      <c r="B188" s="47">
        <v>190</v>
      </c>
      <c r="C188" s="47" t="s">
        <v>99</v>
      </c>
      <c r="D188" s="47" t="s">
        <v>224</v>
      </c>
      <c r="E188" s="47" t="s">
        <v>227</v>
      </c>
      <c r="H188" s="47" t="s">
        <v>43</v>
      </c>
      <c r="I188" s="47" t="s">
        <v>50</v>
      </c>
      <c r="L188" s="15"/>
      <c r="M188" s="15" t="s">
        <v>226</v>
      </c>
      <c r="O188" s="47" t="s">
        <v>30</v>
      </c>
      <c r="P188" s="47" t="s">
        <v>46</v>
      </c>
    </row>
    <row r="189" spans="2:16" ht="13.5" customHeight="1">
      <c r="B189" s="47">
        <v>191</v>
      </c>
      <c r="C189" s="47" t="s">
        <v>99</v>
      </c>
      <c r="D189" s="47" t="s">
        <v>224</v>
      </c>
      <c r="E189" s="47" t="s">
        <v>228</v>
      </c>
      <c r="H189" s="47" t="s">
        <v>43</v>
      </c>
      <c r="I189" s="47" t="s">
        <v>50</v>
      </c>
      <c r="L189" s="15"/>
      <c r="M189" s="15" t="s">
        <v>229</v>
      </c>
      <c r="O189" s="47" t="s">
        <v>30</v>
      </c>
      <c r="P189" s="47" t="s">
        <v>46</v>
      </c>
    </row>
    <row r="190" spans="2:16" ht="13.5" customHeight="1">
      <c r="B190" s="47">
        <v>193</v>
      </c>
      <c r="C190" s="47" t="s">
        <v>230</v>
      </c>
      <c r="D190" s="47" t="s">
        <v>171</v>
      </c>
      <c r="E190" s="47" t="s">
        <v>222</v>
      </c>
      <c r="H190" s="47" t="s">
        <v>43</v>
      </c>
      <c r="I190" s="47" t="s">
        <v>50</v>
      </c>
      <c r="L190" s="15"/>
      <c r="M190" s="15" t="s">
        <v>223</v>
      </c>
      <c r="O190" s="47" t="s">
        <v>30</v>
      </c>
      <c r="P190" s="47" t="s">
        <v>46</v>
      </c>
    </row>
    <row r="191" spans="2:16" ht="13.5" customHeight="1">
      <c r="B191" s="47">
        <v>200</v>
      </c>
      <c r="C191" s="47" t="s">
        <v>101</v>
      </c>
      <c r="D191" s="47" t="s">
        <v>204</v>
      </c>
      <c r="H191" s="47" t="s">
        <v>58</v>
      </c>
      <c r="I191" s="47" t="s">
        <v>231</v>
      </c>
      <c r="L191" s="41"/>
      <c r="M191" s="41"/>
      <c r="N191" s="47" t="s">
        <v>232</v>
      </c>
      <c r="O191" s="47" t="s">
        <v>30</v>
      </c>
      <c r="P191" s="47" t="s">
        <v>46</v>
      </c>
    </row>
    <row r="192" spans="2:16" ht="13.5" customHeight="1">
      <c r="B192" s="47">
        <v>200</v>
      </c>
      <c r="C192" s="47" t="s">
        <v>101</v>
      </c>
      <c r="D192" s="47" t="s">
        <v>204</v>
      </c>
      <c r="H192" s="47" t="s">
        <v>58</v>
      </c>
      <c r="I192" s="47" t="s">
        <v>231</v>
      </c>
      <c r="L192" s="15"/>
      <c r="M192" s="15"/>
    </row>
    <row r="193" spans="2:16" ht="13.5" customHeight="1">
      <c r="B193" s="47">
        <v>201</v>
      </c>
      <c r="C193" s="47" t="s">
        <v>101</v>
      </c>
      <c r="D193" s="47" t="s">
        <v>204</v>
      </c>
      <c r="H193" s="47" t="s">
        <v>58</v>
      </c>
      <c r="I193" s="47" t="s">
        <v>231</v>
      </c>
      <c r="L193" s="41"/>
      <c r="M193" s="41"/>
      <c r="N193" s="47" t="s">
        <v>232</v>
      </c>
      <c r="O193" s="47" t="s">
        <v>30</v>
      </c>
      <c r="P193" s="47" t="s">
        <v>46</v>
      </c>
    </row>
    <row r="194" spans="2:16" ht="13.5" customHeight="1">
      <c r="B194" s="47">
        <v>202</v>
      </c>
      <c r="C194" s="47" t="s">
        <v>101</v>
      </c>
      <c r="D194" s="47" t="s">
        <v>204</v>
      </c>
      <c r="H194" s="47" t="s">
        <v>58</v>
      </c>
      <c r="I194" s="47" t="s">
        <v>231</v>
      </c>
      <c r="L194" s="15" t="s">
        <v>233</v>
      </c>
      <c r="M194" s="15" t="s">
        <v>234</v>
      </c>
      <c r="N194" s="47" t="s">
        <v>235</v>
      </c>
      <c r="O194" s="47" t="s">
        <v>30</v>
      </c>
      <c r="P194" s="47" t="s">
        <v>46</v>
      </c>
    </row>
    <row r="195" spans="2:16" ht="13.5" customHeight="1">
      <c r="B195" s="47">
        <v>203</v>
      </c>
      <c r="C195" s="47" t="s">
        <v>101</v>
      </c>
      <c r="D195" s="47" t="s">
        <v>204</v>
      </c>
      <c r="H195" s="47" t="s">
        <v>58</v>
      </c>
      <c r="I195" s="47" t="s">
        <v>231</v>
      </c>
      <c r="L195" s="15" t="s">
        <v>233</v>
      </c>
      <c r="M195" s="15" t="s">
        <v>234</v>
      </c>
      <c r="N195" s="47" t="s">
        <v>235</v>
      </c>
      <c r="O195" s="47" t="s">
        <v>30</v>
      </c>
      <c r="P195" s="47" t="s">
        <v>46</v>
      </c>
    </row>
    <row r="196" spans="2:16" ht="13.5" customHeight="1">
      <c r="B196" s="47">
        <v>204</v>
      </c>
      <c r="C196" s="47" t="s">
        <v>101</v>
      </c>
      <c r="D196" s="47" t="s">
        <v>204</v>
      </c>
      <c r="H196" s="47" t="s">
        <v>58</v>
      </c>
      <c r="I196" s="47" t="s">
        <v>231</v>
      </c>
      <c r="L196" s="15" t="s">
        <v>233</v>
      </c>
      <c r="M196" s="15" t="s">
        <v>234</v>
      </c>
      <c r="N196" s="47" t="s">
        <v>235</v>
      </c>
      <c r="O196" s="47" t="s">
        <v>30</v>
      </c>
      <c r="P196" s="47" t="s">
        <v>46</v>
      </c>
    </row>
    <row r="197" spans="2:16" ht="13.5" customHeight="1">
      <c r="B197" s="47">
        <v>205</v>
      </c>
      <c r="C197" s="47" t="s">
        <v>101</v>
      </c>
      <c r="D197" s="47" t="s">
        <v>204</v>
      </c>
      <c r="H197" s="47" t="s">
        <v>58</v>
      </c>
      <c r="I197" s="47" t="s">
        <v>231</v>
      </c>
      <c r="L197" s="15" t="s">
        <v>233</v>
      </c>
      <c r="M197" s="15" t="s">
        <v>236</v>
      </c>
      <c r="N197" s="47" t="s">
        <v>237</v>
      </c>
      <c r="O197" s="47" t="s">
        <v>30</v>
      </c>
      <c r="P197" s="47" t="s">
        <v>46</v>
      </c>
    </row>
    <row r="198" spans="2:16" ht="13.5" customHeight="1">
      <c r="B198" s="47">
        <v>206</v>
      </c>
      <c r="C198" s="47" t="s">
        <v>101</v>
      </c>
      <c r="D198" s="47" t="s">
        <v>204</v>
      </c>
      <c r="H198" s="47" t="s">
        <v>58</v>
      </c>
      <c r="I198" s="47" t="s">
        <v>231</v>
      </c>
      <c r="L198" s="15" t="s">
        <v>233</v>
      </c>
      <c r="M198" s="15" t="s">
        <v>236</v>
      </c>
      <c r="N198" s="47" t="s">
        <v>237</v>
      </c>
      <c r="O198" s="47" t="s">
        <v>30</v>
      </c>
      <c r="P198" s="47" t="s">
        <v>46</v>
      </c>
    </row>
    <row r="199" spans="2:16" ht="13.5" customHeight="1">
      <c r="B199" s="47">
        <v>207</v>
      </c>
      <c r="C199" s="47" t="s">
        <v>101</v>
      </c>
      <c r="D199" s="47" t="s">
        <v>204</v>
      </c>
      <c r="H199" s="47" t="s">
        <v>58</v>
      </c>
      <c r="I199" s="47" t="s">
        <v>231</v>
      </c>
      <c r="L199" s="15" t="s">
        <v>233</v>
      </c>
      <c r="M199" s="15" t="s">
        <v>236</v>
      </c>
      <c r="N199" s="47" t="s">
        <v>237</v>
      </c>
      <c r="O199" s="47" t="s">
        <v>30</v>
      </c>
      <c r="P199" s="47" t="s">
        <v>46</v>
      </c>
    </row>
    <row r="200" spans="2:16" ht="13.5" customHeight="1">
      <c r="B200" s="47">
        <v>210</v>
      </c>
      <c r="C200" s="47" t="s">
        <v>83</v>
      </c>
      <c r="D200" s="47" t="s">
        <v>238</v>
      </c>
      <c r="E200" s="47" t="s">
        <v>194</v>
      </c>
      <c r="H200" s="47" t="s">
        <v>30</v>
      </c>
      <c r="I200" s="47" t="s">
        <v>47</v>
      </c>
      <c r="J200" s="47" t="s">
        <v>43</v>
      </c>
      <c r="L200" s="15" t="s">
        <v>239</v>
      </c>
      <c r="M200" s="15" t="s">
        <v>240</v>
      </c>
      <c r="N200" s="47" t="s">
        <v>241</v>
      </c>
      <c r="O200" s="47" t="s">
        <v>30</v>
      </c>
      <c r="P200" s="47" t="s">
        <v>46</v>
      </c>
    </row>
    <row r="201" spans="2:16" ht="13.5" customHeight="1">
      <c r="B201" s="47">
        <v>211</v>
      </c>
      <c r="C201" s="47" t="s">
        <v>83</v>
      </c>
      <c r="D201" s="47" t="s">
        <v>238</v>
      </c>
      <c r="E201" s="47" t="s">
        <v>194</v>
      </c>
      <c r="H201" s="47" t="s">
        <v>30</v>
      </c>
      <c r="I201" s="47" t="s">
        <v>47</v>
      </c>
      <c r="J201" s="47" t="s">
        <v>43</v>
      </c>
      <c r="L201" s="15" t="s">
        <v>239</v>
      </c>
      <c r="M201" s="15" t="s">
        <v>240</v>
      </c>
      <c r="N201" s="47" t="s">
        <v>241</v>
      </c>
      <c r="O201" s="47" t="s">
        <v>30</v>
      </c>
      <c r="P201" s="47" t="s">
        <v>46</v>
      </c>
    </row>
    <row r="202" spans="2:16" ht="13.5" customHeight="1">
      <c r="B202" s="47">
        <v>212</v>
      </c>
      <c r="C202" s="47" t="s">
        <v>83</v>
      </c>
      <c r="D202" s="47" t="s">
        <v>238</v>
      </c>
      <c r="E202" s="47" t="s">
        <v>194</v>
      </c>
      <c r="H202" s="47" t="s">
        <v>30</v>
      </c>
      <c r="I202" s="47" t="s">
        <v>47</v>
      </c>
      <c r="J202" s="47" t="s">
        <v>43</v>
      </c>
      <c r="L202" s="15" t="s">
        <v>239</v>
      </c>
      <c r="M202" s="15" t="s">
        <v>240</v>
      </c>
      <c r="N202" s="47" t="s">
        <v>241</v>
      </c>
      <c r="O202" s="47" t="s">
        <v>30</v>
      </c>
      <c r="P202" s="47" t="s">
        <v>46</v>
      </c>
    </row>
    <row r="203" spans="2:16" ht="13.5" customHeight="1">
      <c r="B203" s="47">
        <v>213</v>
      </c>
      <c r="C203" s="47" t="s">
        <v>83</v>
      </c>
      <c r="D203" s="47" t="s">
        <v>238</v>
      </c>
      <c r="E203" s="47" t="s">
        <v>194</v>
      </c>
      <c r="H203" s="47" t="s">
        <v>30</v>
      </c>
      <c r="I203" s="47" t="s">
        <v>47</v>
      </c>
      <c r="J203" s="47" t="s">
        <v>43</v>
      </c>
      <c r="L203" s="15" t="s">
        <v>239</v>
      </c>
      <c r="M203" s="15" t="s">
        <v>240</v>
      </c>
      <c r="N203" s="47" t="s">
        <v>241</v>
      </c>
      <c r="O203" s="47" t="s">
        <v>30</v>
      </c>
      <c r="P203" s="47" t="s">
        <v>46</v>
      </c>
    </row>
    <row r="204" spans="2:16" ht="13.5" customHeight="1">
      <c r="B204" s="47">
        <v>214</v>
      </c>
      <c r="C204" s="47" t="s">
        <v>83</v>
      </c>
      <c r="D204" s="47" t="s">
        <v>238</v>
      </c>
      <c r="E204" s="47" t="s">
        <v>194</v>
      </c>
      <c r="H204" s="47" t="s">
        <v>30</v>
      </c>
      <c r="I204" s="47" t="s">
        <v>47</v>
      </c>
      <c r="J204" s="47" t="s">
        <v>43</v>
      </c>
      <c r="L204" s="15" t="s">
        <v>239</v>
      </c>
      <c r="M204" s="15" t="s">
        <v>240</v>
      </c>
      <c r="N204" s="47" t="s">
        <v>241</v>
      </c>
      <c r="O204" s="47" t="s">
        <v>30</v>
      </c>
      <c r="P204" s="47" t="s">
        <v>46</v>
      </c>
    </row>
    <row r="205" spans="2:16" ht="13.5" customHeight="1">
      <c r="B205" s="47">
        <v>215</v>
      </c>
      <c r="C205" s="47" t="s">
        <v>1216</v>
      </c>
      <c r="F205" s="47" t="s">
        <v>1221</v>
      </c>
      <c r="G205" s="47">
        <v>1</v>
      </c>
      <c r="H205" s="47" t="s">
        <v>530</v>
      </c>
      <c r="L205" s="47" t="s">
        <v>1276</v>
      </c>
      <c r="M205" s="47" t="s">
        <v>1279</v>
      </c>
    </row>
    <row r="206" spans="2:16" ht="13.5" customHeight="1">
      <c r="B206" s="47">
        <v>215</v>
      </c>
      <c r="C206" s="47" t="s">
        <v>1216</v>
      </c>
      <c r="F206" s="47" t="s">
        <v>1221</v>
      </c>
      <c r="G206" s="47">
        <v>1</v>
      </c>
      <c r="H206" s="47" t="s">
        <v>530</v>
      </c>
      <c r="L206" s="47" t="s">
        <v>314</v>
      </c>
      <c r="M206" s="47" t="s">
        <v>1279</v>
      </c>
    </row>
    <row r="207" spans="2:16" ht="13.5" customHeight="1">
      <c r="B207" s="47">
        <v>216</v>
      </c>
      <c r="C207" s="47" t="s">
        <v>1216</v>
      </c>
      <c r="F207" s="47" t="s">
        <v>1222</v>
      </c>
      <c r="G207" s="47">
        <v>1</v>
      </c>
      <c r="H207" s="47" t="s">
        <v>530</v>
      </c>
      <c r="L207" s="47" t="s">
        <v>1276</v>
      </c>
      <c r="M207" s="47" t="s">
        <v>1279</v>
      </c>
    </row>
    <row r="208" spans="2:16" ht="13.5" customHeight="1">
      <c r="B208" s="47">
        <v>216</v>
      </c>
      <c r="C208" s="47" t="s">
        <v>1216</v>
      </c>
      <c r="F208" s="47" t="s">
        <v>1222</v>
      </c>
      <c r="G208" s="47">
        <v>1</v>
      </c>
      <c r="H208" s="47" t="s">
        <v>530</v>
      </c>
      <c r="L208" s="47" t="s">
        <v>314</v>
      </c>
      <c r="M208" s="47" t="s">
        <v>1279</v>
      </c>
    </row>
    <row r="209" spans="1:35" ht="13.5" customHeight="1">
      <c r="B209" s="47">
        <v>217</v>
      </c>
      <c r="C209" s="47" t="s">
        <v>1216</v>
      </c>
      <c r="F209" s="47" t="s">
        <v>1222</v>
      </c>
      <c r="G209" s="47">
        <v>1</v>
      </c>
      <c r="H209" s="47" t="s">
        <v>530</v>
      </c>
      <c r="L209" s="47" t="s">
        <v>1276</v>
      </c>
      <c r="M209" s="47" t="s">
        <v>1279</v>
      </c>
    </row>
    <row r="210" spans="1:35" ht="13.5" customHeight="1">
      <c r="B210" s="47">
        <v>217</v>
      </c>
      <c r="C210" s="47" t="s">
        <v>1216</v>
      </c>
      <c r="F210" s="47" t="s">
        <v>1222</v>
      </c>
      <c r="G210" s="47">
        <v>1</v>
      </c>
      <c r="H210" s="47" t="s">
        <v>530</v>
      </c>
      <c r="L210" s="47" t="s">
        <v>314</v>
      </c>
      <c r="M210" s="47" t="s">
        <v>1279</v>
      </c>
    </row>
    <row r="211" spans="1:35" ht="13.5" customHeight="1">
      <c r="B211" s="47">
        <v>218</v>
      </c>
      <c r="C211" s="47" t="s">
        <v>1216</v>
      </c>
      <c r="F211" s="47" t="s">
        <v>1222</v>
      </c>
      <c r="G211" s="47">
        <v>1</v>
      </c>
      <c r="H211" s="47" t="s">
        <v>530</v>
      </c>
      <c r="L211" s="47" t="s">
        <v>1276</v>
      </c>
      <c r="M211" s="47" t="s">
        <v>1279</v>
      </c>
    </row>
    <row r="212" spans="1:35" ht="13.5" customHeight="1">
      <c r="B212" s="47">
        <v>218</v>
      </c>
      <c r="C212" s="47" t="s">
        <v>1216</v>
      </c>
      <c r="F212" s="47" t="s">
        <v>1222</v>
      </c>
      <c r="G212" s="47">
        <v>1</v>
      </c>
      <c r="H212" s="47" t="s">
        <v>530</v>
      </c>
      <c r="L212" s="47" t="s">
        <v>314</v>
      </c>
      <c r="M212" s="47" t="s">
        <v>1279</v>
      </c>
    </row>
    <row r="213" spans="1:35" ht="13.5" customHeight="1">
      <c r="B213" s="47">
        <v>219</v>
      </c>
      <c r="C213" s="47" t="s">
        <v>1216</v>
      </c>
      <c r="F213" s="47" t="s">
        <v>1223</v>
      </c>
      <c r="G213" s="47">
        <v>1</v>
      </c>
      <c r="H213" s="47" t="s">
        <v>1274</v>
      </c>
      <c r="L213" s="47" t="s">
        <v>1276</v>
      </c>
      <c r="M213" s="47" t="s">
        <v>1279</v>
      </c>
    </row>
    <row r="214" spans="1:35" ht="13.5" customHeight="1">
      <c r="B214" s="47">
        <v>219</v>
      </c>
      <c r="C214" s="47" t="s">
        <v>1216</v>
      </c>
      <c r="F214" s="47" t="s">
        <v>1223</v>
      </c>
      <c r="G214" s="47">
        <v>1</v>
      </c>
      <c r="H214" s="47" t="s">
        <v>1274</v>
      </c>
      <c r="L214" s="47" t="s">
        <v>314</v>
      </c>
      <c r="M214" s="47" t="s">
        <v>1279</v>
      </c>
    </row>
    <row r="215" spans="1:35" ht="13.5" customHeight="1">
      <c r="B215" s="47">
        <v>220</v>
      </c>
      <c r="C215" s="47" t="s">
        <v>1216</v>
      </c>
      <c r="F215" s="47" t="s">
        <v>1223</v>
      </c>
      <c r="G215" s="47">
        <v>1</v>
      </c>
      <c r="H215" s="47" t="s">
        <v>1274</v>
      </c>
      <c r="L215" s="47" t="s">
        <v>1276</v>
      </c>
      <c r="M215" s="47" t="s">
        <v>1279</v>
      </c>
    </row>
    <row r="216" spans="1:35" ht="13.5" customHeight="1">
      <c r="B216" s="47">
        <v>220</v>
      </c>
      <c r="C216" s="47" t="s">
        <v>1216</v>
      </c>
      <c r="F216" s="47" t="s">
        <v>1223</v>
      </c>
      <c r="G216" s="47">
        <v>1</v>
      </c>
      <c r="H216" s="47" t="s">
        <v>1274</v>
      </c>
      <c r="L216" s="47" t="s">
        <v>314</v>
      </c>
      <c r="M216" s="47" t="s">
        <v>1279</v>
      </c>
    </row>
    <row r="217" spans="1:35" ht="13.5" customHeight="1">
      <c r="B217" s="47">
        <v>221</v>
      </c>
      <c r="C217" s="47" t="s">
        <v>1216</v>
      </c>
      <c r="F217" s="47" t="s">
        <v>1223</v>
      </c>
      <c r="G217" s="47">
        <v>1</v>
      </c>
      <c r="H217" s="47" t="s">
        <v>1274</v>
      </c>
      <c r="L217" s="47" t="s">
        <v>1276</v>
      </c>
      <c r="M217" s="47" t="s">
        <v>1279</v>
      </c>
    </row>
    <row r="218" spans="1:35" ht="13.5" customHeight="1">
      <c r="B218" s="47">
        <v>221</v>
      </c>
      <c r="C218" s="47" t="s">
        <v>1216</v>
      </c>
      <c r="F218" s="47" t="s">
        <v>1223</v>
      </c>
      <c r="G218" s="47">
        <v>1</v>
      </c>
      <c r="H218" s="47" t="s">
        <v>1274</v>
      </c>
      <c r="L218" s="47" t="s">
        <v>314</v>
      </c>
      <c r="M218" s="47" t="s">
        <v>1279</v>
      </c>
    </row>
    <row r="219" spans="1:35" ht="13.5" customHeight="1">
      <c r="B219" s="47">
        <v>222</v>
      </c>
      <c r="C219" s="47" t="s">
        <v>1216</v>
      </c>
      <c r="F219" s="47" t="s">
        <v>1224</v>
      </c>
      <c r="G219" s="47">
        <v>1</v>
      </c>
      <c r="H219" s="47" t="s">
        <v>530</v>
      </c>
      <c r="L219" s="47" t="s">
        <v>314</v>
      </c>
      <c r="M219" s="47" t="s">
        <v>1279</v>
      </c>
    </row>
    <row r="220" spans="1:35" ht="13.5" customHeight="1">
      <c r="B220" s="47">
        <v>222</v>
      </c>
      <c r="C220" s="47" t="s">
        <v>102</v>
      </c>
      <c r="D220" s="47" t="s">
        <v>177</v>
      </c>
      <c r="F220" s="47" t="s">
        <v>242</v>
      </c>
      <c r="H220" s="47" t="s">
        <v>62</v>
      </c>
      <c r="L220" s="41" t="s">
        <v>182</v>
      </c>
      <c r="M220" s="15" t="s">
        <v>243</v>
      </c>
      <c r="O220" s="47" t="s">
        <v>30</v>
      </c>
      <c r="P220" s="47" t="s">
        <v>46</v>
      </c>
    </row>
    <row r="221" spans="1:35" ht="13.5" customHeight="1">
      <c r="B221" s="47">
        <v>223</v>
      </c>
      <c r="C221" s="47" t="s">
        <v>1216</v>
      </c>
      <c r="F221" s="47" t="s">
        <v>1224</v>
      </c>
      <c r="G221" s="47">
        <v>1</v>
      </c>
      <c r="H221" s="47" t="s">
        <v>530</v>
      </c>
      <c r="L221" s="47" t="s">
        <v>1276</v>
      </c>
      <c r="M221" s="47" t="s">
        <v>1279</v>
      </c>
    </row>
    <row r="222" spans="1:35" s="48" customFormat="1" ht="13.5" customHeight="1">
      <c r="A222" s="47"/>
      <c r="B222" s="47">
        <v>224</v>
      </c>
      <c r="C222" s="47" t="s">
        <v>1216</v>
      </c>
      <c r="D222" s="47"/>
      <c r="E222" s="47"/>
      <c r="F222" s="47" t="s">
        <v>1224</v>
      </c>
      <c r="G222" s="47">
        <v>1</v>
      </c>
      <c r="H222" s="47" t="s">
        <v>530</v>
      </c>
      <c r="I222" s="47"/>
      <c r="J222" s="47"/>
      <c r="K222" s="47"/>
      <c r="L222" s="47" t="s">
        <v>1276</v>
      </c>
      <c r="M222" s="47" t="s">
        <v>1279</v>
      </c>
      <c r="N222" s="47"/>
      <c r="O222" s="47"/>
      <c r="P222" s="47"/>
      <c r="Q222" s="47"/>
      <c r="R222" s="47"/>
      <c r="S222" s="47"/>
      <c r="T222" s="47"/>
      <c r="U222" s="47"/>
      <c r="V222" s="47"/>
      <c r="W222" s="47"/>
      <c r="X222" s="47"/>
      <c r="Y222" s="47"/>
      <c r="Z222" s="47"/>
      <c r="AA222" s="47"/>
      <c r="AB222" s="47"/>
      <c r="AC222" s="47"/>
      <c r="AD222" s="47"/>
      <c r="AE222" s="47"/>
      <c r="AF222" s="47"/>
      <c r="AG222" s="47"/>
      <c r="AH222" s="47"/>
      <c r="AI222" s="47"/>
    </row>
    <row r="223" spans="1:35" s="48" customFormat="1" ht="13.5" customHeight="1">
      <c r="A223" s="47"/>
      <c r="B223" s="47">
        <v>224</v>
      </c>
      <c r="C223" s="47" t="s">
        <v>1216</v>
      </c>
      <c r="D223" s="47"/>
      <c r="E223" s="47"/>
      <c r="F223" s="47" t="s">
        <v>1224</v>
      </c>
      <c r="G223" s="47">
        <v>1</v>
      </c>
      <c r="H223" s="47" t="s">
        <v>530</v>
      </c>
      <c r="I223" s="47"/>
      <c r="J223" s="47"/>
      <c r="K223" s="47"/>
      <c r="L223" s="47" t="s">
        <v>314</v>
      </c>
      <c r="M223" s="47" t="s">
        <v>1279</v>
      </c>
      <c r="N223" s="47"/>
      <c r="O223" s="47"/>
      <c r="P223" s="47"/>
      <c r="Q223" s="47"/>
      <c r="R223" s="47"/>
      <c r="S223" s="47"/>
      <c r="T223" s="47"/>
      <c r="U223" s="47"/>
      <c r="V223" s="47"/>
      <c r="W223" s="47"/>
      <c r="X223" s="47"/>
      <c r="Y223" s="47"/>
      <c r="Z223" s="47"/>
      <c r="AA223" s="47"/>
      <c r="AB223" s="47"/>
      <c r="AC223" s="47"/>
      <c r="AD223" s="47"/>
      <c r="AE223" s="47"/>
      <c r="AF223" s="47"/>
      <c r="AG223" s="47"/>
      <c r="AH223" s="47"/>
      <c r="AI223" s="47"/>
    </row>
    <row r="224" spans="1:35" s="48" customFormat="1" ht="13.5" customHeight="1">
      <c r="A224" s="47"/>
      <c r="B224" s="47">
        <v>225</v>
      </c>
      <c r="C224" s="47" t="s">
        <v>1216</v>
      </c>
      <c r="D224" s="47"/>
      <c r="E224" s="47"/>
      <c r="F224" s="47" t="s">
        <v>1225</v>
      </c>
      <c r="G224" s="47">
        <v>1</v>
      </c>
      <c r="H224" s="47" t="s">
        <v>530</v>
      </c>
      <c r="I224" s="47"/>
      <c r="J224" s="47"/>
      <c r="K224" s="47"/>
      <c r="L224" s="47" t="s">
        <v>1276</v>
      </c>
      <c r="M224" s="47" t="s">
        <v>1279</v>
      </c>
      <c r="N224" s="47"/>
      <c r="O224" s="47"/>
      <c r="P224" s="47"/>
      <c r="Q224" s="47"/>
      <c r="R224" s="47"/>
      <c r="S224" s="47"/>
      <c r="T224" s="47"/>
      <c r="U224" s="47"/>
      <c r="V224" s="47"/>
      <c r="W224" s="47"/>
      <c r="X224" s="47"/>
      <c r="Y224" s="47"/>
      <c r="Z224" s="47"/>
      <c r="AA224" s="47"/>
      <c r="AB224" s="47"/>
      <c r="AC224" s="47"/>
      <c r="AD224" s="47"/>
      <c r="AE224" s="47"/>
      <c r="AF224" s="47"/>
      <c r="AG224" s="47"/>
      <c r="AH224" s="47"/>
      <c r="AI224" s="47"/>
    </row>
    <row r="225" spans="2:16" ht="13.5" customHeight="1">
      <c r="B225" s="47">
        <v>225</v>
      </c>
      <c r="C225" s="47" t="s">
        <v>1216</v>
      </c>
      <c r="F225" s="47" t="s">
        <v>1225</v>
      </c>
      <c r="G225" s="47">
        <v>1</v>
      </c>
      <c r="H225" s="47" t="s">
        <v>530</v>
      </c>
      <c r="L225" s="47" t="s">
        <v>314</v>
      </c>
      <c r="M225" s="47" t="s">
        <v>1279</v>
      </c>
    </row>
    <row r="226" spans="2:16" ht="13.5" customHeight="1">
      <c r="B226" s="47">
        <v>226</v>
      </c>
      <c r="C226" s="47" t="s">
        <v>1216</v>
      </c>
      <c r="F226" s="47" t="s">
        <v>1225</v>
      </c>
      <c r="G226" s="47">
        <v>1</v>
      </c>
      <c r="H226" s="47" t="s">
        <v>530</v>
      </c>
      <c r="L226" s="47" t="s">
        <v>1276</v>
      </c>
      <c r="M226" s="47" t="s">
        <v>1279</v>
      </c>
    </row>
    <row r="227" spans="2:16" ht="13.5" customHeight="1">
      <c r="B227" s="47">
        <v>226</v>
      </c>
      <c r="C227" s="47" t="s">
        <v>1216</v>
      </c>
      <c r="F227" s="47" t="s">
        <v>1225</v>
      </c>
      <c r="G227" s="47">
        <v>1</v>
      </c>
      <c r="H227" s="47" t="s">
        <v>530</v>
      </c>
      <c r="L227" s="47" t="s">
        <v>314</v>
      </c>
      <c r="M227" s="47" t="s">
        <v>1279</v>
      </c>
    </row>
    <row r="228" spans="2:16" ht="13.5" customHeight="1">
      <c r="B228" s="47">
        <v>227</v>
      </c>
      <c r="C228" s="47" t="s">
        <v>1216</v>
      </c>
      <c r="F228" s="47" t="s">
        <v>1225</v>
      </c>
      <c r="G228" s="47">
        <v>1</v>
      </c>
      <c r="H228" s="47" t="s">
        <v>530</v>
      </c>
      <c r="L228" s="47" t="s">
        <v>1276</v>
      </c>
      <c r="M228" s="47" t="s">
        <v>1279</v>
      </c>
    </row>
    <row r="229" spans="2:16" ht="13.5" customHeight="1">
      <c r="B229" s="47">
        <v>227</v>
      </c>
      <c r="C229" s="47" t="s">
        <v>1216</v>
      </c>
      <c r="F229" s="47" t="s">
        <v>1225</v>
      </c>
      <c r="G229" s="47">
        <v>1</v>
      </c>
      <c r="H229" s="47" t="s">
        <v>530</v>
      </c>
      <c r="L229" s="47" t="s">
        <v>314</v>
      </c>
      <c r="M229" s="47" t="s">
        <v>1279</v>
      </c>
    </row>
    <row r="230" spans="2:16" ht="13.5" customHeight="1">
      <c r="B230" s="47">
        <v>228</v>
      </c>
      <c r="C230" s="47" t="s">
        <v>1216</v>
      </c>
      <c r="F230" s="47" t="s">
        <v>1226</v>
      </c>
      <c r="G230" s="47">
        <v>1</v>
      </c>
      <c r="H230" s="47" t="s">
        <v>530</v>
      </c>
      <c r="L230" s="47" t="s">
        <v>1276</v>
      </c>
      <c r="M230" s="47" t="s">
        <v>1279</v>
      </c>
      <c r="N230" s="47" t="s">
        <v>1286</v>
      </c>
    </row>
    <row r="231" spans="2:16" ht="13.5" customHeight="1">
      <c r="B231" s="47">
        <v>228</v>
      </c>
      <c r="C231" s="47" t="s">
        <v>1216</v>
      </c>
      <c r="F231" s="47" t="s">
        <v>1226</v>
      </c>
      <c r="G231" s="47">
        <v>1</v>
      </c>
      <c r="H231" s="47" t="s">
        <v>530</v>
      </c>
      <c r="L231" s="47" t="s">
        <v>1277</v>
      </c>
      <c r="M231" s="47" t="s">
        <v>1280</v>
      </c>
    </row>
    <row r="232" spans="2:16" ht="13.5" customHeight="1">
      <c r="B232" s="47">
        <v>228</v>
      </c>
      <c r="C232" s="47" t="s">
        <v>1216</v>
      </c>
      <c r="F232" s="47" t="s">
        <v>1226</v>
      </c>
      <c r="G232" s="47">
        <v>1</v>
      </c>
      <c r="H232" s="47" t="s">
        <v>530</v>
      </c>
      <c r="L232" s="47" t="s">
        <v>314</v>
      </c>
      <c r="M232" s="47" t="s">
        <v>1279</v>
      </c>
      <c r="N232" s="47" t="s">
        <v>1286</v>
      </c>
    </row>
    <row r="233" spans="2:16" ht="13.5" customHeight="1">
      <c r="B233" s="47">
        <v>228</v>
      </c>
      <c r="C233" s="47" t="s">
        <v>102</v>
      </c>
      <c r="D233" s="47" t="s">
        <v>177</v>
      </c>
      <c r="E233" s="47" t="s">
        <v>244</v>
      </c>
      <c r="F233" s="47" t="s">
        <v>245</v>
      </c>
      <c r="H233" s="47" t="s">
        <v>62</v>
      </c>
      <c r="L233" s="15" t="s">
        <v>246</v>
      </c>
      <c r="M233" s="15" t="s">
        <v>243</v>
      </c>
      <c r="O233" s="47" t="s">
        <v>30</v>
      </c>
      <c r="P233" s="47" t="s">
        <v>46</v>
      </c>
    </row>
    <row r="234" spans="2:16" ht="13.5" customHeight="1">
      <c r="B234" s="47">
        <v>229</v>
      </c>
      <c r="C234" s="47" t="s">
        <v>1216</v>
      </c>
      <c r="F234" s="47" t="s">
        <v>1226</v>
      </c>
      <c r="G234" s="47">
        <v>1</v>
      </c>
      <c r="H234" s="47" t="s">
        <v>530</v>
      </c>
      <c r="L234" s="47" t="s">
        <v>1276</v>
      </c>
      <c r="M234" s="47" t="s">
        <v>1279</v>
      </c>
      <c r="N234" s="47" t="s">
        <v>1286</v>
      </c>
    </row>
    <row r="235" spans="2:16" ht="13.5" customHeight="1">
      <c r="B235" s="47">
        <v>229</v>
      </c>
      <c r="C235" s="47" t="s">
        <v>1216</v>
      </c>
      <c r="F235" s="47" t="s">
        <v>1226</v>
      </c>
      <c r="G235" s="47">
        <v>1</v>
      </c>
      <c r="H235" s="47" t="s">
        <v>530</v>
      </c>
      <c r="L235" s="47" t="s">
        <v>314</v>
      </c>
      <c r="M235" s="47" t="s">
        <v>1279</v>
      </c>
      <c r="N235" s="47" t="s">
        <v>1286</v>
      </c>
    </row>
    <row r="236" spans="2:16" ht="13.5" customHeight="1">
      <c r="B236" s="47">
        <v>230</v>
      </c>
      <c r="C236" s="47" t="s">
        <v>1216</v>
      </c>
      <c r="F236" s="47" t="s">
        <v>1226</v>
      </c>
      <c r="G236" s="47">
        <v>1</v>
      </c>
      <c r="H236" s="47" t="s">
        <v>530</v>
      </c>
      <c r="L236" s="47" t="s">
        <v>1276</v>
      </c>
      <c r="M236" s="47" t="s">
        <v>1279</v>
      </c>
      <c r="N236" s="47" t="s">
        <v>1286</v>
      </c>
    </row>
    <row r="237" spans="2:16" ht="13.5" customHeight="1">
      <c r="B237" s="47">
        <v>230</v>
      </c>
      <c r="C237" s="47" t="s">
        <v>1216</v>
      </c>
      <c r="F237" s="47" t="s">
        <v>1226</v>
      </c>
      <c r="G237" s="47">
        <v>1</v>
      </c>
      <c r="H237" s="47" t="s">
        <v>530</v>
      </c>
      <c r="L237" s="47" t="s">
        <v>314</v>
      </c>
      <c r="M237" s="47" t="s">
        <v>1279</v>
      </c>
      <c r="N237" s="47" t="s">
        <v>1286</v>
      </c>
    </row>
    <row r="238" spans="2:16" ht="13.5" customHeight="1">
      <c r="B238" s="47">
        <v>231</v>
      </c>
      <c r="C238" s="47" t="s">
        <v>1216</v>
      </c>
      <c r="F238" s="47" t="s">
        <v>1226</v>
      </c>
      <c r="G238" s="47">
        <v>1</v>
      </c>
      <c r="H238" s="47" t="s">
        <v>530</v>
      </c>
      <c r="L238" s="47" t="s">
        <v>1276</v>
      </c>
      <c r="M238" s="47" t="s">
        <v>1279</v>
      </c>
    </row>
    <row r="239" spans="2:16" ht="13.5" customHeight="1">
      <c r="B239" s="47">
        <v>231</v>
      </c>
      <c r="C239" s="47" t="s">
        <v>1216</v>
      </c>
      <c r="F239" s="47" t="s">
        <v>1226</v>
      </c>
      <c r="G239" s="47">
        <v>1</v>
      </c>
      <c r="H239" s="47" t="s">
        <v>530</v>
      </c>
      <c r="L239" s="47" t="s">
        <v>314</v>
      </c>
      <c r="M239" s="47" t="s">
        <v>1279</v>
      </c>
    </row>
    <row r="240" spans="2:16" ht="13.5" customHeight="1">
      <c r="B240" s="47">
        <v>232</v>
      </c>
      <c r="C240" s="47" t="s">
        <v>1216</v>
      </c>
      <c r="F240" s="47" t="s">
        <v>1227</v>
      </c>
      <c r="G240" s="47" t="s">
        <v>1273</v>
      </c>
      <c r="H240" s="47" t="s">
        <v>530</v>
      </c>
      <c r="L240" s="47" t="s">
        <v>1276</v>
      </c>
      <c r="M240" s="47" t="s">
        <v>1279</v>
      </c>
    </row>
    <row r="241" spans="2:13" ht="13.5" customHeight="1">
      <c r="B241" s="47">
        <v>232</v>
      </c>
      <c r="C241" s="47" t="s">
        <v>1216</v>
      </c>
      <c r="F241" s="47" t="s">
        <v>1227</v>
      </c>
      <c r="G241" s="47" t="s">
        <v>1273</v>
      </c>
      <c r="H241" s="47" t="s">
        <v>530</v>
      </c>
      <c r="L241" s="47" t="s">
        <v>314</v>
      </c>
      <c r="M241" s="47" t="s">
        <v>1279</v>
      </c>
    </row>
    <row r="242" spans="2:13" ht="13.5" customHeight="1">
      <c r="B242" s="47">
        <v>233</v>
      </c>
      <c r="C242" s="47" t="s">
        <v>1216</v>
      </c>
      <c r="F242" s="47" t="s">
        <v>1228</v>
      </c>
      <c r="G242" s="47" t="s">
        <v>1273</v>
      </c>
      <c r="H242" s="47" t="s">
        <v>530</v>
      </c>
      <c r="L242" s="47" t="s">
        <v>1276</v>
      </c>
      <c r="M242" s="47" t="s">
        <v>1279</v>
      </c>
    </row>
    <row r="243" spans="2:13" ht="13.5" customHeight="1">
      <c r="B243" s="47">
        <v>233</v>
      </c>
      <c r="C243" s="47" t="s">
        <v>1216</v>
      </c>
      <c r="F243" s="47" t="s">
        <v>1228</v>
      </c>
      <c r="G243" s="47" t="s">
        <v>1273</v>
      </c>
      <c r="H243" s="47" t="s">
        <v>530</v>
      </c>
      <c r="L243" s="47" t="s">
        <v>314</v>
      </c>
      <c r="M243" s="47" t="s">
        <v>1279</v>
      </c>
    </row>
    <row r="244" spans="2:13" ht="13.5" customHeight="1">
      <c r="B244" s="47">
        <v>234</v>
      </c>
      <c r="C244" s="47" t="s">
        <v>1216</v>
      </c>
      <c r="F244" s="47" t="s">
        <v>1221</v>
      </c>
      <c r="G244" s="47">
        <v>1</v>
      </c>
      <c r="H244" s="47" t="s">
        <v>530</v>
      </c>
      <c r="L244" s="47" t="s">
        <v>1276</v>
      </c>
      <c r="M244" s="47" t="s">
        <v>1279</v>
      </c>
    </row>
    <row r="245" spans="2:13" ht="13.5" customHeight="1">
      <c r="B245" s="47">
        <v>234</v>
      </c>
      <c r="C245" s="47" t="s">
        <v>1216</v>
      </c>
      <c r="F245" s="47" t="s">
        <v>1221</v>
      </c>
      <c r="G245" s="47">
        <v>1</v>
      </c>
      <c r="H245" s="47" t="s">
        <v>530</v>
      </c>
      <c r="L245" s="47" t="s">
        <v>314</v>
      </c>
      <c r="M245" s="47" t="s">
        <v>1279</v>
      </c>
    </row>
    <row r="246" spans="2:13" ht="13.5" customHeight="1">
      <c r="B246" s="47">
        <v>235</v>
      </c>
      <c r="C246" s="47" t="s">
        <v>1216</v>
      </c>
      <c r="F246" s="47" t="s">
        <v>1223</v>
      </c>
      <c r="G246" s="47">
        <v>1</v>
      </c>
      <c r="H246" s="47" t="s">
        <v>1274</v>
      </c>
      <c r="L246" s="47" t="s">
        <v>1276</v>
      </c>
      <c r="M246" s="47" t="s">
        <v>1279</v>
      </c>
    </row>
    <row r="247" spans="2:13" ht="13.5" customHeight="1">
      <c r="B247" s="47">
        <v>235</v>
      </c>
      <c r="C247" s="47" t="s">
        <v>1216</v>
      </c>
      <c r="F247" s="47" t="s">
        <v>1223</v>
      </c>
      <c r="G247" s="47">
        <v>1</v>
      </c>
      <c r="H247" s="47" t="s">
        <v>1274</v>
      </c>
      <c r="L247" s="47" t="s">
        <v>314</v>
      </c>
      <c r="M247" s="47" t="s">
        <v>1279</v>
      </c>
    </row>
    <row r="248" spans="2:13" ht="13.5" customHeight="1">
      <c r="B248" s="47">
        <v>236</v>
      </c>
      <c r="C248" s="47" t="s">
        <v>1216</v>
      </c>
      <c r="F248" s="47" t="s">
        <v>1223</v>
      </c>
      <c r="G248" s="47">
        <v>1</v>
      </c>
      <c r="H248" s="47" t="s">
        <v>1274</v>
      </c>
      <c r="L248" s="47" t="s">
        <v>1276</v>
      </c>
      <c r="M248" s="47" t="s">
        <v>1279</v>
      </c>
    </row>
    <row r="249" spans="2:13" ht="13.5" customHeight="1">
      <c r="B249" s="47">
        <v>236</v>
      </c>
      <c r="C249" s="47" t="s">
        <v>1216</v>
      </c>
      <c r="F249" s="47" t="s">
        <v>1223</v>
      </c>
      <c r="G249" s="47">
        <v>1</v>
      </c>
      <c r="H249" s="47" t="s">
        <v>1274</v>
      </c>
      <c r="L249" s="47" t="s">
        <v>314</v>
      </c>
      <c r="M249" s="47" t="s">
        <v>1279</v>
      </c>
    </row>
    <row r="250" spans="2:13" ht="13.5" customHeight="1">
      <c r="B250" s="47">
        <v>237</v>
      </c>
      <c r="C250" s="47" t="s">
        <v>1216</v>
      </c>
      <c r="F250" s="47" t="s">
        <v>1223</v>
      </c>
      <c r="G250" s="47">
        <v>1</v>
      </c>
      <c r="H250" s="47" t="s">
        <v>1274</v>
      </c>
      <c r="L250" s="47" t="s">
        <v>1276</v>
      </c>
      <c r="M250" s="47" t="s">
        <v>1279</v>
      </c>
    </row>
    <row r="251" spans="2:13" ht="13.5" customHeight="1">
      <c r="B251" s="47">
        <v>237</v>
      </c>
      <c r="C251" s="47" t="s">
        <v>1216</v>
      </c>
      <c r="F251" s="47" t="s">
        <v>1223</v>
      </c>
      <c r="G251" s="47">
        <v>1</v>
      </c>
      <c r="H251" s="47" t="s">
        <v>1274</v>
      </c>
      <c r="L251" s="47" t="s">
        <v>314</v>
      </c>
      <c r="M251" s="47" t="s">
        <v>1279</v>
      </c>
    </row>
    <row r="252" spans="2:13" ht="13.5" customHeight="1">
      <c r="B252" s="47">
        <v>238</v>
      </c>
      <c r="C252" s="47" t="s">
        <v>1216</v>
      </c>
      <c r="F252" s="47" t="s">
        <v>1226</v>
      </c>
      <c r="G252" s="47">
        <v>1</v>
      </c>
      <c r="H252" s="47" t="s">
        <v>530</v>
      </c>
      <c r="L252" s="47" t="s">
        <v>1276</v>
      </c>
      <c r="M252" s="47" t="s">
        <v>1279</v>
      </c>
    </row>
    <row r="253" spans="2:13" ht="13.5" customHeight="1">
      <c r="B253" s="47">
        <v>238</v>
      </c>
      <c r="C253" s="47" t="s">
        <v>1216</v>
      </c>
      <c r="F253" s="47" t="s">
        <v>1226</v>
      </c>
      <c r="G253" s="47">
        <v>1</v>
      </c>
      <c r="H253" s="47" t="s">
        <v>530</v>
      </c>
      <c r="L253" s="47" t="s">
        <v>314</v>
      </c>
      <c r="M253" s="47" t="s">
        <v>1279</v>
      </c>
    </row>
    <row r="254" spans="2:13" ht="13.5" customHeight="1">
      <c r="B254" s="47">
        <v>239</v>
      </c>
      <c r="C254" s="47" t="s">
        <v>1216</v>
      </c>
      <c r="F254" s="47" t="s">
        <v>1226</v>
      </c>
      <c r="G254" s="47">
        <v>1</v>
      </c>
      <c r="H254" s="47" t="s">
        <v>530</v>
      </c>
      <c r="L254" s="47" t="s">
        <v>1276</v>
      </c>
      <c r="M254" s="47" t="s">
        <v>1279</v>
      </c>
    </row>
    <row r="255" spans="2:13" ht="13.5" customHeight="1">
      <c r="B255" s="47">
        <v>239</v>
      </c>
      <c r="C255" s="47" t="s">
        <v>1216</v>
      </c>
      <c r="F255" s="47" t="s">
        <v>1226</v>
      </c>
      <c r="G255" s="47">
        <v>1</v>
      </c>
      <c r="H255" s="47" t="s">
        <v>530</v>
      </c>
      <c r="L255" s="47" t="s">
        <v>314</v>
      </c>
      <c r="M255" s="47" t="s">
        <v>1279</v>
      </c>
    </row>
    <row r="256" spans="2:13" ht="13.5" customHeight="1">
      <c r="B256" s="47">
        <v>240</v>
      </c>
      <c r="C256" s="47" t="s">
        <v>1216</v>
      </c>
      <c r="F256" s="47" t="s">
        <v>1229</v>
      </c>
      <c r="G256" s="47">
        <v>1</v>
      </c>
      <c r="H256" s="47" t="s">
        <v>530</v>
      </c>
      <c r="L256" s="47" t="s">
        <v>1276</v>
      </c>
      <c r="M256" s="47" t="s">
        <v>1279</v>
      </c>
    </row>
    <row r="257" spans="1:35" ht="13.5" customHeight="1">
      <c r="B257" s="47">
        <v>240</v>
      </c>
      <c r="C257" s="47" t="s">
        <v>1216</v>
      </c>
      <c r="F257" s="47" t="s">
        <v>1229</v>
      </c>
      <c r="G257" s="47">
        <v>1</v>
      </c>
      <c r="H257" s="47" t="s">
        <v>530</v>
      </c>
      <c r="L257" s="47" t="s">
        <v>1277</v>
      </c>
      <c r="M257" s="47" t="s">
        <v>1280</v>
      </c>
    </row>
    <row r="258" spans="1:35" ht="13.5" customHeight="1">
      <c r="B258" s="47">
        <v>240</v>
      </c>
      <c r="C258" s="47" t="s">
        <v>1216</v>
      </c>
      <c r="F258" s="47" t="s">
        <v>1229</v>
      </c>
      <c r="G258" s="47">
        <v>1</v>
      </c>
      <c r="H258" s="47" t="s">
        <v>530</v>
      </c>
      <c r="L258" s="47" t="s">
        <v>314</v>
      </c>
      <c r="M258" s="47" t="s">
        <v>1279</v>
      </c>
    </row>
    <row r="259" spans="1:35" ht="13.5" customHeight="1">
      <c r="B259" s="47">
        <v>240</v>
      </c>
      <c r="C259" s="47" t="s">
        <v>102</v>
      </c>
      <c r="D259" s="47" t="s">
        <v>177</v>
      </c>
      <c r="E259" s="47" t="s">
        <v>244</v>
      </c>
      <c r="F259" s="47" t="s">
        <v>192</v>
      </c>
      <c r="G259" s="47">
        <v>1</v>
      </c>
      <c r="H259" s="47" t="s">
        <v>62</v>
      </c>
      <c r="I259" s="47" t="s">
        <v>47</v>
      </c>
      <c r="L259" s="15" t="s">
        <v>246</v>
      </c>
      <c r="M259" s="15" t="s">
        <v>243</v>
      </c>
      <c r="O259" s="47" t="s">
        <v>30</v>
      </c>
      <c r="P259" s="47" t="s">
        <v>46</v>
      </c>
    </row>
    <row r="260" spans="1:35" ht="13.5" customHeight="1">
      <c r="B260" s="47">
        <v>241</v>
      </c>
      <c r="C260" s="47" t="s">
        <v>1216</v>
      </c>
      <c r="F260" s="47" t="s">
        <v>1229</v>
      </c>
      <c r="G260" s="47">
        <v>1</v>
      </c>
      <c r="H260" s="47" t="s">
        <v>530</v>
      </c>
      <c r="L260" s="47" t="s">
        <v>1276</v>
      </c>
      <c r="M260" s="47" t="s">
        <v>1279</v>
      </c>
    </row>
    <row r="261" spans="1:35" ht="13.5" customHeight="1">
      <c r="B261" s="47">
        <v>241</v>
      </c>
      <c r="C261" s="47" t="s">
        <v>1216</v>
      </c>
      <c r="F261" s="47" t="s">
        <v>1229</v>
      </c>
      <c r="G261" s="47">
        <v>1</v>
      </c>
      <c r="H261" s="47" t="s">
        <v>530</v>
      </c>
      <c r="L261" s="47" t="s">
        <v>1277</v>
      </c>
      <c r="M261" s="47" t="s">
        <v>1280</v>
      </c>
    </row>
    <row r="262" spans="1:35" ht="13.5" customHeight="1">
      <c r="B262" s="47">
        <v>241</v>
      </c>
      <c r="C262" s="47" t="s">
        <v>1216</v>
      </c>
      <c r="F262" s="47" t="s">
        <v>1229</v>
      </c>
      <c r="G262" s="47">
        <v>1</v>
      </c>
      <c r="H262" s="47" t="s">
        <v>530</v>
      </c>
      <c r="L262" s="47" t="s">
        <v>314</v>
      </c>
      <c r="M262" s="47" t="s">
        <v>1279</v>
      </c>
    </row>
    <row r="263" spans="1:35" ht="13.5" customHeight="1">
      <c r="B263" s="47">
        <v>241</v>
      </c>
      <c r="C263" s="47" t="s">
        <v>102</v>
      </c>
      <c r="D263" s="47" t="s">
        <v>177</v>
      </c>
      <c r="E263" s="47" t="s">
        <v>244</v>
      </c>
      <c r="F263" s="47" t="s">
        <v>192</v>
      </c>
      <c r="H263" s="47" t="s">
        <v>62</v>
      </c>
      <c r="I263" s="47" t="s">
        <v>47</v>
      </c>
      <c r="L263" s="15" t="s">
        <v>246</v>
      </c>
      <c r="M263" s="15" t="s">
        <v>243</v>
      </c>
      <c r="O263" s="47" t="s">
        <v>30</v>
      </c>
      <c r="P263" s="47" t="s">
        <v>46</v>
      </c>
    </row>
    <row r="264" spans="1:35" ht="13.5" customHeight="1">
      <c r="B264" s="47">
        <v>242</v>
      </c>
      <c r="C264" s="47" t="s">
        <v>1216</v>
      </c>
      <c r="F264" s="47" t="s">
        <v>1225</v>
      </c>
      <c r="G264" s="47">
        <v>1</v>
      </c>
      <c r="H264" s="47" t="s">
        <v>530</v>
      </c>
      <c r="L264" s="47" t="s">
        <v>1276</v>
      </c>
      <c r="M264" s="47" t="s">
        <v>1279</v>
      </c>
    </row>
    <row r="265" spans="1:35" s="48" customFormat="1" ht="13.5" customHeight="1">
      <c r="A265" s="47"/>
      <c r="B265" s="47">
        <v>242</v>
      </c>
      <c r="C265" s="47" t="s">
        <v>1216</v>
      </c>
      <c r="D265" s="47"/>
      <c r="E265" s="47"/>
      <c r="F265" s="47" t="s">
        <v>1225</v>
      </c>
      <c r="G265" s="47">
        <v>1</v>
      </c>
      <c r="H265" s="47" t="s">
        <v>530</v>
      </c>
      <c r="I265" s="47"/>
      <c r="J265" s="47"/>
      <c r="K265" s="47"/>
      <c r="L265" s="47" t="s">
        <v>314</v>
      </c>
      <c r="M265" s="47" t="s">
        <v>1279</v>
      </c>
      <c r="N265" s="47"/>
      <c r="O265" s="47"/>
      <c r="P265" s="47"/>
      <c r="Q265" s="47"/>
      <c r="R265" s="47"/>
      <c r="S265" s="47"/>
      <c r="T265" s="47"/>
      <c r="U265" s="47"/>
      <c r="V265" s="47"/>
      <c r="W265" s="47"/>
      <c r="X265" s="47"/>
      <c r="Y265" s="47"/>
      <c r="Z265" s="47"/>
      <c r="AA265" s="47"/>
      <c r="AB265" s="47"/>
      <c r="AC265" s="47"/>
      <c r="AD265" s="47"/>
      <c r="AE265" s="47"/>
      <c r="AF265" s="47"/>
      <c r="AG265" s="47"/>
      <c r="AH265" s="47"/>
      <c r="AI265" s="47"/>
    </row>
    <row r="266" spans="1:35" s="48" customFormat="1" ht="13.5" customHeight="1">
      <c r="A266" s="47"/>
      <c r="B266" s="47">
        <v>243</v>
      </c>
      <c r="C266" s="47" t="s">
        <v>1216</v>
      </c>
      <c r="D266" s="47"/>
      <c r="E266" s="47"/>
      <c r="F266" s="47" t="s">
        <v>1225</v>
      </c>
      <c r="G266" s="47">
        <v>1</v>
      </c>
      <c r="H266" s="47" t="s">
        <v>530</v>
      </c>
      <c r="I266" s="47"/>
      <c r="J266" s="47"/>
      <c r="K266" s="47"/>
      <c r="L266" s="47" t="s">
        <v>1276</v>
      </c>
      <c r="M266" s="47" t="s">
        <v>1279</v>
      </c>
      <c r="N266" s="47"/>
      <c r="O266" s="47"/>
      <c r="P266" s="47"/>
      <c r="Q266" s="47"/>
      <c r="R266" s="47"/>
      <c r="S266" s="47"/>
      <c r="T266" s="47"/>
      <c r="U266" s="47"/>
      <c r="V266" s="47"/>
      <c r="W266" s="47"/>
      <c r="X266" s="47"/>
      <c r="Y266" s="47"/>
      <c r="Z266" s="47"/>
      <c r="AA266" s="47"/>
      <c r="AB266" s="47"/>
      <c r="AC266" s="47"/>
      <c r="AD266" s="47"/>
      <c r="AE266" s="47"/>
      <c r="AF266" s="47"/>
      <c r="AG266" s="47"/>
      <c r="AH266" s="47"/>
      <c r="AI266" s="47"/>
    </row>
    <row r="267" spans="1:35" s="48" customFormat="1" ht="13.5" customHeight="1">
      <c r="A267" s="47"/>
      <c r="B267" s="47">
        <v>243</v>
      </c>
      <c r="C267" s="47" t="s">
        <v>1216</v>
      </c>
      <c r="D267" s="47"/>
      <c r="E267" s="47"/>
      <c r="F267" s="47" t="s">
        <v>1225</v>
      </c>
      <c r="G267" s="47">
        <v>1</v>
      </c>
      <c r="H267" s="47" t="s">
        <v>530</v>
      </c>
      <c r="I267" s="47"/>
      <c r="J267" s="47"/>
      <c r="K267" s="47"/>
      <c r="L267" s="47" t="s">
        <v>314</v>
      </c>
      <c r="M267" s="47" t="s">
        <v>1279</v>
      </c>
      <c r="N267" s="47"/>
      <c r="O267" s="47"/>
      <c r="P267" s="47"/>
      <c r="Q267" s="47"/>
      <c r="R267" s="47"/>
      <c r="S267" s="47"/>
      <c r="T267" s="47"/>
      <c r="U267" s="47"/>
      <c r="V267" s="47"/>
      <c r="W267" s="47"/>
      <c r="X267" s="47"/>
      <c r="Y267" s="47"/>
      <c r="Z267" s="47"/>
      <c r="AA267" s="47"/>
      <c r="AB267" s="47"/>
      <c r="AC267" s="47"/>
      <c r="AD267" s="47"/>
      <c r="AE267" s="47"/>
      <c r="AF267" s="47"/>
      <c r="AG267" s="47"/>
      <c r="AH267" s="47"/>
      <c r="AI267" s="47"/>
    </row>
    <row r="268" spans="1:35" s="48" customFormat="1" ht="13.5" customHeight="1">
      <c r="A268" s="47"/>
      <c r="B268" s="47">
        <v>244</v>
      </c>
      <c r="C268" s="47" t="s">
        <v>1216</v>
      </c>
      <c r="D268" s="47"/>
      <c r="E268" s="47"/>
      <c r="F268" s="47" t="s">
        <v>1224</v>
      </c>
      <c r="G268" s="47">
        <v>1</v>
      </c>
      <c r="H268" s="47" t="s">
        <v>530</v>
      </c>
      <c r="I268" s="47"/>
      <c r="J268" s="47"/>
      <c r="K268" s="47"/>
      <c r="L268" s="47" t="s">
        <v>1276</v>
      </c>
      <c r="M268" s="47" t="s">
        <v>1279</v>
      </c>
      <c r="N268" s="47"/>
      <c r="O268" s="47"/>
      <c r="P268" s="47"/>
      <c r="Q268" s="47"/>
      <c r="R268" s="47"/>
      <c r="S268" s="47"/>
      <c r="T268" s="47"/>
      <c r="U268" s="47"/>
      <c r="V268" s="47"/>
      <c r="W268" s="47"/>
      <c r="X268" s="47"/>
      <c r="Y268" s="47"/>
      <c r="Z268" s="47"/>
      <c r="AA268" s="47"/>
      <c r="AB268" s="47"/>
      <c r="AC268" s="47"/>
      <c r="AD268" s="47"/>
      <c r="AE268" s="47"/>
      <c r="AF268" s="47"/>
      <c r="AG268" s="47"/>
      <c r="AH268" s="47"/>
      <c r="AI268" s="47"/>
    </row>
    <row r="269" spans="1:35" s="48" customFormat="1" ht="13.5" customHeight="1">
      <c r="A269" s="47"/>
      <c r="B269" s="47">
        <v>244</v>
      </c>
      <c r="C269" s="47" t="s">
        <v>1216</v>
      </c>
      <c r="D269" s="47"/>
      <c r="E269" s="47"/>
      <c r="F269" s="47" t="s">
        <v>1224</v>
      </c>
      <c r="G269" s="47">
        <v>1</v>
      </c>
      <c r="H269" s="47" t="s">
        <v>530</v>
      </c>
      <c r="I269" s="47"/>
      <c r="J269" s="47"/>
      <c r="K269" s="47"/>
      <c r="L269" s="47" t="s">
        <v>314</v>
      </c>
      <c r="M269" s="47" t="s">
        <v>1279</v>
      </c>
      <c r="N269" s="47"/>
      <c r="O269" s="47"/>
      <c r="P269" s="47"/>
      <c r="Q269" s="47"/>
      <c r="R269" s="47"/>
      <c r="S269" s="47"/>
      <c r="T269" s="47"/>
      <c r="U269" s="47"/>
      <c r="V269" s="47"/>
      <c r="W269" s="47"/>
      <c r="X269" s="47"/>
      <c r="Y269" s="47"/>
      <c r="Z269" s="47"/>
      <c r="AA269" s="47"/>
      <c r="AB269" s="47"/>
      <c r="AC269" s="47"/>
      <c r="AD269" s="47"/>
      <c r="AE269" s="47"/>
      <c r="AF269" s="47"/>
      <c r="AG269" s="47"/>
      <c r="AH269" s="47"/>
      <c r="AI269" s="47"/>
    </row>
    <row r="270" spans="1:35" s="48" customFormat="1" ht="13.5" customHeight="1">
      <c r="A270" s="47"/>
      <c r="B270" s="47">
        <v>245</v>
      </c>
      <c r="C270" s="47" t="s">
        <v>1216</v>
      </c>
      <c r="D270" s="47"/>
      <c r="E270" s="47"/>
      <c r="F270" s="47" t="s">
        <v>1224</v>
      </c>
      <c r="G270" s="47">
        <v>1</v>
      </c>
      <c r="H270" s="47" t="s">
        <v>530</v>
      </c>
      <c r="I270" s="47"/>
      <c r="J270" s="47"/>
      <c r="K270" s="47"/>
      <c r="L270" s="47" t="s">
        <v>1276</v>
      </c>
      <c r="M270" s="47" t="s">
        <v>1279</v>
      </c>
      <c r="N270" s="47"/>
      <c r="O270" s="47"/>
      <c r="P270" s="47"/>
      <c r="Q270" s="47"/>
      <c r="R270" s="47"/>
      <c r="S270" s="47"/>
      <c r="T270" s="47"/>
      <c r="U270" s="47"/>
      <c r="V270" s="47"/>
      <c r="W270" s="47"/>
      <c r="X270" s="47"/>
      <c r="Y270" s="47"/>
      <c r="Z270" s="47"/>
      <c r="AA270" s="47"/>
      <c r="AB270" s="47"/>
      <c r="AC270" s="47"/>
      <c r="AD270" s="47"/>
      <c r="AE270" s="47"/>
      <c r="AF270" s="47"/>
      <c r="AG270" s="47"/>
      <c r="AH270" s="47"/>
      <c r="AI270" s="47"/>
    </row>
    <row r="271" spans="1:35" ht="13.5" customHeight="1">
      <c r="B271" s="47">
        <v>245</v>
      </c>
      <c r="C271" s="47" t="s">
        <v>1216</v>
      </c>
      <c r="F271" s="47" t="s">
        <v>1224</v>
      </c>
      <c r="G271" s="47">
        <v>1</v>
      </c>
      <c r="H271" s="47" t="s">
        <v>530</v>
      </c>
      <c r="L271" s="47" t="s">
        <v>314</v>
      </c>
      <c r="M271" s="47" t="s">
        <v>1279</v>
      </c>
    </row>
    <row r="272" spans="1:35" ht="13.5" customHeight="1">
      <c r="B272" s="47">
        <v>246</v>
      </c>
      <c r="C272" s="47" t="s">
        <v>1216</v>
      </c>
      <c r="F272" s="47" t="s">
        <v>1227</v>
      </c>
      <c r="G272" s="47" t="s">
        <v>1273</v>
      </c>
      <c r="H272" s="47" t="s">
        <v>530</v>
      </c>
      <c r="L272" s="47" t="s">
        <v>1276</v>
      </c>
      <c r="M272" s="47" t="s">
        <v>1279</v>
      </c>
    </row>
    <row r="273" spans="1:35" ht="13.5" customHeight="1">
      <c r="B273" s="47">
        <v>247</v>
      </c>
      <c r="C273" s="47" t="s">
        <v>1216</v>
      </c>
      <c r="F273" s="47" t="s">
        <v>1227</v>
      </c>
      <c r="G273" s="47" t="s">
        <v>1273</v>
      </c>
      <c r="H273" s="47" t="s">
        <v>530</v>
      </c>
      <c r="L273" s="47" t="s">
        <v>314</v>
      </c>
      <c r="M273" s="47" t="s">
        <v>1279</v>
      </c>
    </row>
    <row r="274" spans="1:35" ht="13.5" customHeight="1">
      <c r="B274" s="47">
        <v>247</v>
      </c>
      <c r="C274" s="47" t="s">
        <v>1216</v>
      </c>
      <c r="F274" s="47" t="s">
        <v>1230</v>
      </c>
      <c r="G274" s="47">
        <v>1</v>
      </c>
      <c r="H274" s="47" t="s">
        <v>530</v>
      </c>
      <c r="L274" s="47" t="s">
        <v>1276</v>
      </c>
      <c r="M274" s="47" t="s">
        <v>1279</v>
      </c>
    </row>
    <row r="275" spans="1:35" ht="13.5" customHeight="1">
      <c r="B275" s="47">
        <v>247</v>
      </c>
      <c r="C275" s="47" t="s">
        <v>1216</v>
      </c>
      <c r="F275" s="47" t="s">
        <v>1230</v>
      </c>
      <c r="G275" s="47">
        <v>1</v>
      </c>
      <c r="H275" s="47" t="s">
        <v>530</v>
      </c>
      <c r="L275" s="47" t="s">
        <v>1277</v>
      </c>
      <c r="M275" s="47" t="s">
        <v>1280</v>
      </c>
    </row>
    <row r="276" spans="1:35" ht="13.5" customHeight="1">
      <c r="B276" s="47">
        <v>247</v>
      </c>
      <c r="C276" s="47" t="s">
        <v>1216</v>
      </c>
      <c r="F276" s="47" t="s">
        <v>1230</v>
      </c>
      <c r="G276" s="47">
        <v>1</v>
      </c>
      <c r="H276" s="47" t="s">
        <v>530</v>
      </c>
      <c r="L276" s="47" t="s">
        <v>314</v>
      </c>
      <c r="M276" s="47" t="s">
        <v>1279</v>
      </c>
    </row>
    <row r="277" spans="1:35" ht="13.5" customHeight="1">
      <c r="B277" s="47">
        <v>247</v>
      </c>
      <c r="C277" s="47" t="s">
        <v>102</v>
      </c>
      <c r="D277" s="47" t="s">
        <v>177</v>
      </c>
      <c r="E277" s="47" t="s">
        <v>244</v>
      </c>
      <c r="F277" s="47" t="s">
        <v>247</v>
      </c>
      <c r="G277" s="47">
        <v>1</v>
      </c>
      <c r="H277" s="47" t="s">
        <v>62</v>
      </c>
      <c r="I277" s="47" t="s">
        <v>47</v>
      </c>
      <c r="L277" s="15" t="s">
        <v>246</v>
      </c>
      <c r="M277" s="15" t="s">
        <v>243</v>
      </c>
      <c r="O277" s="47" t="s">
        <v>30</v>
      </c>
      <c r="P277" s="47" t="s">
        <v>46</v>
      </c>
    </row>
    <row r="278" spans="1:35" ht="13.5" customHeight="1">
      <c r="B278" s="47">
        <v>248</v>
      </c>
      <c r="C278" s="47" t="s">
        <v>1216</v>
      </c>
      <c r="F278" s="47" t="s">
        <v>1230</v>
      </c>
      <c r="G278" s="47">
        <v>1</v>
      </c>
      <c r="H278" s="47" t="s">
        <v>530</v>
      </c>
      <c r="L278" s="47" t="s">
        <v>1276</v>
      </c>
      <c r="M278" s="47" t="s">
        <v>1279</v>
      </c>
    </row>
    <row r="279" spans="1:35" ht="13.5" customHeight="1">
      <c r="B279" s="47">
        <v>248</v>
      </c>
      <c r="C279" s="47" t="s">
        <v>1216</v>
      </c>
      <c r="F279" s="47" t="s">
        <v>1230</v>
      </c>
      <c r="G279" s="47">
        <v>1</v>
      </c>
      <c r="H279" s="47" t="s">
        <v>530</v>
      </c>
      <c r="L279" s="47" t="s">
        <v>1277</v>
      </c>
      <c r="M279" s="47" t="s">
        <v>1280</v>
      </c>
    </row>
    <row r="280" spans="1:35" ht="13.5" customHeight="1">
      <c r="B280" s="47">
        <v>248</v>
      </c>
      <c r="C280" s="47" t="s">
        <v>1216</v>
      </c>
      <c r="F280" s="47" t="s">
        <v>1230</v>
      </c>
      <c r="G280" s="47">
        <v>1</v>
      </c>
      <c r="H280" s="47" t="s">
        <v>530</v>
      </c>
      <c r="L280" s="47" t="s">
        <v>314</v>
      </c>
      <c r="M280" s="47" t="s">
        <v>1279</v>
      </c>
    </row>
    <row r="281" spans="1:35" ht="13.5" customHeight="1">
      <c r="B281" s="47">
        <v>248</v>
      </c>
      <c r="C281" s="47" t="s">
        <v>102</v>
      </c>
      <c r="D281" s="47" t="s">
        <v>177</v>
      </c>
      <c r="E281" s="47" t="s">
        <v>244</v>
      </c>
      <c r="F281" s="47" t="s">
        <v>247</v>
      </c>
      <c r="G281" s="47">
        <v>1</v>
      </c>
      <c r="H281" s="47" t="s">
        <v>62</v>
      </c>
      <c r="I281" s="47" t="s">
        <v>47</v>
      </c>
      <c r="L281" s="15" t="s">
        <v>246</v>
      </c>
      <c r="M281" s="15" t="s">
        <v>243</v>
      </c>
      <c r="O281" s="47" t="s">
        <v>30</v>
      </c>
      <c r="P281" s="47" t="s">
        <v>46</v>
      </c>
    </row>
    <row r="282" spans="1:35" ht="13.5" customHeight="1">
      <c r="B282" s="47">
        <v>249</v>
      </c>
      <c r="C282" s="47" t="s">
        <v>1216</v>
      </c>
      <c r="F282" s="47" t="s">
        <v>1230</v>
      </c>
      <c r="G282" s="47">
        <v>1</v>
      </c>
      <c r="H282" s="47" t="s">
        <v>530</v>
      </c>
      <c r="L282" s="47" t="s">
        <v>1276</v>
      </c>
      <c r="M282" s="47" t="s">
        <v>1279</v>
      </c>
    </row>
    <row r="283" spans="1:35" ht="13.5" customHeight="1">
      <c r="B283" s="47">
        <v>249</v>
      </c>
      <c r="C283" s="47" t="s">
        <v>1216</v>
      </c>
      <c r="F283" s="47" t="s">
        <v>1230</v>
      </c>
      <c r="G283" s="47">
        <v>1</v>
      </c>
      <c r="H283" s="47" t="s">
        <v>530</v>
      </c>
      <c r="L283" s="47" t="s">
        <v>1277</v>
      </c>
      <c r="M283" s="47" t="s">
        <v>1280</v>
      </c>
    </row>
    <row r="284" spans="1:35" ht="13.5" customHeight="1">
      <c r="B284" s="47">
        <v>249</v>
      </c>
      <c r="C284" s="47" t="s">
        <v>1216</v>
      </c>
      <c r="F284" s="47" t="s">
        <v>1230</v>
      </c>
      <c r="G284" s="47">
        <v>1</v>
      </c>
      <c r="H284" s="47" t="s">
        <v>530</v>
      </c>
      <c r="L284" s="47" t="s">
        <v>314</v>
      </c>
      <c r="M284" s="47" t="s">
        <v>1279</v>
      </c>
    </row>
    <row r="285" spans="1:35" ht="13.5" customHeight="1">
      <c r="B285" s="47">
        <v>249</v>
      </c>
      <c r="C285" s="47" t="s">
        <v>102</v>
      </c>
      <c r="D285" s="47" t="s">
        <v>177</v>
      </c>
      <c r="E285" s="47" t="s">
        <v>244</v>
      </c>
      <c r="F285" s="47" t="s">
        <v>247</v>
      </c>
      <c r="G285" s="47">
        <v>1</v>
      </c>
      <c r="H285" s="47" t="s">
        <v>62</v>
      </c>
      <c r="I285" s="47" t="s">
        <v>47</v>
      </c>
      <c r="L285" s="15" t="s">
        <v>246</v>
      </c>
      <c r="M285" s="15" t="s">
        <v>243</v>
      </c>
      <c r="O285" s="47" t="s">
        <v>30</v>
      </c>
      <c r="P285" s="47" t="s">
        <v>46</v>
      </c>
    </row>
    <row r="286" spans="1:35" ht="13.5" customHeight="1">
      <c r="B286" s="47">
        <v>250</v>
      </c>
      <c r="C286" s="47" t="s">
        <v>1216</v>
      </c>
      <c r="F286" s="47" t="s">
        <v>1230</v>
      </c>
      <c r="G286" s="47">
        <v>1</v>
      </c>
      <c r="H286" s="47" t="s">
        <v>530</v>
      </c>
      <c r="L286" s="47" t="s">
        <v>1276</v>
      </c>
      <c r="M286" s="47" t="s">
        <v>1279</v>
      </c>
    </row>
    <row r="287" spans="1:35" ht="13.5" customHeight="1">
      <c r="B287" s="47">
        <v>250</v>
      </c>
      <c r="C287" s="47" t="s">
        <v>1216</v>
      </c>
      <c r="F287" s="47" t="s">
        <v>1230</v>
      </c>
      <c r="G287" s="47">
        <v>1</v>
      </c>
      <c r="H287" s="47" t="s">
        <v>530</v>
      </c>
      <c r="L287" s="47" t="s">
        <v>1277</v>
      </c>
      <c r="M287" s="47" t="s">
        <v>1280</v>
      </c>
    </row>
    <row r="288" spans="1:35" s="48" customFormat="1" ht="13.5" customHeight="1">
      <c r="A288" s="47"/>
      <c r="B288" s="47">
        <v>250</v>
      </c>
      <c r="C288" s="47" t="s">
        <v>1216</v>
      </c>
      <c r="D288" s="47"/>
      <c r="E288" s="47"/>
      <c r="F288" s="47" t="s">
        <v>1230</v>
      </c>
      <c r="G288" s="47">
        <v>1</v>
      </c>
      <c r="H288" s="47" t="s">
        <v>530</v>
      </c>
      <c r="I288" s="47"/>
      <c r="J288" s="47"/>
      <c r="K288" s="47"/>
      <c r="L288" s="47" t="s">
        <v>314</v>
      </c>
      <c r="M288" s="47" t="s">
        <v>1279</v>
      </c>
      <c r="N288" s="47"/>
      <c r="O288" s="47"/>
      <c r="P288" s="47"/>
      <c r="Q288" s="47"/>
      <c r="R288" s="47"/>
      <c r="S288" s="47"/>
      <c r="T288" s="47"/>
      <c r="U288" s="47"/>
      <c r="V288" s="47"/>
      <c r="W288" s="47"/>
      <c r="X288" s="47"/>
      <c r="Y288" s="47"/>
      <c r="Z288" s="47"/>
      <c r="AA288" s="47"/>
      <c r="AB288" s="47"/>
      <c r="AC288" s="47"/>
      <c r="AD288" s="47"/>
      <c r="AE288" s="47"/>
      <c r="AF288" s="47"/>
      <c r="AG288" s="47"/>
      <c r="AH288" s="47"/>
      <c r="AI288" s="47"/>
    </row>
    <row r="289" spans="2:28" ht="13.5" customHeight="1">
      <c r="B289" s="47">
        <v>250</v>
      </c>
      <c r="C289" s="47" t="s">
        <v>102</v>
      </c>
      <c r="D289" s="47" t="s">
        <v>177</v>
      </c>
      <c r="E289" s="47" t="s">
        <v>244</v>
      </c>
      <c r="F289" s="47" t="s">
        <v>247</v>
      </c>
      <c r="G289" s="47">
        <v>1</v>
      </c>
      <c r="H289" s="47" t="s">
        <v>62</v>
      </c>
      <c r="I289" s="47" t="s">
        <v>47</v>
      </c>
      <c r="L289" s="15" t="s">
        <v>246</v>
      </c>
      <c r="M289" s="15" t="s">
        <v>243</v>
      </c>
      <c r="O289" s="47" t="s">
        <v>30</v>
      </c>
      <c r="P289" s="47" t="s">
        <v>46</v>
      </c>
    </row>
    <row r="290" spans="2:28" ht="13.5" customHeight="1">
      <c r="B290" s="47">
        <v>251</v>
      </c>
      <c r="C290" s="47" t="s">
        <v>1216</v>
      </c>
      <c r="F290" s="47" t="s">
        <v>1230</v>
      </c>
      <c r="G290" s="47">
        <v>1</v>
      </c>
      <c r="H290" s="47" t="s">
        <v>530</v>
      </c>
      <c r="L290" s="47" t="s">
        <v>1276</v>
      </c>
      <c r="M290" s="47" t="s">
        <v>1279</v>
      </c>
    </row>
    <row r="291" spans="2:28" ht="13.5" customHeight="1">
      <c r="B291" s="47">
        <v>251</v>
      </c>
      <c r="C291" s="47" t="s">
        <v>1216</v>
      </c>
      <c r="F291" s="47" t="s">
        <v>1230</v>
      </c>
      <c r="G291" s="47">
        <v>1</v>
      </c>
      <c r="H291" s="47" t="s">
        <v>530</v>
      </c>
      <c r="L291" s="47" t="s">
        <v>1277</v>
      </c>
      <c r="M291" s="47" t="s">
        <v>1280</v>
      </c>
    </row>
    <row r="292" spans="2:28" ht="13.5" customHeight="1">
      <c r="B292" s="47">
        <v>251</v>
      </c>
      <c r="C292" s="47" t="s">
        <v>1216</v>
      </c>
      <c r="F292" s="47" t="s">
        <v>1230</v>
      </c>
      <c r="G292" s="47">
        <v>1</v>
      </c>
      <c r="H292" s="47" t="s">
        <v>530</v>
      </c>
      <c r="L292" s="47" t="s">
        <v>314</v>
      </c>
      <c r="M292" s="47" t="s">
        <v>1279</v>
      </c>
    </row>
    <row r="293" spans="2:28" ht="13.5" customHeight="1">
      <c r="B293" s="47">
        <v>251</v>
      </c>
      <c r="C293" s="47" t="s">
        <v>102</v>
      </c>
      <c r="D293" s="47" t="s">
        <v>177</v>
      </c>
      <c r="E293" s="47" t="s">
        <v>244</v>
      </c>
      <c r="F293" s="47" t="s">
        <v>247</v>
      </c>
      <c r="G293" s="47">
        <v>1</v>
      </c>
      <c r="H293" s="47" t="s">
        <v>62</v>
      </c>
      <c r="I293" s="47" t="s">
        <v>47</v>
      </c>
      <c r="L293" s="15" t="s">
        <v>246</v>
      </c>
      <c r="M293" s="15" t="s">
        <v>243</v>
      </c>
      <c r="O293" s="47" t="s">
        <v>30</v>
      </c>
      <c r="P293" s="47" t="s">
        <v>46</v>
      </c>
      <c r="R293" s="48"/>
      <c r="S293" s="48"/>
      <c r="T293" s="48"/>
      <c r="U293" s="48"/>
      <c r="V293" s="48"/>
      <c r="W293" s="48"/>
      <c r="X293" s="48"/>
      <c r="Y293" s="48"/>
      <c r="Z293" s="48"/>
      <c r="AA293" s="48"/>
      <c r="AB293" s="48"/>
    </row>
    <row r="294" spans="2:28" ht="13.5" customHeight="1">
      <c r="B294" s="47">
        <v>252</v>
      </c>
      <c r="C294" s="47" t="s">
        <v>1216</v>
      </c>
      <c r="F294" s="47" t="s">
        <v>1230</v>
      </c>
      <c r="G294" s="47">
        <v>1</v>
      </c>
      <c r="H294" s="47" t="s">
        <v>530</v>
      </c>
      <c r="L294" s="47" t="s">
        <v>1276</v>
      </c>
      <c r="M294" s="47" t="s">
        <v>1279</v>
      </c>
    </row>
    <row r="295" spans="2:28" ht="13.5" customHeight="1">
      <c r="B295" s="47">
        <v>252</v>
      </c>
      <c r="C295" s="47" t="s">
        <v>1216</v>
      </c>
      <c r="F295" s="47" t="s">
        <v>1230</v>
      </c>
      <c r="G295" s="47">
        <v>1</v>
      </c>
      <c r="H295" s="47" t="s">
        <v>530</v>
      </c>
      <c r="L295" s="47" t="s">
        <v>1277</v>
      </c>
      <c r="M295" s="47" t="s">
        <v>1280</v>
      </c>
    </row>
    <row r="296" spans="2:28" ht="13.5" customHeight="1">
      <c r="B296" s="47">
        <v>252</v>
      </c>
      <c r="C296" s="47" t="s">
        <v>1216</v>
      </c>
      <c r="F296" s="47" t="s">
        <v>1230</v>
      </c>
      <c r="G296" s="47">
        <v>1</v>
      </c>
      <c r="H296" s="47" t="s">
        <v>530</v>
      </c>
      <c r="L296" s="47" t="s">
        <v>314</v>
      </c>
      <c r="M296" s="47" t="s">
        <v>1279</v>
      </c>
    </row>
    <row r="297" spans="2:28" ht="13.5" customHeight="1">
      <c r="B297" s="47">
        <v>252</v>
      </c>
      <c r="C297" s="47" t="s">
        <v>102</v>
      </c>
      <c r="D297" s="47" t="s">
        <v>177</v>
      </c>
      <c r="E297" s="47" t="s">
        <v>244</v>
      </c>
      <c r="F297" s="47" t="s">
        <v>247</v>
      </c>
      <c r="G297" s="47">
        <v>1</v>
      </c>
      <c r="H297" s="47" t="s">
        <v>62</v>
      </c>
      <c r="I297" s="47" t="s">
        <v>47</v>
      </c>
      <c r="L297" s="15" t="s">
        <v>246</v>
      </c>
      <c r="M297" s="15" t="s">
        <v>243</v>
      </c>
      <c r="O297" s="47" t="s">
        <v>30</v>
      </c>
      <c r="P297" s="47" t="s">
        <v>46</v>
      </c>
    </row>
    <row r="298" spans="2:28" ht="13.5" customHeight="1">
      <c r="B298" s="47">
        <v>253</v>
      </c>
      <c r="C298" s="47" t="s">
        <v>1216</v>
      </c>
      <c r="F298" s="47" t="s">
        <v>1230</v>
      </c>
      <c r="G298" s="47">
        <v>1</v>
      </c>
      <c r="H298" s="47" t="s">
        <v>530</v>
      </c>
      <c r="L298" s="47" t="s">
        <v>1278</v>
      </c>
      <c r="M298" s="47" t="s">
        <v>1280</v>
      </c>
    </row>
    <row r="299" spans="2:28" ht="13.5" customHeight="1">
      <c r="B299" s="47">
        <v>253</v>
      </c>
      <c r="C299" s="47" t="s">
        <v>102</v>
      </c>
      <c r="D299" s="47" t="s">
        <v>177</v>
      </c>
      <c r="E299" s="47" t="s">
        <v>244</v>
      </c>
      <c r="F299" s="47" t="s">
        <v>247</v>
      </c>
      <c r="G299" s="47">
        <v>2</v>
      </c>
      <c r="H299" s="47" t="s">
        <v>62</v>
      </c>
      <c r="I299" s="47" t="s">
        <v>47</v>
      </c>
      <c r="L299" s="15" t="s">
        <v>182</v>
      </c>
      <c r="M299" s="15" t="s">
        <v>243</v>
      </c>
      <c r="O299" s="47" t="s">
        <v>30</v>
      </c>
      <c r="P299" s="47" t="s">
        <v>46</v>
      </c>
    </row>
    <row r="300" spans="2:28" ht="13.5" customHeight="1">
      <c r="B300" s="47">
        <v>254</v>
      </c>
      <c r="C300" s="47" t="s">
        <v>1216</v>
      </c>
      <c r="F300" s="47" t="s">
        <v>1227</v>
      </c>
      <c r="G300" s="47" t="s">
        <v>1273</v>
      </c>
      <c r="H300" s="47" t="s">
        <v>530</v>
      </c>
      <c r="L300" s="47" t="s">
        <v>1276</v>
      </c>
      <c r="M300" s="47" t="s">
        <v>1279</v>
      </c>
    </row>
    <row r="301" spans="2:28" ht="13.5" customHeight="1">
      <c r="B301" s="47">
        <v>254</v>
      </c>
      <c r="C301" s="47" t="s">
        <v>1216</v>
      </c>
      <c r="F301" s="47" t="s">
        <v>1227</v>
      </c>
      <c r="G301" s="47" t="s">
        <v>1273</v>
      </c>
      <c r="H301" s="47" t="s">
        <v>530</v>
      </c>
      <c r="L301" s="47" t="s">
        <v>314</v>
      </c>
      <c r="M301" s="47" t="s">
        <v>1279</v>
      </c>
    </row>
    <row r="302" spans="2:28" ht="13.5" customHeight="1">
      <c r="B302" s="47">
        <v>255</v>
      </c>
      <c r="C302" s="47" t="s">
        <v>1216</v>
      </c>
      <c r="F302" s="47" t="s">
        <v>1221</v>
      </c>
      <c r="G302" s="47">
        <v>1</v>
      </c>
      <c r="H302" s="47" t="s">
        <v>530</v>
      </c>
      <c r="L302" s="47" t="s">
        <v>1278</v>
      </c>
      <c r="M302" s="47" t="s">
        <v>1280</v>
      </c>
    </row>
    <row r="303" spans="2:28" ht="13.5" customHeight="1">
      <c r="B303" s="47">
        <v>255</v>
      </c>
      <c r="C303" s="47" t="s">
        <v>1216</v>
      </c>
      <c r="F303" s="47" t="s">
        <v>1221</v>
      </c>
      <c r="G303" s="47">
        <v>1</v>
      </c>
      <c r="H303" s="47" t="s">
        <v>530</v>
      </c>
      <c r="L303" s="47" t="s">
        <v>1276</v>
      </c>
      <c r="M303" s="47" t="s">
        <v>1279</v>
      </c>
    </row>
    <row r="304" spans="2:28" ht="13.5" customHeight="1">
      <c r="B304" s="47">
        <v>255</v>
      </c>
      <c r="C304" s="47" t="s">
        <v>1216</v>
      </c>
      <c r="F304" s="47" t="s">
        <v>1221</v>
      </c>
      <c r="G304" s="47">
        <v>1</v>
      </c>
      <c r="H304" s="47" t="s">
        <v>530</v>
      </c>
      <c r="L304" s="47" t="s">
        <v>314</v>
      </c>
      <c r="M304" s="47" t="s">
        <v>1279</v>
      </c>
    </row>
    <row r="305" spans="2:16" ht="13.5" customHeight="1">
      <c r="B305" s="47">
        <v>255</v>
      </c>
      <c r="C305" s="47" t="s">
        <v>102</v>
      </c>
      <c r="D305" s="47" t="s">
        <v>177</v>
      </c>
      <c r="E305" s="47" t="s">
        <v>244</v>
      </c>
      <c r="F305" s="47" t="s">
        <v>248</v>
      </c>
      <c r="H305" s="47" t="s">
        <v>62</v>
      </c>
      <c r="I305" s="47" t="s">
        <v>47</v>
      </c>
      <c r="L305" s="15" t="s">
        <v>246</v>
      </c>
      <c r="M305" s="15" t="s">
        <v>243</v>
      </c>
      <c r="O305" s="47" t="s">
        <v>30</v>
      </c>
      <c r="P305" s="47" t="s">
        <v>46</v>
      </c>
    </row>
    <row r="306" spans="2:16" ht="13.5" customHeight="1">
      <c r="B306" s="47">
        <v>256</v>
      </c>
      <c r="C306" s="49" t="s">
        <v>109</v>
      </c>
      <c r="D306" s="49" t="s">
        <v>172</v>
      </c>
      <c r="E306" s="49" t="s">
        <v>249</v>
      </c>
      <c r="F306" s="49"/>
      <c r="G306" s="49"/>
      <c r="H306" s="49" t="s">
        <v>35</v>
      </c>
      <c r="I306" s="49" t="s">
        <v>46</v>
      </c>
      <c r="J306" s="49"/>
      <c r="K306" s="49"/>
      <c r="L306" s="50"/>
      <c r="M306" s="50"/>
      <c r="N306" s="49" t="s">
        <v>250</v>
      </c>
    </row>
    <row r="307" spans="2:16" ht="13.5" customHeight="1">
      <c r="B307" s="47">
        <v>256</v>
      </c>
      <c r="C307" s="47" t="s">
        <v>1216</v>
      </c>
      <c r="F307" s="47" t="s">
        <v>526</v>
      </c>
      <c r="G307" s="47">
        <v>1</v>
      </c>
      <c r="H307" s="47" t="s">
        <v>1274</v>
      </c>
      <c r="L307" s="47" t="s">
        <v>1276</v>
      </c>
      <c r="M307" s="47" t="s">
        <v>1279</v>
      </c>
    </row>
    <row r="308" spans="2:16" ht="13.5" customHeight="1">
      <c r="B308" s="47">
        <v>256</v>
      </c>
      <c r="C308" s="47" t="s">
        <v>1216</v>
      </c>
      <c r="F308" s="47" t="s">
        <v>526</v>
      </c>
      <c r="G308" s="47">
        <v>1</v>
      </c>
      <c r="H308" s="47" t="s">
        <v>1274</v>
      </c>
      <c r="L308" s="47" t="s">
        <v>314</v>
      </c>
      <c r="M308" s="47" t="s">
        <v>1279</v>
      </c>
    </row>
    <row r="309" spans="2:16" ht="13.5" customHeight="1">
      <c r="B309" s="47">
        <v>257</v>
      </c>
      <c r="C309" s="47" t="s">
        <v>1216</v>
      </c>
      <c r="F309" s="47" t="s">
        <v>526</v>
      </c>
      <c r="G309" s="47">
        <v>1</v>
      </c>
      <c r="H309" s="47" t="s">
        <v>1274</v>
      </c>
      <c r="L309" s="47" t="s">
        <v>1276</v>
      </c>
      <c r="M309" s="47" t="s">
        <v>1279</v>
      </c>
    </row>
    <row r="310" spans="2:16" ht="13.5" customHeight="1">
      <c r="B310" s="47">
        <v>257</v>
      </c>
      <c r="C310" s="47" t="s">
        <v>1216</v>
      </c>
      <c r="F310" s="47" t="s">
        <v>526</v>
      </c>
      <c r="G310" s="47">
        <v>1</v>
      </c>
      <c r="H310" s="47" t="s">
        <v>1274</v>
      </c>
      <c r="L310" s="47" t="s">
        <v>314</v>
      </c>
      <c r="M310" s="47" t="s">
        <v>1279</v>
      </c>
    </row>
    <row r="311" spans="2:16" ht="13.5" customHeight="1">
      <c r="B311" s="47">
        <v>257</v>
      </c>
      <c r="C311" s="47" t="s">
        <v>110</v>
      </c>
      <c r="D311" s="47" t="s">
        <v>204</v>
      </c>
      <c r="H311" s="47" t="s">
        <v>58</v>
      </c>
      <c r="I311" s="47" t="s">
        <v>231</v>
      </c>
      <c r="L311" s="41"/>
      <c r="M311" s="41"/>
      <c r="N311" s="47" t="s">
        <v>232</v>
      </c>
      <c r="O311" s="47" t="s">
        <v>30</v>
      </c>
      <c r="P311" s="47" t="s">
        <v>46</v>
      </c>
    </row>
    <row r="312" spans="2:16" ht="13.5" customHeight="1">
      <c r="B312" s="47">
        <v>258</v>
      </c>
      <c r="C312" s="47" t="s">
        <v>1216</v>
      </c>
      <c r="F312" s="47" t="s">
        <v>526</v>
      </c>
      <c r="G312" s="47">
        <v>1</v>
      </c>
      <c r="H312" s="47" t="s">
        <v>1274</v>
      </c>
      <c r="L312" s="47" t="s">
        <v>1276</v>
      </c>
      <c r="M312" s="47" t="s">
        <v>1279</v>
      </c>
    </row>
    <row r="313" spans="2:16" ht="13.5" customHeight="1">
      <c r="B313" s="47">
        <v>258</v>
      </c>
      <c r="C313" s="47" t="s">
        <v>1216</v>
      </c>
      <c r="F313" s="47" t="s">
        <v>526</v>
      </c>
      <c r="G313" s="47">
        <v>1</v>
      </c>
      <c r="H313" s="47" t="s">
        <v>1274</v>
      </c>
      <c r="L313" s="47" t="s">
        <v>314</v>
      </c>
      <c r="M313" s="47" t="s">
        <v>1279</v>
      </c>
    </row>
    <row r="314" spans="2:16" ht="13.5" customHeight="1">
      <c r="B314" s="47">
        <v>258</v>
      </c>
      <c r="C314" s="47" t="s">
        <v>110</v>
      </c>
      <c r="D314" s="47" t="s">
        <v>204</v>
      </c>
      <c r="H314" s="47" t="s">
        <v>58</v>
      </c>
      <c r="I314" s="47" t="s">
        <v>231</v>
      </c>
      <c r="L314" s="15" t="s">
        <v>233</v>
      </c>
      <c r="M314" s="15" t="s">
        <v>251</v>
      </c>
      <c r="N314" s="47" t="s">
        <v>252</v>
      </c>
      <c r="O314" s="47" t="s">
        <v>30</v>
      </c>
      <c r="P314" s="47" t="s">
        <v>46</v>
      </c>
    </row>
    <row r="315" spans="2:16" ht="13.5" customHeight="1">
      <c r="B315" s="47">
        <v>259</v>
      </c>
      <c r="C315" s="47" t="s">
        <v>1216</v>
      </c>
      <c r="F315" s="47" t="s">
        <v>1231</v>
      </c>
      <c r="G315" s="47">
        <v>1</v>
      </c>
      <c r="H315" s="47" t="s">
        <v>530</v>
      </c>
      <c r="L315" s="47" t="s">
        <v>1147</v>
      </c>
      <c r="M315" s="47" t="s">
        <v>251</v>
      </c>
    </row>
    <row r="316" spans="2:16" ht="13.5" customHeight="1">
      <c r="B316" s="47">
        <v>259</v>
      </c>
      <c r="C316" s="47" t="s">
        <v>102</v>
      </c>
      <c r="D316" s="47" t="s">
        <v>177</v>
      </c>
      <c r="E316" s="48"/>
      <c r="F316" s="47" t="s">
        <v>253</v>
      </c>
      <c r="G316" s="47" t="s">
        <v>254</v>
      </c>
      <c r="H316" s="47" t="s">
        <v>62</v>
      </c>
      <c r="L316" s="15" t="s">
        <v>233</v>
      </c>
      <c r="M316" s="15" t="s">
        <v>251</v>
      </c>
      <c r="O316" s="47" t="s">
        <v>30</v>
      </c>
      <c r="P316" s="47" t="s">
        <v>46</v>
      </c>
    </row>
    <row r="317" spans="2:16" ht="13.5" customHeight="1">
      <c r="B317" s="47">
        <v>259</v>
      </c>
      <c r="C317" s="47" t="s">
        <v>110</v>
      </c>
      <c r="D317" s="47" t="s">
        <v>204</v>
      </c>
      <c r="H317" s="47" t="s">
        <v>58</v>
      </c>
      <c r="I317" s="47" t="s">
        <v>231</v>
      </c>
      <c r="L317" s="15" t="s">
        <v>255</v>
      </c>
      <c r="M317" s="15" t="s">
        <v>190</v>
      </c>
      <c r="N317" s="47" t="s">
        <v>252</v>
      </c>
      <c r="O317" s="47" t="s">
        <v>30</v>
      </c>
      <c r="P317" s="47" t="s">
        <v>46</v>
      </c>
    </row>
    <row r="318" spans="2:16" ht="13.5" customHeight="1">
      <c r="B318" s="47">
        <v>260</v>
      </c>
      <c r="C318" s="47" t="s">
        <v>1216</v>
      </c>
      <c r="F318" s="47" t="s">
        <v>1231</v>
      </c>
      <c r="G318" s="47">
        <v>1</v>
      </c>
      <c r="H318" s="47" t="s">
        <v>530</v>
      </c>
      <c r="L318" s="47" t="s">
        <v>1147</v>
      </c>
      <c r="M318" s="47" t="s">
        <v>251</v>
      </c>
    </row>
    <row r="319" spans="2:16" ht="13.5" customHeight="1">
      <c r="B319" s="47">
        <v>260</v>
      </c>
      <c r="C319" s="47" t="s">
        <v>102</v>
      </c>
      <c r="D319" s="47" t="s">
        <v>177</v>
      </c>
      <c r="E319" s="48"/>
      <c r="F319" s="47" t="s">
        <v>253</v>
      </c>
      <c r="G319" s="47" t="s">
        <v>254</v>
      </c>
      <c r="H319" s="47" t="s">
        <v>62</v>
      </c>
      <c r="L319" s="15" t="s">
        <v>233</v>
      </c>
      <c r="M319" s="15" t="s">
        <v>251</v>
      </c>
      <c r="O319" s="47" t="s">
        <v>30</v>
      </c>
      <c r="P319" s="47" t="s">
        <v>46</v>
      </c>
    </row>
    <row r="320" spans="2:16" ht="13.5" customHeight="1">
      <c r="B320" s="47">
        <v>261</v>
      </c>
      <c r="C320" s="47" t="s">
        <v>111</v>
      </c>
      <c r="D320" s="49" t="s">
        <v>172</v>
      </c>
      <c r="E320" s="49" t="s">
        <v>256</v>
      </c>
      <c r="F320" s="49"/>
      <c r="G320" s="49"/>
      <c r="H320" s="49" t="s">
        <v>35</v>
      </c>
      <c r="I320" s="49" t="s">
        <v>46</v>
      </c>
      <c r="J320" s="49"/>
      <c r="K320" s="49"/>
      <c r="L320" s="50"/>
      <c r="M320" s="50"/>
      <c r="N320" s="49" t="s">
        <v>257</v>
      </c>
    </row>
    <row r="321" spans="2:16" ht="13.5" customHeight="1">
      <c r="B321" s="47">
        <v>261</v>
      </c>
      <c r="C321" s="47" t="s">
        <v>1216</v>
      </c>
      <c r="F321" s="47" t="s">
        <v>1231</v>
      </c>
      <c r="G321" s="47">
        <v>1</v>
      </c>
      <c r="H321" s="47" t="s">
        <v>530</v>
      </c>
      <c r="L321" s="47" t="s">
        <v>1147</v>
      </c>
      <c r="M321" s="47" t="s">
        <v>251</v>
      </c>
    </row>
    <row r="322" spans="2:16" ht="13.5" customHeight="1">
      <c r="B322" s="47">
        <v>261</v>
      </c>
      <c r="C322" s="47" t="s">
        <v>102</v>
      </c>
      <c r="D322" s="47" t="s">
        <v>177</v>
      </c>
      <c r="E322" s="48"/>
      <c r="F322" s="47" t="s">
        <v>253</v>
      </c>
      <c r="G322" s="47" t="s">
        <v>254</v>
      </c>
      <c r="H322" s="47" t="s">
        <v>62</v>
      </c>
      <c r="L322" s="15" t="s">
        <v>233</v>
      </c>
      <c r="M322" s="15" t="s">
        <v>251</v>
      </c>
      <c r="O322" s="47" t="s">
        <v>30</v>
      </c>
      <c r="P322" s="47" t="s">
        <v>46</v>
      </c>
    </row>
    <row r="323" spans="2:16" ht="13.5" customHeight="1">
      <c r="B323" s="47">
        <v>262</v>
      </c>
      <c r="C323" s="47" t="s">
        <v>111</v>
      </c>
      <c r="D323" s="49" t="s">
        <v>172</v>
      </c>
      <c r="E323" s="49" t="s">
        <v>256</v>
      </c>
      <c r="F323" s="49"/>
      <c r="G323" s="49"/>
      <c r="H323" s="49" t="s">
        <v>35</v>
      </c>
      <c r="I323" s="49" t="s">
        <v>46</v>
      </c>
      <c r="J323" s="49"/>
      <c r="K323" s="49"/>
      <c r="L323" s="50"/>
      <c r="M323" s="50"/>
      <c r="N323" s="49"/>
    </row>
    <row r="324" spans="2:16" ht="13.5" customHeight="1">
      <c r="B324" s="47">
        <v>262</v>
      </c>
      <c r="C324" s="47" t="s">
        <v>1216</v>
      </c>
      <c r="F324" s="47" t="s">
        <v>1231</v>
      </c>
      <c r="G324" s="47">
        <v>1</v>
      </c>
      <c r="H324" s="47" t="s">
        <v>530</v>
      </c>
      <c r="L324" s="47" t="s">
        <v>1147</v>
      </c>
      <c r="M324" s="47" t="s">
        <v>251</v>
      </c>
    </row>
    <row r="325" spans="2:16" ht="13.5" customHeight="1">
      <c r="B325" s="47">
        <v>262</v>
      </c>
      <c r="C325" s="47" t="s">
        <v>102</v>
      </c>
      <c r="D325" s="47" t="s">
        <v>177</v>
      </c>
      <c r="E325" s="48"/>
      <c r="F325" s="47" t="s">
        <v>253</v>
      </c>
      <c r="G325" s="47">
        <v>1</v>
      </c>
      <c r="H325" s="47" t="s">
        <v>62</v>
      </c>
      <c r="L325" s="15" t="s">
        <v>233</v>
      </c>
      <c r="M325" s="15" t="s">
        <v>251</v>
      </c>
      <c r="O325" s="47" t="s">
        <v>30</v>
      </c>
      <c r="P325" s="47" t="s">
        <v>46</v>
      </c>
    </row>
    <row r="326" spans="2:16" ht="13.5" customHeight="1">
      <c r="B326" s="47">
        <v>263</v>
      </c>
      <c r="C326" s="47" t="s">
        <v>111</v>
      </c>
      <c r="D326" s="49" t="s">
        <v>172</v>
      </c>
      <c r="E326" s="49" t="s">
        <v>256</v>
      </c>
      <c r="F326" s="49"/>
      <c r="G326" s="49"/>
      <c r="H326" s="49" t="s">
        <v>35</v>
      </c>
      <c r="I326" s="49" t="s">
        <v>46</v>
      </c>
      <c r="J326" s="49"/>
      <c r="K326" s="49"/>
      <c r="L326" s="50"/>
      <c r="M326" s="50"/>
      <c r="N326" s="49" t="s">
        <v>259</v>
      </c>
    </row>
    <row r="327" spans="2:16" ht="13.5" customHeight="1">
      <c r="B327" s="47">
        <v>263</v>
      </c>
      <c r="C327" s="47" t="s">
        <v>1216</v>
      </c>
      <c r="F327" s="47" t="s">
        <v>1232</v>
      </c>
      <c r="G327" s="47">
        <v>1</v>
      </c>
      <c r="H327" s="47" t="s">
        <v>530</v>
      </c>
      <c r="L327" s="47" t="s">
        <v>1147</v>
      </c>
      <c r="M327" s="47" t="s">
        <v>251</v>
      </c>
    </row>
    <row r="328" spans="2:16" ht="13.5" customHeight="1">
      <c r="B328" s="47">
        <v>263</v>
      </c>
      <c r="C328" s="47" t="s">
        <v>102</v>
      </c>
      <c r="D328" s="47" t="s">
        <v>177</v>
      </c>
      <c r="E328" s="48"/>
      <c r="F328" s="47" t="s">
        <v>258</v>
      </c>
      <c r="G328" s="47">
        <v>2</v>
      </c>
      <c r="H328" s="47" t="s">
        <v>62</v>
      </c>
      <c r="L328" s="15" t="s">
        <v>233</v>
      </c>
      <c r="M328" s="15" t="s">
        <v>251</v>
      </c>
      <c r="O328" s="47" t="s">
        <v>30</v>
      </c>
      <c r="P328" s="47" t="s">
        <v>46</v>
      </c>
    </row>
    <row r="329" spans="2:16" ht="13.5" customHeight="1">
      <c r="B329" s="47">
        <v>264</v>
      </c>
      <c r="C329" s="49" t="s">
        <v>109</v>
      </c>
      <c r="D329" s="49" t="s">
        <v>172</v>
      </c>
      <c r="E329" s="49" t="s">
        <v>260</v>
      </c>
      <c r="F329" s="49"/>
      <c r="G329" s="49"/>
      <c r="H329" s="49" t="s">
        <v>35</v>
      </c>
      <c r="I329" s="49" t="s">
        <v>46</v>
      </c>
      <c r="J329" s="49"/>
      <c r="K329" s="49"/>
      <c r="L329" s="50"/>
      <c r="M329" s="50"/>
      <c r="N329" s="49" t="s">
        <v>175</v>
      </c>
    </row>
    <row r="330" spans="2:16" ht="13.5" customHeight="1">
      <c r="B330" s="47">
        <v>264</v>
      </c>
      <c r="C330" s="47" t="s">
        <v>1216</v>
      </c>
      <c r="F330" s="47" t="s">
        <v>1223</v>
      </c>
      <c r="G330" s="47">
        <v>1</v>
      </c>
      <c r="H330" s="47" t="s">
        <v>1274</v>
      </c>
      <c r="L330" s="47" t="s">
        <v>1278</v>
      </c>
      <c r="M330" s="47" t="s">
        <v>1280</v>
      </c>
    </row>
    <row r="331" spans="2:16" ht="13.5" customHeight="1">
      <c r="B331" s="47">
        <v>264</v>
      </c>
      <c r="C331" s="47" t="s">
        <v>102</v>
      </c>
      <c r="D331" s="47" t="s">
        <v>177</v>
      </c>
      <c r="E331" s="47" t="s">
        <v>244</v>
      </c>
      <c r="F331" s="47" t="s">
        <v>242</v>
      </c>
      <c r="G331" s="47">
        <v>1</v>
      </c>
      <c r="H331" s="47" t="s">
        <v>62</v>
      </c>
      <c r="L331" s="15" t="s">
        <v>182</v>
      </c>
      <c r="M331" s="15" t="s">
        <v>243</v>
      </c>
      <c r="O331" s="47" t="s">
        <v>30</v>
      </c>
      <c r="P331" s="47" t="s">
        <v>46</v>
      </c>
    </row>
    <row r="332" spans="2:16" ht="13.5" customHeight="1">
      <c r="B332" s="47">
        <v>276</v>
      </c>
      <c r="C332" s="47" t="s">
        <v>261</v>
      </c>
      <c r="D332" s="47" t="s">
        <v>177</v>
      </c>
      <c r="E332" s="47" t="s">
        <v>178</v>
      </c>
      <c r="F332" s="47" t="s">
        <v>262</v>
      </c>
      <c r="G332" s="47">
        <v>500</v>
      </c>
      <c r="H332" s="47" t="s">
        <v>30</v>
      </c>
      <c r="I332" s="47" t="s">
        <v>46</v>
      </c>
      <c r="J332" s="47" t="s">
        <v>35</v>
      </c>
      <c r="L332" s="15" t="s">
        <v>182</v>
      </c>
      <c r="M332" s="15" t="s">
        <v>263</v>
      </c>
      <c r="O332" s="47" t="s">
        <v>30</v>
      </c>
      <c r="P332" s="47" t="s">
        <v>46</v>
      </c>
    </row>
    <row r="333" spans="2:16" ht="13.5" customHeight="1">
      <c r="B333" s="47">
        <v>277</v>
      </c>
      <c r="C333" s="47" t="s">
        <v>264</v>
      </c>
      <c r="D333" s="47" t="s">
        <v>177</v>
      </c>
      <c r="E333" s="47" t="s">
        <v>178</v>
      </c>
      <c r="F333" s="47" t="s">
        <v>262</v>
      </c>
      <c r="G333" s="47">
        <v>500</v>
      </c>
      <c r="H333" s="47" t="s">
        <v>46</v>
      </c>
      <c r="L333" s="15" t="s">
        <v>182</v>
      </c>
      <c r="M333" s="15" t="s">
        <v>263</v>
      </c>
      <c r="N333" s="47" t="s">
        <v>265</v>
      </c>
      <c r="O333" s="47" t="s">
        <v>30</v>
      </c>
      <c r="P333" s="47" t="s">
        <v>46</v>
      </c>
    </row>
    <row r="334" spans="2:16" ht="13.5" customHeight="1">
      <c r="B334" s="47">
        <v>286</v>
      </c>
      <c r="C334" s="47" t="s">
        <v>107</v>
      </c>
      <c r="D334" s="47" t="s">
        <v>224</v>
      </c>
      <c r="E334" s="47" t="s">
        <v>225</v>
      </c>
      <c r="H334" s="47" t="s">
        <v>43</v>
      </c>
      <c r="I334" s="47" t="s">
        <v>50</v>
      </c>
      <c r="J334" s="47" t="s">
        <v>62</v>
      </c>
      <c r="L334" s="41"/>
      <c r="M334" s="15" t="s">
        <v>266</v>
      </c>
      <c r="O334" s="47" t="s">
        <v>30</v>
      </c>
      <c r="P334" s="47" t="s">
        <v>46</v>
      </c>
    </row>
    <row r="335" spans="2:16" ht="13.5" customHeight="1">
      <c r="B335" s="47">
        <v>287</v>
      </c>
      <c r="C335" s="47" t="s">
        <v>107</v>
      </c>
      <c r="D335" s="47" t="s">
        <v>224</v>
      </c>
      <c r="E335" s="47" t="s">
        <v>225</v>
      </c>
      <c r="H335" s="47" t="s">
        <v>43</v>
      </c>
      <c r="I335" s="47" t="s">
        <v>50</v>
      </c>
      <c r="J335" s="47" t="s">
        <v>62</v>
      </c>
      <c r="L335" s="41"/>
      <c r="M335" s="15" t="s">
        <v>266</v>
      </c>
      <c r="O335" s="47" t="s">
        <v>30</v>
      </c>
      <c r="P335" s="47" t="s">
        <v>46</v>
      </c>
    </row>
    <row r="336" spans="2:16" ht="13.5" customHeight="1">
      <c r="B336" s="47">
        <v>288</v>
      </c>
      <c r="C336" s="47" t="s">
        <v>107</v>
      </c>
      <c r="D336" s="47" t="s">
        <v>224</v>
      </c>
      <c r="E336" s="47" t="s">
        <v>227</v>
      </c>
      <c r="H336" s="47" t="s">
        <v>43</v>
      </c>
      <c r="I336" s="47" t="s">
        <v>50</v>
      </c>
      <c r="J336" s="47" t="s">
        <v>62</v>
      </c>
      <c r="L336" s="41"/>
      <c r="M336" s="15" t="s">
        <v>266</v>
      </c>
      <c r="O336" s="47" t="s">
        <v>30</v>
      </c>
      <c r="P336" s="47" t="s">
        <v>46</v>
      </c>
    </row>
    <row r="337" spans="2:16" ht="13.5" customHeight="1">
      <c r="B337" s="47">
        <v>289</v>
      </c>
      <c r="C337" s="47" t="s">
        <v>107</v>
      </c>
      <c r="D337" s="47" t="s">
        <v>224</v>
      </c>
      <c r="E337" s="47" t="s">
        <v>227</v>
      </c>
      <c r="H337" s="47" t="s">
        <v>43</v>
      </c>
      <c r="I337" s="47" t="s">
        <v>50</v>
      </c>
      <c r="J337" s="47" t="s">
        <v>62</v>
      </c>
      <c r="L337" s="41"/>
      <c r="M337" s="15" t="s">
        <v>266</v>
      </c>
      <c r="O337" s="47" t="s">
        <v>30</v>
      </c>
      <c r="P337" s="47" t="s">
        <v>46</v>
      </c>
    </row>
    <row r="338" spans="2:16" ht="13.5" customHeight="1">
      <c r="B338" s="47">
        <v>290</v>
      </c>
      <c r="C338" s="47" t="s">
        <v>107</v>
      </c>
      <c r="D338" s="47" t="s">
        <v>224</v>
      </c>
      <c r="E338" s="47" t="s">
        <v>267</v>
      </c>
      <c r="H338" s="47" t="s">
        <v>43</v>
      </c>
      <c r="I338" s="47" t="s">
        <v>50</v>
      </c>
      <c r="J338" s="47" t="s">
        <v>62</v>
      </c>
      <c r="L338" s="41"/>
      <c r="M338" s="15" t="s">
        <v>229</v>
      </c>
      <c r="O338" s="47" t="s">
        <v>30</v>
      </c>
      <c r="P338" s="47" t="s">
        <v>46</v>
      </c>
    </row>
    <row r="339" spans="2:16" ht="13.5" customHeight="1">
      <c r="B339" s="47">
        <v>291</v>
      </c>
      <c r="C339" s="47" t="s">
        <v>107</v>
      </c>
      <c r="D339" s="47" t="s">
        <v>224</v>
      </c>
      <c r="E339" s="16" t="s">
        <v>1103</v>
      </c>
      <c r="H339" s="47" t="s">
        <v>43</v>
      </c>
      <c r="I339" s="47" t="s">
        <v>50</v>
      </c>
      <c r="J339" s="47" t="s">
        <v>62</v>
      </c>
      <c r="L339" s="41"/>
      <c r="M339" s="15" t="s">
        <v>229</v>
      </c>
      <c r="O339" s="47" t="s">
        <v>30</v>
      </c>
      <c r="P339" s="47" t="s">
        <v>46</v>
      </c>
    </row>
    <row r="340" spans="2:16" ht="13.5" customHeight="1">
      <c r="B340" s="47">
        <v>292</v>
      </c>
      <c r="C340" s="47" t="s">
        <v>107</v>
      </c>
      <c r="D340" s="47" t="s">
        <v>224</v>
      </c>
      <c r="E340" s="47" t="s">
        <v>228</v>
      </c>
      <c r="H340" s="47" t="s">
        <v>43</v>
      </c>
      <c r="I340" s="47" t="s">
        <v>50</v>
      </c>
      <c r="J340" s="47" t="s">
        <v>62</v>
      </c>
      <c r="L340" s="41"/>
      <c r="M340" s="15" t="s">
        <v>229</v>
      </c>
      <c r="O340" s="47" t="s">
        <v>30</v>
      </c>
      <c r="P340" s="47" t="s">
        <v>46</v>
      </c>
    </row>
    <row r="341" spans="2:16" ht="13.5" customHeight="1">
      <c r="B341" s="47">
        <v>293</v>
      </c>
      <c r="C341" s="47" t="s">
        <v>107</v>
      </c>
      <c r="D341" s="47" t="s">
        <v>224</v>
      </c>
      <c r="E341" s="47" t="s">
        <v>269</v>
      </c>
      <c r="H341" s="47" t="s">
        <v>43</v>
      </c>
      <c r="I341" s="47" t="s">
        <v>50</v>
      </c>
      <c r="J341" s="47" t="s">
        <v>62</v>
      </c>
      <c r="L341" s="41"/>
      <c r="M341" s="15" t="s">
        <v>270</v>
      </c>
      <c r="O341" s="47" t="s">
        <v>30</v>
      </c>
      <c r="P341" s="47" t="s">
        <v>46</v>
      </c>
    </row>
    <row r="342" spans="2:16" ht="13.5" customHeight="1">
      <c r="B342" s="47">
        <v>294</v>
      </c>
      <c r="C342" s="47" t="s">
        <v>107</v>
      </c>
      <c r="D342" s="47" t="s">
        <v>271</v>
      </c>
      <c r="E342" s="47" t="s">
        <v>272</v>
      </c>
      <c r="H342" s="47" t="s">
        <v>43</v>
      </c>
      <c r="I342" s="47" t="s">
        <v>50</v>
      </c>
      <c r="J342" s="47" t="s">
        <v>62</v>
      </c>
      <c r="L342" s="41"/>
      <c r="M342" s="15" t="s">
        <v>273</v>
      </c>
      <c r="O342" s="47" t="s">
        <v>30</v>
      </c>
      <c r="P342" s="47" t="s">
        <v>46</v>
      </c>
    </row>
    <row r="343" spans="2:16" ht="13.5" customHeight="1">
      <c r="B343" s="47">
        <v>295</v>
      </c>
      <c r="C343" s="47" t="s">
        <v>1217</v>
      </c>
      <c r="F343" s="47" t="s">
        <v>1233</v>
      </c>
      <c r="G343" s="47">
        <v>1</v>
      </c>
      <c r="H343" s="47" t="s">
        <v>1274</v>
      </c>
      <c r="L343" s="47" t="s">
        <v>314</v>
      </c>
      <c r="M343" s="47" t="s">
        <v>1279</v>
      </c>
    </row>
    <row r="344" spans="2:16" ht="13.5" customHeight="1">
      <c r="B344" s="47">
        <v>295</v>
      </c>
      <c r="C344" s="47" t="s">
        <v>107</v>
      </c>
      <c r="D344" s="47" t="s">
        <v>271</v>
      </c>
      <c r="E344" s="47" t="s">
        <v>1097</v>
      </c>
      <c r="H344" s="47" t="s">
        <v>43</v>
      </c>
      <c r="I344" s="47" t="s">
        <v>50</v>
      </c>
      <c r="J344" s="47" t="s">
        <v>62</v>
      </c>
      <c r="L344" s="41"/>
      <c r="M344" s="15" t="s">
        <v>273</v>
      </c>
      <c r="O344" s="47" t="s">
        <v>30</v>
      </c>
      <c r="P344" s="47" t="s">
        <v>46</v>
      </c>
    </row>
    <row r="345" spans="2:16" ht="13.5" customHeight="1">
      <c r="B345" s="47">
        <v>296</v>
      </c>
      <c r="C345" s="47" t="s">
        <v>1217</v>
      </c>
      <c r="F345" s="47" t="s">
        <v>1233</v>
      </c>
      <c r="G345" s="47">
        <v>1</v>
      </c>
      <c r="H345" s="47" t="s">
        <v>1274</v>
      </c>
      <c r="L345" s="47" t="s">
        <v>314</v>
      </c>
      <c r="M345" s="47" t="s">
        <v>1281</v>
      </c>
    </row>
    <row r="346" spans="2:16" ht="13.5" customHeight="1">
      <c r="B346" s="47">
        <v>296</v>
      </c>
      <c r="C346" s="47" t="s">
        <v>107</v>
      </c>
      <c r="D346" s="47" t="s">
        <v>271</v>
      </c>
      <c r="E346" s="47" t="s">
        <v>1093</v>
      </c>
      <c r="H346" s="47" t="s">
        <v>43</v>
      </c>
      <c r="I346" s="47" t="s">
        <v>50</v>
      </c>
      <c r="J346" s="47" t="s">
        <v>62</v>
      </c>
      <c r="L346" s="41"/>
      <c r="M346" s="15" t="s">
        <v>273</v>
      </c>
      <c r="N346" s="48"/>
      <c r="O346" s="47" t="s">
        <v>30</v>
      </c>
      <c r="P346" s="47" t="s">
        <v>46</v>
      </c>
    </row>
    <row r="347" spans="2:16" ht="13.5" customHeight="1">
      <c r="B347" s="47">
        <v>297</v>
      </c>
      <c r="C347" s="47" t="s">
        <v>107</v>
      </c>
      <c r="D347" s="47" t="s">
        <v>271</v>
      </c>
      <c r="E347" s="47" t="s">
        <v>272</v>
      </c>
      <c r="H347" s="47" t="s">
        <v>43</v>
      </c>
      <c r="I347" s="47" t="s">
        <v>50</v>
      </c>
      <c r="J347" s="47" t="s">
        <v>62</v>
      </c>
      <c r="L347" s="41"/>
      <c r="M347" s="15" t="s">
        <v>273</v>
      </c>
      <c r="N347" s="48"/>
      <c r="O347" s="47" t="s">
        <v>30</v>
      </c>
      <c r="P347" s="47" t="s">
        <v>46</v>
      </c>
    </row>
    <row r="348" spans="2:16" ht="13.5" customHeight="1">
      <c r="B348" s="47">
        <v>298</v>
      </c>
      <c r="C348" s="47" t="s">
        <v>1217</v>
      </c>
      <c r="F348" s="47" t="s">
        <v>1233</v>
      </c>
      <c r="G348" s="47">
        <v>1</v>
      </c>
      <c r="H348" s="47" t="s">
        <v>1274</v>
      </c>
      <c r="L348" s="47" t="s">
        <v>314</v>
      </c>
      <c r="M348" s="47" t="s">
        <v>1279</v>
      </c>
    </row>
    <row r="349" spans="2:16" ht="13.5" customHeight="1">
      <c r="B349" s="47">
        <v>298</v>
      </c>
      <c r="C349" s="47" t="s">
        <v>107</v>
      </c>
      <c r="D349" s="47" t="s">
        <v>271</v>
      </c>
      <c r="E349" s="47" t="s">
        <v>1097</v>
      </c>
      <c r="H349" s="47" t="s">
        <v>43</v>
      </c>
      <c r="I349" s="47" t="s">
        <v>50</v>
      </c>
      <c r="J349" s="47" t="s">
        <v>62</v>
      </c>
      <c r="L349" s="41"/>
      <c r="M349" s="15" t="s">
        <v>273</v>
      </c>
      <c r="N349" s="48"/>
      <c r="O349" s="47" t="s">
        <v>30</v>
      </c>
      <c r="P349" s="47" t="s">
        <v>46</v>
      </c>
    </row>
    <row r="350" spans="2:16" ht="13.5" customHeight="1">
      <c r="B350" s="47">
        <v>299</v>
      </c>
      <c r="C350" s="47" t="s">
        <v>1217</v>
      </c>
      <c r="F350" s="47" t="s">
        <v>1233</v>
      </c>
      <c r="G350" s="47">
        <v>1</v>
      </c>
      <c r="H350" s="47" t="s">
        <v>1274</v>
      </c>
      <c r="L350" s="47" t="s">
        <v>314</v>
      </c>
      <c r="M350" s="47" t="s">
        <v>1281</v>
      </c>
    </row>
    <row r="351" spans="2:16" ht="13.5" customHeight="1">
      <c r="B351" s="47">
        <v>299</v>
      </c>
      <c r="C351" s="47" t="s">
        <v>107</v>
      </c>
      <c r="D351" s="48"/>
      <c r="E351" s="47" t="s">
        <v>1093</v>
      </c>
      <c r="H351" s="47" t="s">
        <v>43</v>
      </c>
      <c r="I351" s="47" t="s">
        <v>50</v>
      </c>
      <c r="J351" s="47" t="s">
        <v>62</v>
      </c>
      <c r="L351" s="41"/>
      <c r="M351" s="41"/>
      <c r="N351" s="48"/>
      <c r="O351" s="47" t="s">
        <v>30</v>
      </c>
      <c r="P351" s="47" t="s">
        <v>46</v>
      </c>
    </row>
    <row r="352" spans="2:16" ht="13.5" customHeight="1">
      <c r="B352" s="47">
        <v>300</v>
      </c>
      <c r="C352" s="47" t="s">
        <v>107</v>
      </c>
      <c r="D352" s="48"/>
      <c r="E352" s="47" t="s">
        <v>272</v>
      </c>
      <c r="H352" s="47" t="s">
        <v>43</v>
      </c>
      <c r="I352" s="47" t="s">
        <v>50</v>
      </c>
      <c r="J352" s="47" t="s">
        <v>62</v>
      </c>
      <c r="L352" s="41"/>
      <c r="M352" s="41"/>
      <c r="N352" s="48"/>
      <c r="O352" s="47" t="s">
        <v>30</v>
      </c>
      <c r="P352" s="47" t="s">
        <v>46</v>
      </c>
    </row>
    <row r="353" spans="1:17" ht="13.5" customHeight="1">
      <c r="B353" s="47">
        <v>301</v>
      </c>
      <c r="C353" s="47" t="s">
        <v>1217</v>
      </c>
      <c r="F353" s="47" t="s">
        <v>1233</v>
      </c>
      <c r="G353" s="47">
        <v>1</v>
      </c>
      <c r="H353" s="47" t="s">
        <v>1274</v>
      </c>
      <c r="L353" s="47" t="s">
        <v>314</v>
      </c>
      <c r="M353" s="47" t="s">
        <v>1279</v>
      </c>
    </row>
    <row r="354" spans="1:17" ht="13.5" customHeight="1">
      <c r="B354" s="47">
        <v>301</v>
      </c>
      <c r="C354" s="47" t="s">
        <v>107</v>
      </c>
      <c r="D354" s="48"/>
      <c r="E354" s="47" t="s">
        <v>1097</v>
      </c>
      <c r="H354" s="47" t="s">
        <v>43</v>
      </c>
      <c r="I354" s="47" t="s">
        <v>50</v>
      </c>
      <c r="J354" s="47" t="s">
        <v>62</v>
      </c>
      <c r="L354" s="41"/>
      <c r="M354" s="41"/>
      <c r="N354" s="48"/>
      <c r="O354" s="47" t="s">
        <v>30</v>
      </c>
      <c r="P354" s="47" t="s">
        <v>46</v>
      </c>
    </row>
    <row r="355" spans="1:17" ht="13.5" customHeight="1">
      <c r="B355" s="47">
        <v>302</v>
      </c>
      <c r="C355" s="47" t="s">
        <v>1217</v>
      </c>
      <c r="F355" s="47" t="s">
        <v>1233</v>
      </c>
      <c r="G355" s="47">
        <v>1</v>
      </c>
      <c r="H355" s="47" t="s">
        <v>1274</v>
      </c>
      <c r="L355" s="47" t="s">
        <v>314</v>
      </c>
      <c r="M355" s="47" t="s">
        <v>1281</v>
      </c>
    </row>
    <row r="356" spans="1:17" ht="13.5" customHeight="1">
      <c r="B356" s="47">
        <v>302</v>
      </c>
      <c r="C356" s="47" t="s">
        <v>107</v>
      </c>
      <c r="D356" s="48"/>
      <c r="E356" s="47" t="s">
        <v>1093</v>
      </c>
      <c r="H356" s="47" t="s">
        <v>43</v>
      </c>
      <c r="I356" s="47" t="s">
        <v>50</v>
      </c>
      <c r="J356" s="47" t="s">
        <v>62</v>
      </c>
      <c r="L356" s="41"/>
      <c r="M356" s="41"/>
      <c r="O356" s="47" t="s">
        <v>30</v>
      </c>
      <c r="P356" s="47" t="s">
        <v>46</v>
      </c>
    </row>
    <row r="357" spans="1:17" ht="13.5" customHeight="1">
      <c r="B357" s="47">
        <v>303</v>
      </c>
      <c r="C357" s="47" t="s">
        <v>1217</v>
      </c>
      <c r="F357" s="47" t="s">
        <v>1233</v>
      </c>
      <c r="G357" s="47">
        <v>1</v>
      </c>
      <c r="H357" s="47" t="s">
        <v>1274</v>
      </c>
      <c r="L357" s="47" t="s">
        <v>1276</v>
      </c>
      <c r="M357" s="47" t="s">
        <v>1279</v>
      </c>
    </row>
    <row r="358" spans="1:17" ht="13.5" customHeight="1">
      <c r="A358" s="48"/>
      <c r="B358" s="48">
        <v>303</v>
      </c>
      <c r="C358" s="48" t="s">
        <v>107</v>
      </c>
      <c r="D358" s="47" t="s">
        <v>224</v>
      </c>
      <c r="E358" s="48" t="s">
        <v>274</v>
      </c>
      <c r="F358" s="48"/>
      <c r="G358" s="48"/>
      <c r="H358" s="47" t="s">
        <v>43</v>
      </c>
      <c r="I358" s="47" t="s">
        <v>50</v>
      </c>
      <c r="J358" s="47" t="s">
        <v>62</v>
      </c>
      <c r="L358" s="41" t="s">
        <v>275</v>
      </c>
      <c r="M358" s="41"/>
      <c r="O358" s="47" t="s">
        <v>30</v>
      </c>
      <c r="P358" s="47" t="s">
        <v>46</v>
      </c>
      <c r="Q358" s="48"/>
    </row>
    <row r="359" spans="1:17" ht="13.5" customHeight="1">
      <c r="B359" s="47">
        <v>304</v>
      </c>
      <c r="C359" s="47" t="s">
        <v>1217</v>
      </c>
      <c r="F359" s="47" t="s">
        <v>1233</v>
      </c>
      <c r="G359" s="47">
        <v>1</v>
      </c>
      <c r="H359" s="47" t="s">
        <v>1274</v>
      </c>
      <c r="L359" s="47" t="s">
        <v>1276</v>
      </c>
      <c r="M359" s="47" t="s">
        <v>1279</v>
      </c>
    </row>
    <row r="360" spans="1:17" ht="13.5" customHeight="1">
      <c r="A360" s="48"/>
      <c r="B360" s="48">
        <v>304</v>
      </c>
      <c r="C360" s="48" t="s">
        <v>107</v>
      </c>
      <c r="D360" s="47" t="s">
        <v>224</v>
      </c>
      <c r="E360" s="48" t="s">
        <v>274</v>
      </c>
      <c r="F360" s="48"/>
      <c r="G360" s="48"/>
      <c r="H360" s="47" t="s">
        <v>43</v>
      </c>
      <c r="I360" s="47" t="s">
        <v>50</v>
      </c>
      <c r="J360" s="47" t="s">
        <v>62</v>
      </c>
      <c r="L360" s="41" t="s">
        <v>275</v>
      </c>
      <c r="M360" s="41"/>
      <c r="O360" s="47" t="s">
        <v>30</v>
      </c>
      <c r="P360" s="47" t="s">
        <v>46</v>
      </c>
      <c r="Q360" s="48"/>
    </row>
    <row r="361" spans="1:17" ht="13.5" customHeight="1">
      <c r="B361" s="47">
        <v>305</v>
      </c>
      <c r="C361" s="47" t="s">
        <v>1217</v>
      </c>
      <c r="F361" s="47" t="s">
        <v>1233</v>
      </c>
      <c r="G361" s="47">
        <v>1</v>
      </c>
      <c r="H361" s="47" t="s">
        <v>1274</v>
      </c>
      <c r="L361" s="47" t="s">
        <v>1276</v>
      </c>
      <c r="M361" s="47" t="s">
        <v>1279</v>
      </c>
    </row>
    <row r="362" spans="1:17" ht="13.5" customHeight="1">
      <c r="A362" s="48"/>
      <c r="B362" s="48">
        <v>305</v>
      </c>
      <c r="C362" s="48" t="s">
        <v>107</v>
      </c>
      <c r="D362" s="47" t="s">
        <v>224</v>
      </c>
      <c r="E362" s="48" t="s">
        <v>274</v>
      </c>
      <c r="F362" s="48"/>
      <c r="G362" s="48"/>
      <c r="H362" s="47" t="s">
        <v>43</v>
      </c>
      <c r="I362" s="47" t="s">
        <v>50</v>
      </c>
      <c r="J362" s="47" t="s">
        <v>62</v>
      </c>
      <c r="L362" s="41" t="s">
        <v>275</v>
      </c>
      <c r="M362" s="41"/>
      <c r="O362" s="47" t="s">
        <v>30</v>
      </c>
      <c r="P362" s="47" t="s">
        <v>46</v>
      </c>
      <c r="Q362" s="48"/>
    </row>
    <row r="363" spans="1:17" ht="13.5" customHeight="1">
      <c r="B363" s="47">
        <v>306</v>
      </c>
      <c r="C363" s="47" t="s">
        <v>1217</v>
      </c>
      <c r="F363" s="47" t="s">
        <v>1233</v>
      </c>
      <c r="G363" s="47">
        <v>1</v>
      </c>
      <c r="H363" s="47" t="s">
        <v>1274</v>
      </c>
      <c r="L363" s="47" t="s">
        <v>1277</v>
      </c>
      <c r="M363" s="47" t="s">
        <v>1282</v>
      </c>
    </row>
    <row r="364" spans="1:17" ht="13.5" customHeight="1">
      <c r="A364" s="48"/>
      <c r="B364" s="48">
        <v>306</v>
      </c>
      <c r="C364" s="48" t="s">
        <v>107</v>
      </c>
      <c r="D364" s="48" t="s">
        <v>271</v>
      </c>
      <c r="E364" s="48" t="s">
        <v>276</v>
      </c>
      <c r="F364" s="48"/>
      <c r="G364" s="48"/>
      <c r="H364" s="47" t="s">
        <v>43</v>
      </c>
      <c r="I364" s="47" t="s">
        <v>50</v>
      </c>
      <c r="J364" s="47" t="s">
        <v>62</v>
      </c>
      <c r="L364" s="41"/>
      <c r="M364" s="41"/>
      <c r="O364" s="47" t="s">
        <v>30</v>
      </c>
      <c r="P364" s="47" t="s">
        <v>46</v>
      </c>
      <c r="Q364" s="48"/>
    </row>
    <row r="365" spans="1:17" ht="13.5" customHeight="1">
      <c r="B365" s="47">
        <v>307</v>
      </c>
      <c r="C365" s="47" t="s">
        <v>1217</v>
      </c>
      <c r="F365" s="47" t="s">
        <v>1233</v>
      </c>
      <c r="G365" s="47">
        <v>1</v>
      </c>
      <c r="H365" s="47" t="s">
        <v>1274</v>
      </c>
      <c r="L365" s="47" t="s">
        <v>1277</v>
      </c>
      <c r="M365" s="47" t="s">
        <v>1282</v>
      </c>
    </row>
    <row r="366" spans="1:17" ht="13.5" customHeight="1">
      <c r="A366" s="48"/>
      <c r="B366" s="48">
        <v>307</v>
      </c>
      <c r="C366" s="48" t="s">
        <v>107</v>
      </c>
      <c r="D366" s="48" t="s">
        <v>271</v>
      </c>
      <c r="E366" s="48" t="s">
        <v>276</v>
      </c>
      <c r="F366" s="48"/>
      <c r="G366" s="48"/>
      <c r="H366" s="47" t="s">
        <v>43</v>
      </c>
      <c r="I366" s="47" t="s">
        <v>50</v>
      </c>
      <c r="J366" s="47" t="s">
        <v>62</v>
      </c>
      <c r="L366" s="41"/>
      <c r="M366" s="41"/>
      <c r="O366" s="47" t="s">
        <v>30</v>
      </c>
      <c r="P366" s="47" t="s">
        <v>46</v>
      </c>
      <c r="Q366" s="48"/>
    </row>
    <row r="367" spans="1:17" ht="13.5" customHeight="1">
      <c r="B367" s="47">
        <v>308</v>
      </c>
      <c r="C367" s="47" t="s">
        <v>1217</v>
      </c>
      <c r="F367" s="47" t="s">
        <v>1233</v>
      </c>
      <c r="G367" s="47">
        <v>1</v>
      </c>
      <c r="H367" s="47" t="s">
        <v>1274</v>
      </c>
      <c r="L367" s="47" t="s">
        <v>1277</v>
      </c>
      <c r="M367" s="47" t="s">
        <v>1282</v>
      </c>
    </row>
    <row r="368" spans="1:17" ht="13.5" customHeight="1">
      <c r="A368" s="48"/>
      <c r="B368" s="48">
        <v>308</v>
      </c>
      <c r="C368" s="48" t="s">
        <v>107</v>
      </c>
      <c r="D368" s="48" t="s">
        <v>271</v>
      </c>
      <c r="E368" s="48" t="s">
        <v>276</v>
      </c>
      <c r="F368" s="48"/>
      <c r="G368" s="48"/>
      <c r="H368" s="47" t="s">
        <v>43</v>
      </c>
      <c r="I368" s="47" t="s">
        <v>50</v>
      </c>
      <c r="J368" s="47" t="s">
        <v>62</v>
      </c>
      <c r="L368" s="41"/>
      <c r="M368" s="41"/>
      <c r="O368" s="47" t="s">
        <v>30</v>
      </c>
      <c r="P368" s="47" t="s">
        <v>46</v>
      </c>
      <c r="Q368" s="48"/>
    </row>
    <row r="369" spans="2:16" ht="13.5" customHeight="1">
      <c r="B369" s="47">
        <v>310</v>
      </c>
      <c r="C369" s="47" t="s">
        <v>108</v>
      </c>
      <c r="D369" s="47" t="s">
        <v>277</v>
      </c>
      <c r="H369" s="47" t="s">
        <v>43</v>
      </c>
      <c r="I369" s="47" t="s">
        <v>50</v>
      </c>
      <c r="J369" s="47" t="s">
        <v>62</v>
      </c>
      <c r="L369" s="15"/>
      <c r="M369" s="15" t="s">
        <v>251</v>
      </c>
      <c r="O369" s="47" t="s">
        <v>30</v>
      </c>
      <c r="P369" s="47" t="s">
        <v>46</v>
      </c>
    </row>
    <row r="370" spans="2:16" ht="13.5" customHeight="1">
      <c r="B370" s="47">
        <v>311</v>
      </c>
      <c r="C370" s="47" t="s">
        <v>108</v>
      </c>
      <c r="D370" s="47" t="s">
        <v>277</v>
      </c>
      <c r="H370" s="47" t="s">
        <v>43</v>
      </c>
      <c r="I370" s="47" t="s">
        <v>50</v>
      </c>
      <c r="J370" s="47" t="s">
        <v>62</v>
      </c>
      <c r="L370" s="15"/>
      <c r="M370" s="15" t="s">
        <v>251</v>
      </c>
      <c r="O370" s="47" t="s">
        <v>30</v>
      </c>
      <c r="P370" s="47" t="s">
        <v>46</v>
      </c>
    </row>
    <row r="371" spans="2:16" ht="13.5" customHeight="1">
      <c r="B371" s="47">
        <v>312</v>
      </c>
      <c r="C371" s="47" t="s">
        <v>108</v>
      </c>
      <c r="D371" s="47" t="s">
        <v>277</v>
      </c>
      <c r="H371" s="47" t="s">
        <v>43</v>
      </c>
      <c r="I371" s="47" t="s">
        <v>50</v>
      </c>
      <c r="J371" s="47" t="s">
        <v>62</v>
      </c>
      <c r="L371" s="15"/>
      <c r="M371" s="15" t="s">
        <v>251</v>
      </c>
      <c r="O371" s="47" t="s">
        <v>30</v>
      </c>
      <c r="P371" s="47" t="s">
        <v>46</v>
      </c>
    </row>
    <row r="372" spans="2:16" ht="13.5" customHeight="1">
      <c r="B372" s="47">
        <v>313</v>
      </c>
      <c r="C372" s="47" t="s">
        <v>108</v>
      </c>
      <c r="D372" s="47" t="s">
        <v>277</v>
      </c>
      <c r="H372" s="47" t="s">
        <v>43</v>
      </c>
      <c r="I372" s="47" t="s">
        <v>50</v>
      </c>
      <c r="J372" s="47" t="s">
        <v>62</v>
      </c>
      <c r="L372" s="15"/>
      <c r="M372" s="15" t="s">
        <v>251</v>
      </c>
      <c r="O372" s="47" t="s">
        <v>30</v>
      </c>
      <c r="P372" s="47" t="s">
        <v>46</v>
      </c>
    </row>
    <row r="373" spans="2:16" ht="13.5" customHeight="1">
      <c r="B373" s="47">
        <v>324</v>
      </c>
      <c r="C373" s="47" t="s">
        <v>112</v>
      </c>
      <c r="D373" s="47" t="s">
        <v>204</v>
      </c>
      <c r="H373" s="47" t="s">
        <v>58</v>
      </c>
      <c r="L373" s="15" t="s">
        <v>233</v>
      </c>
      <c r="M373" s="15" t="s">
        <v>251</v>
      </c>
      <c r="N373" s="47" t="s">
        <v>278</v>
      </c>
      <c r="O373" s="47" t="s">
        <v>30</v>
      </c>
      <c r="P373" s="47" t="s">
        <v>46</v>
      </c>
    </row>
    <row r="374" spans="2:16" ht="13.5" customHeight="1">
      <c r="B374" s="47">
        <v>325</v>
      </c>
      <c r="C374" s="47" t="s">
        <v>112</v>
      </c>
      <c r="D374" s="47" t="s">
        <v>204</v>
      </c>
      <c r="H374" s="47" t="s">
        <v>58</v>
      </c>
      <c r="L374" s="41"/>
      <c r="M374" s="41"/>
      <c r="N374" s="47" t="s">
        <v>279</v>
      </c>
      <c r="O374" s="47" t="s">
        <v>30</v>
      </c>
      <c r="P374" s="47" t="s">
        <v>46</v>
      </c>
    </row>
    <row r="375" spans="2:16" ht="13.5" customHeight="1">
      <c r="B375" s="47">
        <v>326</v>
      </c>
      <c r="C375" s="47" t="s">
        <v>105</v>
      </c>
      <c r="D375" s="47" t="s">
        <v>177</v>
      </c>
      <c r="F375" s="47" t="s">
        <v>262</v>
      </c>
      <c r="G375" s="47">
        <v>15</v>
      </c>
      <c r="H375" s="47" t="s">
        <v>47</v>
      </c>
      <c r="L375" s="15" t="s">
        <v>182</v>
      </c>
      <c r="M375" s="15" t="s">
        <v>183</v>
      </c>
      <c r="O375" s="47" t="s">
        <v>30</v>
      </c>
      <c r="P375" s="47" t="s">
        <v>46</v>
      </c>
    </row>
    <row r="376" spans="2:16" ht="13.5" customHeight="1">
      <c r="B376" s="47">
        <v>326</v>
      </c>
      <c r="C376" s="47" t="s">
        <v>112</v>
      </c>
      <c r="D376" s="47" t="s">
        <v>204</v>
      </c>
      <c r="H376" s="47" t="s">
        <v>58</v>
      </c>
      <c r="L376" s="41"/>
      <c r="M376" s="41"/>
      <c r="N376" s="47" t="s">
        <v>280</v>
      </c>
      <c r="O376" s="47" t="s">
        <v>30</v>
      </c>
      <c r="P376" s="47" t="s">
        <v>46</v>
      </c>
    </row>
    <row r="377" spans="2:16" ht="13.5" customHeight="1">
      <c r="B377" s="47">
        <v>327</v>
      </c>
      <c r="C377" s="47" t="s">
        <v>106</v>
      </c>
      <c r="F377" s="47" t="s">
        <v>281</v>
      </c>
      <c r="G377" s="47">
        <v>1</v>
      </c>
      <c r="H377" s="47" t="s">
        <v>530</v>
      </c>
      <c r="L377" s="47" t="s">
        <v>1276</v>
      </c>
      <c r="M377" s="47" t="s">
        <v>1279</v>
      </c>
    </row>
    <row r="378" spans="2:16" ht="13.5" customHeight="1">
      <c r="B378" s="47">
        <v>327</v>
      </c>
      <c r="C378" s="47" t="s">
        <v>106</v>
      </c>
      <c r="F378" s="47" t="s">
        <v>281</v>
      </c>
      <c r="G378" s="47">
        <v>1</v>
      </c>
      <c r="H378" s="47" t="s">
        <v>530</v>
      </c>
      <c r="L378" s="47" t="s">
        <v>1277</v>
      </c>
      <c r="M378" s="47" t="s">
        <v>1280</v>
      </c>
    </row>
    <row r="379" spans="2:16" ht="13.5" customHeight="1">
      <c r="B379" s="47">
        <v>327</v>
      </c>
      <c r="C379" s="47" t="s">
        <v>106</v>
      </c>
      <c r="F379" s="47" t="s">
        <v>281</v>
      </c>
      <c r="G379" s="47">
        <v>1</v>
      </c>
      <c r="H379" s="47" t="s">
        <v>530</v>
      </c>
      <c r="L379" s="47" t="s">
        <v>314</v>
      </c>
      <c r="M379" s="47" t="s">
        <v>1279</v>
      </c>
    </row>
    <row r="380" spans="2:16" ht="13.5" customHeight="1">
      <c r="B380" s="47">
        <v>327</v>
      </c>
      <c r="C380" s="47" t="s">
        <v>106</v>
      </c>
      <c r="D380" s="47" t="s">
        <v>177</v>
      </c>
      <c r="F380" s="47" t="s">
        <v>281</v>
      </c>
      <c r="G380" s="47">
        <v>1</v>
      </c>
      <c r="H380" s="47" t="s">
        <v>62</v>
      </c>
      <c r="L380" s="15" t="s">
        <v>246</v>
      </c>
      <c r="M380" s="15" t="s">
        <v>243</v>
      </c>
      <c r="O380" s="47" t="s">
        <v>30</v>
      </c>
      <c r="P380" s="47" t="s">
        <v>46</v>
      </c>
    </row>
    <row r="381" spans="2:16" ht="13.5" customHeight="1">
      <c r="B381" s="47">
        <v>327</v>
      </c>
      <c r="C381" s="47" t="s">
        <v>106</v>
      </c>
      <c r="D381" s="47" t="s">
        <v>177</v>
      </c>
      <c r="F381" s="47" t="s">
        <v>262</v>
      </c>
      <c r="G381" s="47">
        <v>30</v>
      </c>
      <c r="H381" s="47" t="s">
        <v>47</v>
      </c>
      <c r="L381" s="15" t="s">
        <v>182</v>
      </c>
      <c r="M381" s="15" t="s">
        <v>183</v>
      </c>
      <c r="O381" s="47" t="s">
        <v>30</v>
      </c>
      <c r="P381" s="47" t="s">
        <v>46</v>
      </c>
    </row>
    <row r="382" spans="2:16" ht="13.5" customHeight="1">
      <c r="B382" s="47">
        <v>328</v>
      </c>
      <c r="C382" s="47" t="s">
        <v>106</v>
      </c>
      <c r="F382" s="47" t="s">
        <v>281</v>
      </c>
      <c r="G382" s="47">
        <v>1</v>
      </c>
      <c r="H382" s="47" t="s">
        <v>530</v>
      </c>
      <c r="L382" s="47" t="s">
        <v>1276</v>
      </c>
      <c r="M382" s="47" t="s">
        <v>1279</v>
      </c>
    </row>
    <row r="383" spans="2:16" ht="13.5" customHeight="1">
      <c r="B383" s="47">
        <v>328</v>
      </c>
      <c r="C383" s="47" t="s">
        <v>106</v>
      </c>
      <c r="F383" s="47" t="s">
        <v>281</v>
      </c>
      <c r="G383" s="47">
        <v>1</v>
      </c>
      <c r="H383" s="47" t="s">
        <v>530</v>
      </c>
      <c r="L383" s="47" t="s">
        <v>1277</v>
      </c>
      <c r="M383" s="47" t="s">
        <v>1280</v>
      </c>
    </row>
    <row r="384" spans="2:16" ht="13.5" customHeight="1">
      <c r="B384" s="47">
        <v>328</v>
      </c>
      <c r="C384" s="47" t="s">
        <v>106</v>
      </c>
      <c r="F384" s="47" t="s">
        <v>281</v>
      </c>
      <c r="G384" s="47">
        <v>1</v>
      </c>
      <c r="H384" s="47" t="s">
        <v>530</v>
      </c>
      <c r="L384" s="47" t="s">
        <v>314</v>
      </c>
      <c r="M384" s="47" t="s">
        <v>1279</v>
      </c>
    </row>
    <row r="385" spans="2:16" ht="13.5" customHeight="1">
      <c r="B385" s="47">
        <v>328</v>
      </c>
      <c r="C385" s="47" t="s">
        <v>106</v>
      </c>
      <c r="D385" s="47" t="s">
        <v>177</v>
      </c>
      <c r="F385" s="47" t="s">
        <v>281</v>
      </c>
      <c r="G385" s="47">
        <v>1</v>
      </c>
      <c r="H385" s="47" t="s">
        <v>62</v>
      </c>
      <c r="L385" s="15" t="s">
        <v>246</v>
      </c>
      <c r="M385" s="15" t="s">
        <v>243</v>
      </c>
      <c r="O385" s="47" t="s">
        <v>30</v>
      </c>
      <c r="P385" s="47" t="s">
        <v>46</v>
      </c>
    </row>
    <row r="386" spans="2:16" ht="13.5" customHeight="1">
      <c r="B386" s="47">
        <v>329</v>
      </c>
      <c r="C386" s="47" t="s">
        <v>106</v>
      </c>
      <c r="F386" s="47" t="s">
        <v>1226</v>
      </c>
      <c r="G386" s="47">
        <v>1</v>
      </c>
      <c r="H386" s="47" t="s">
        <v>530</v>
      </c>
      <c r="L386" s="47" t="s">
        <v>1276</v>
      </c>
      <c r="M386" s="47" t="s">
        <v>1279</v>
      </c>
    </row>
    <row r="387" spans="2:16" ht="13.5" customHeight="1">
      <c r="B387" s="47">
        <v>329</v>
      </c>
      <c r="C387" s="47" t="s">
        <v>106</v>
      </c>
      <c r="F387" s="47" t="s">
        <v>1226</v>
      </c>
      <c r="G387" s="47">
        <v>1</v>
      </c>
      <c r="H387" s="47" t="s">
        <v>530</v>
      </c>
      <c r="L387" s="47" t="s">
        <v>1277</v>
      </c>
      <c r="M387" s="47" t="s">
        <v>1280</v>
      </c>
    </row>
    <row r="388" spans="2:16" ht="13.5" customHeight="1">
      <c r="B388" s="47">
        <v>329</v>
      </c>
      <c r="C388" s="47" t="s">
        <v>106</v>
      </c>
      <c r="F388" s="47" t="s">
        <v>1226</v>
      </c>
      <c r="G388" s="47">
        <v>1</v>
      </c>
      <c r="H388" s="47" t="s">
        <v>530</v>
      </c>
      <c r="L388" s="47" t="s">
        <v>314</v>
      </c>
      <c r="M388" s="47" t="s">
        <v>1279</v>
      </c>
    </row>
    <row r="389" spans="2:16" ht="13.5" customHeight="1">
      <c r="B389" s="47">
        <v>329</v>
      </c>
      <c r="C389" s="47" t="s">
        <v>106</v>
      </c>
      <c r="D389" s="47" t="s">
        <v>177</v>
      </c>
      <c r="F389" s="47" t="s">
        <v>245</v>
      </c>
      <c r="G389" s="47">
        <v>1</v>
      </c>
      <c r="H389" s="47" t="s">
        <v>62</v>
      </c>
      <c r="I389" s="47" t="s">
        <v>30</v>
      </c>
      <c r="L389" s="15" t="s">
        <v>246</v>
      </c>
      <c r="M389" s="15" t="s">
        <v>243</v>
      </c>
      <c r="O389" s="47" t="s">
        <v>30</v>
      </c>
      <c r="P389" s="47" t="s">
        <v>46</v>
      </c>
    </row>
    <row r="390" spans="2:16" ht="13.5" customHeight="1">
      <c r="B390" s="47">
        <v>330</v>
      </c>
      <c r="C390" s="47" t="s">
        <v>106</v>
      </c>
      <c r="F390" s="47" t="s">
        <v>1226</v>
      </c>
      <c r="G390" s="47">
        <v>1</v>
      </c>
      <c r="H390" s="47" t="s">
        <v>530</v>
      </c>
      <c r="L390" s="47" t="s">
        <v>1276</v>
      </c>
      <c r="M390" s="47" t="s">
        <v>1279</v>
      </c>
    </row>
    <row r="391" spans="2:16" ht="13.5" customHeight="1">
      <c r="B391" s="47">
        <v>330</v>
      </c>
      <c r="C391" s="47" t="s">
        <v>106</v>
      </c>
      <c r="F391" s="47" t="s">
        <v>1226</v>
      </c>
      <c r="G391" s="47">
        <v>1</v>
      </c>
      <c r="H391" s="47" t="s">
        <v>530</v>
      </c>
      <c r="L391" s="47" t="s">
        <v>1277</v>
      </c>
      <c r="M391" s="47" t="s">
        <v>1280</v>
      </c>
    </row>
    <row r="392" spans="2:16" ht="13.5" customHeight="1">
      <c r="B392" s="47">
        <v>330</v>
      </c>
      <c r="C392" s="47" t="s">
        <v>106</v>
      </c>
      <c r="F392" s="47" t="s">
        <v>1226</v>
      </c>
      <c r="G392" s="47">
        <v>1</v>
      </c>
      <c r="H392" s="47" t="s">
        <v>530</v>
      </c>
      <c r="L392" s="47" t="s">
        <v>314</v>
      </c>
      <c r="M392" s="47" t="s">
        <v>1279</v>
      </c>
    </row>
    <row r="393" spans="2:16" ht="13.5" customHeight="1">
      <c r="B393" s="47">
        <v>330</v>
      </c>
      <c r="C393" s="47" t="s">
        <v>106</v>
      </c>
      <c r="D393" s="47" t="s">
        <v>177</v>
      </c>
      <c r="F393" s="47" t="s">
        <v>245</v>
      </c>
      <c r="G393" s="47">
        <v>1</v>
      </c>
      <c r="H393" s="47" t="s">
        <v>62</v>
      </c>
      <c r="I393" s="47" t="s">
        <v>30</v>
      </c>
      <c r="L393" s="15" t="s">
        <v>246</v>
      </c>
      <c r="M393" s="15" t="s">
        <v>282</v>
      </c>
      <c r="O393" s="47" t="s">
        <v>30</v>
      </c>
      <c r="P393" s="47" t="s">
        <v>46</v>
      </c>
    </row>
    <row r="394" spans="2:16" ht="13.5" customHeight="1">
      <c r="B394" s="47">
        <v>331</v>
      </c>
      <c r="C394" s="47" t="s">
        <v>106</v>
      </c>
      <c r="F394" s="47" t="s">
        <v>1226</v>
      </c>
      <c r="G394" s="47">
        <v>1</v>
      </c>
      <c r="H394" s="47" t="s">
        <v>530</v>
      </c>
      <c r="L394" s="47" t="s">
        <v>1278</v>
      </c>
      <c r="M394" s="47" t="s">
        <v>1283</v>
      </c>
      <c r="N394" s="47" t="s">
        <v>1287</v>
      </c>
    </row>
    <row r="395" spans="2:16" ht="13.5" customHeight="1">
      <c r="B395" s="47">
        <v>331</v>
      </c>
      <c r="C395" s="47" t="s">
        <v>106</v>
      </c>
      <c r="D395" s="47" t="s">
        <v>177</v>
      </c>
      <c r="F395" s="47" t="s">
        <v>245</v>
      </c>
      <c r="G395" s="47">
        <v>1</v>
      </c>
      <c r="H395" s="47" t="s">
        <v>62</v>
      </c>
      <c r="I395" s="47" t="s">
        <v>30</v>
      </c>
      <c r="L395" s="15" t="s">
        <v>182</v>
      </c>
      <c r="M395" s="15" t="s">
        <v>283</v>
      </c>
      <c r="O395" s="47" t="s">
        <v>30</v>
      </c>
      <c r="P395" s="47" t="s">
        <v>46</v>
      </c>
    </row>
    <row r="396" spans="2:16" ht="13.5" customHeight="1">
      <c r="B396" s="47">
        <v>332</v>
      </c>
      <c r="C396" s="47" t="s">
        <v>106</v>
      </c>
      <c r="F396" s="47" t="s">
        <v>258</v>
      </c>
      <c r="G396" s="47">
        <v>1</v>
      </c>
      <c r="H396" s="47" t="s">
        <v>530</v>
      </c>
      <c r="L396" s="47" t="s">
        <v>1276</v>
      </c>
      <c r="M396" s="47" t="s">
        <v>1279</v>
      </c>
    </row>
    <row r="397" spans="2:16" ht="13.5" customHeight="1">
      <c r="B397" s="47">
        <v>332</v>
      </c>
      <c r="C397" s="47" t="s">
        <v>106</v>
      </c>
      <c r="F397" s="47" t="s">
        <v>258</v>
      </c>
      <c r="G397" s="47">
        <v>1</v>
      </c>
      <c r="H397" s="47" t="s">
        <v>530</v>
      </c>
      <c r="L397" s="47" t="s">
        <v>314</v>
      </c>
      <c r="M397" s="47" t="s">
        <v>1279</v>
      </c>
    </row>
    <row r="398" spans="2:16" ht="13.5" customHeight="1">
      <c r="B398" s="47">
        <v>333</v>
      </c>
      <c r="C398" s="47" t="s">
        <v>106</v>
      </c>
      <c r="F398" s="47" t="s">
        <v>258</v>
      </c>
      <c r="G398" s="47">
        <v>1</v>
      </c>
      <c r="H398" s="47" t="s">
        <v>530</v>
      </c>
      <c r="L398" s="47" t="s">
        <v>1276</v>
      </c>
      <c r="M398" s="47" t="s">
        <v>1279</v>
      </c>
    </row>
    <row r="399" spans="2:16" ht="13.5" customHeight="1">
      <c r="B399" s="47">
        <v>333</v>
      </c>
      <c r="C399" s="47" t="s">
        <v>106</v>
      </c>
      <c r="F399" s="47" t="s">
        <v>258</v>
      </c>
      <c r="G399" s="47">
        <v>1</v>
      </c>
      <c r="H399" s="47" t="s">
        <v>530</v>
      </c>
      <c r="L399" s="47" t="s">
        <v>314</v>
      </c>
      <c r="M399" s="47" t="s">
        <v>1279</v>
      </c>
    </row>
    <row r="400" spans="2:16" ht="13.5" customHeight="1">
      <c r="B400" s="47">
        <v>334</v>
      </c>
      <c r="C400" s="47" t="s">
        <v>106</v>
      </c>
      <c r="F400" s="47" t="s">
        <v>1234</v>
      </c>
      <c r="G400" s="47">
        <v>1</v>
      </c>
      <c r="H400" s="47" t="s">
        <v>530</v>
      </c>
      <c r="L400" s="47" t="s">
        <v>1276</v>
      </c>
      <c r="M400" s="47" t="s">
        <v>1279</v>
      </c>
    </row>
    <row r="401" spans="2:16" ht="13.5" customHeight="1">
      <c r="B401" s="47">
        <v>334</v>
      </c>
      <c r="C401" s="47" t="s">
        <v>106</v>
      </c>
      <c r="F401" s="47" t="s">
        <v>1234</v>
      </c>
      <c r="G401" s="47">
        <v>1</v>
      </c>
      <c r="H401" s="47" t="s">
        <v>530</v>
      </c>
      <c r="L401" s="47" t="s">
        <v>1277</v>
      </c>
      <c r="M401" s="47" t="s">
        <v>1280</v>
      </c>
    </row>
    <row r="402" spans="2:16" ht="13.5" customHeight="1">
      <c r="B402" s="47">
        <v>334</v>
      </c>
      <c r="C402" s="47" t="s">
        <v>106</v>
      </c>
      <c r="F402" s="47" t="s">
        <v>1234</v>
      </c>
      <c r="G402" s="47">
        <v>1</v>
      </c>
      <c r="H402" s="47" t="s">
        <v>530</v>
      </c>
      <c r="L402" s="47" t="s">
        <v>314</v>
      </c>
      <c r="M402" s="47" t="s">
        <v>1279</v>
      </c>
    </row>
    <row r="403" spans="2:16" ht="13.5" customHeight="1">
      <c r="B403" s="47">
        <v>334</v>
      </c>
      <c r="C403" s="47" t="s">
        <v>106</v>
      </c>
      <c r="D403" s="47" t="s">
        <v>177</v>
      </c>
      <c r="F403" s="47" t="s">
        <v>284</v>
      </c>
      <c r="G403" s="47">
        <v>1</v>
      </c>
      <c r="H403" s="47" t="s">
        <v>62</v>
      </c>
      <c r="I403" s="47" t="s">
        <v>30</v>
      </c>
      <c r="L403" s="15" t="s">
        <v>246</v>
      </c>
      <c r="M403" s="15" t="s">
        <v>243</v>
      </c>
      <c r="O403" s="47" t="s">
        <v>30</v>
      </c>
      <c r="P403" s="47" t="s">
        <v>46</v>
      </c>
    </row>
    <row r="404" spans="2:16" ht="13.5" customHeight="1">
      <c r="B404" s="47">
        <v>335</v>
      </c>
      <c r="C404" s="47" t="s">
        <v>106</v>
      </c>
      <c r="F404" s="47" t="s">
        <v>1234</v>
      </c>
      <c r="G404" s="47">
        <v>1</v>
      </c>
      <c r="H404" s="47" t="s">
        <v>530</v>
      </c>
      <c r="L404" s="47" t="s">
        <v>1276</v>
      </c>
      <c r="M404" s="47" t="s">
        <v>1279</v>
      </c>
    </row>
    <row r="405" spans="2:16" ht="13.5" customHeight="1">
      <c r="B405" s="47">
        <v>335</v>
      </c>
      <c r="C405" s="47" t="s">
        <v>106</v>
      </c>
      <c r="F405" s="47" t="s">
        <v>1234</v>
      </c>
      <c r="G405" s="47">
        <v>1</v>
      </c>
      <c r="H405" s="47" t="s">
        <v>530</v>
      </c>
      <c r="L405" s="47" t="s">
        <v>1277</v>
      </c>
      <c r="M405" s="47" t="s">
        <v>1280</v>
      </c>
    </row>
    <row r="406" spans="2:16" ht="13.5" customHeight="1">
      <c r="B406" s="47">
        <v>335</v>
      </c>
      <c r="C406" s="47" t="s">
        <v>106</v>
      </c>
      <c r="F406" s="47" t="s">
        <v>1234</v>
      </c>
      <c r="G406" s="47">
        <v>1</v>
      </c>
      <c r="H406" s="47" t="s">
        <v>530</v>
      </c>
      <c r="L406" s="47" t="s">
        <v>314</v>
      </c>
      <c r="M406" s="47" t="s">
        <v>1279</v>
      </c>
    </row>
    <row r="407" spans="2:16" ht="13.5" customHeight="1">
      <c r="B407" s="47">
        <v>335</v>
      </c>
      <c r="C407" s="47" t="s">
        <v>106</v>
      </c>
      <c r="D407" s="47" t="s">
        <v>177</v>
      </c>
      <c r="F407" s="47" t="s">
        <v>284</v>
      </c>
      <c r="G407" s="47">
        <v>1</v>
      </c>
      <c r="H407" s="47" t="s">
        <v>62</v>
      </c>
      <c r="I407" s="47" t="s">
        <v>30</v>
      </c>
      <c r="L407" s="15" t="s">
        <v>246</v>
      </c>
      <c r="M407" s="15" t="s">
        <v>243</v>
      </c>
      <c r="O407" s="47" t="s">
        <v>30</v>
      </c>
      <c r="P407" s="47" t="s">
        <v>46</v>
      </c>
    </row>
    <row r="408" spans="2:16" ht="13.5" customHeight="1">
      <c r="B408" s="47">
        <v>336</v>
      </c>
      <c r="C408" s="47" t="s">
        <v>106</v>
      </c>
      <c r="F408" s="47" t="s">
        <v>1234</v>
      </c>
      <c r="G408" s="47">
        <v>1</v>
      </c>
      <c r="H408" s="47" t="s">
        <v>530</v>
      </c>
      <c r="L408" s="47" t="s">
        <v>1278</v>
      </c>
      <c r="M408" s="47" t="s">
        <v>251</v>
      </c>
      <c r="N408" s="47" t="s">
        <v>1288</v>
      </c>
    </row>
    <row r="409" spans="2:16" ht="13.5" customHeight="1">
      <c r="B409" s="47">
        <v>336</v>
      </c>
      <c r="C409" s="47" t="s">
        <v>106</v>
      </c>
      <c r="D409" s="47" t="s">
        <v>177</v>
      </c>
      <c r="F409" s="47" t="s">
        <v>284</v>
      </c>
      <c r="G409" s="47">
        <v>1</v>
      </c>
      <c r="H409" s="47" t="s">
        <v>62</v>
      </c>
      <c r="I409" s="47" t="s">
        <v>30</v>
      </c>
      <c r="L409" s="15" t="s">
        <v>233</v>
      </c>
      <c r="M409" s="15" t="s">
        <v>251</v>
      </c>
      <c r="O409" s="47" t="s">
        <v>30</v>
      </c>
      <c r="P409" s="47" t="s">
        <v>46</v>
      </c>
    </row>
    <row r="410" spans="2:16" ht="13.5" customHeight="1">
      <c r="B410" s="47">
        <v>337</v>
      </c>
      <c r="C410" s="47" t="s">
        <v>106</v>
      </c>
      <c r="F410" s="47" t="s">
        <v>185</v>
      </c>
      <c r="G410" s="47">
        <v>1</v>
      </c>
      <c r="H410" s="47" t="s">
        <v>1274</v>
      </c>
      <c r="L410" s="47" t="s">
        <v>1276</v>
      </c>
      <c r="M410" s="47" t="s">
        <v>1279</v>
      </c>
    </row>
    <row r="411" spans="2:16" ht="13.5" customHeight="1">
      <c r="B411" s="47">
        <v>337</v>
      </c>
      <c r="C411" s="47" t="s">
        <v>106</v>
      </c>
      <c r="F411" s="47" t="s">
        <v>185</v>
      </c>
      <c r="G411" s="47">
        <v>1</v>
      </c>
      <c r="H411" s="47" t="s">
        <v>1274</v>
      </c>
      <c r="L411" s="47" t="s">
        <v>1278</v>
      </c>
      <c r="M411" s="47" t="s">
        <v>1280</v>
      </c>
    </row>
    <row r="412" spans="2:16" ht="13.5" customHeight="1">
      <c r="B412" s="47">
        <v>337</v>
      </c>
      <c r="C412" s="47" t="s">
        <v>106</v>
      </c>
      <c r="F412" s="47" t="s">
        <v>185</v>
      </c>
      <c r="G412" s="47">
        <v>1</v>
      </c>
      <c r="H412" s="47" t="s">
        <v>1274</v>
      </c>
      <c r="L412" s="47" t="s">
        <v>314</v>
      </c>
      <c r="M412" s="47" t="s">
        <v>1279</v>
      </c>
    </row>
    <row r="413" spans="2:16" ht="13.5" customHeight="1">
      <c r="B413" s="47">
        <v>337</v>
      </c>
      <c r="C413" s="47" t="s">
        <v>106</v>
      </c>
      <c r="D413" s="47" t="s">
        <v>177</v>
      </c>
      <c r="F413" s="47" t="s">
        <v>185</v>
      </c>
      <c r="G413" s="47">
        <v>1</v>
      </c>
      <c r="H413" s="47" t="s">
        <v>62</v>
      </c>
      <c r="I413" s="47" t="s">
        <v>30</v>
      </c>
      <c r="L413" s="15" t="s">
        <v>246</v>
      </c>
      <c r="M413" s="15" t="s">
        <v>243</v>
      </c>
      <c r="O413" s="47" t="s">
        <v>30</v>
      </c>
      <c r="P413" s="47" t="s">
        <v>46</v>
      </c>
    </row>
    <row r="414" spans="2:16" ht="13.5" customHeight="1">
      <c r="B414" s="47">
        <v>338</v>
      </c>
      <c r="C414" s="47" t="s">
        <v>106</v>
      </c>
      <c r="F414" s="47" t="s">
        <v>185</v>
      </c>
      <c r="G414" s="47">
        <v>1</v>
      </c>
      <c r="H414" s="47" t="s">
        <v>1274</v>
      </c>
      <c r="L414" s="47" t="s">
        <v>1276</v>
      </c>
      <c r="M414" s="47" t="s">
        <v>1279</v>
      </c>
    </row>
    <row r="415" spans="2:16" ht="13.5" customHeight="1">
      <c r="B415" s="47">
        <v>338</v>
      </c>
      <c r="C415" s="47" t="s">
        <v>106</v>
      </c>
      <c r="F415" s="47" t="s">
        <v>185</v>
      </c>
      <c r="G415" s="47">
        <v>1</v>
      </c>
      <c r="H415" s="47" t="s">
        <v>1274</v>
      </c>
      <c r="L415" s="47" t="s">
        <v>1278</v>
      </c>
      <c r="M415" s="47" t="s">
        <v>1280</v>
      </c>
    </row>
    <row r="416" spans="2:16" ht="13.5" customHeight="1">
      <c r="B416" s="47">
        <v>338</v>
      </c>
      <c r="C416" s="47" t="s">
        <v>106</v>
      </c>
      <c r="F416" s="47" t="s">
        <v>185</v>
      </c>
      <c r="G416" s="47">
        <v>1</v>
      </c>
      <c r="H416" s="47" t="s">
        <v>1274</v>
      </c>
      <c r="L416" s="47" t="s">
        <v>314</v>
      </c>
      <c r="M416" s="47" t="s">
        <v>1279</v>
      </c>
    </row>
    <row r="417" spans="2:16" ht="13.5" customHeight="1">
      <c r="B417" s="47">
        <v>338</v>
      </c>
      <c r="C417" s="47" t="s">
        <v>106</v>
      </c>
      <c r="D417" s="47" t="s">
        <v>177</v>
      </c>
      <c r="F417" s="47" t="s">
        <v>185</v>
      </c>
      <c r="G417" s="47">
        <v>1</v>
      </c>
      <c r="H417" s="47" t="s">
        <v>62</v>
      </c>
      <c r="I417" s="47" t="s">
        <v>30</v>
      </c>
      <c r="L417" s="15" t="s">
        <v>246</v>
      </c>
      <c r="M417" s="15" t="s">
        <v>243</v>
      </c>
      <c r="O417" s="47" t="s">
        <v>30</v>
      </c>
      <c r="P417" s="47" t="s">
        <v>46</v>
      </c>
    </row>
    <row r="418" spans="2:16" ht="13.5" customHeight="1">
      <c r="B418" s="47">
        <v>339</v>
      </c>
      <c r="C418" s="47" t="s">
        <v>106</v>
      </c>
      <c r="F418" s="47" t="s">
        <v>185</v>
      </c>
      <c r="G418" s="47">
        <v>1</v>
      </c>
      <c r="H418" s="47" t="s">
        <v>1274</v>
      </c>
      <c r="L418" s="47" t="s">
        <v>1276</v>
      </c>
      <c r="M418" s="47" t="s">
        <v>1279</v>
      </c>
    </row>
    <row r="419" spans="2:16" ht="13.5" customHeight="1">
      <c r="B419" s="47">
        <v>339</v>
      </c>
      <c r="C419" s="47" t="s">
        <v>106</v>
      </c>
      <c r="F419" s="47" t="s">
        <v>185</v>
      </c>
      <c r="G419" s="47">
        <v>1</v>
      </c>
      <c r="H419" s="47" t="s">
        <v>1274</v>
      </c>
      <c r="L419" s="47" t="s">
        <v>1278</v>
      </c>
      <c r="M419" s="47" t="s">
        <v>1280</v>
      </c>
    </row>
    <row r="420" spans="2:16" ht="13.5" customHeight="1">
      <c r="B420" s="47">
        <v>339</v>
      </c>
      <c r="C420" s="47" t="s">
        <v>106</v>
      </c>
      <c r="F420" s="47" t="s">
        <v>185</v>
      </c>
      <c r="G420" s="47">
        <v>1</v>
      </c>
      <c r="H420" s="47" t="s">
        <v>1274</v>
      </c>
      <c r="L420" s="47" t="s">
        <v>314</v>
      </c>
      <c r="M420" s="47" t="s">
        <v>1279</v>
      </c>
    </row>
    <row r="421" spans="2:16" ht="13.5" customHeight="1">
      <c r="B421" s="47">
        <v>339</v>
      </c>
      <c r="C421" s="47" t="s">
        <v>106</v>
      </c>
      <c r="D421" s="47" t="s">
        <v>177</v>
      </c>
      <c r="F421" s="47" t="s">
        <v>185</v>
      </c>
      <c r="G421" s="47">
        <v>1</v>
      </c>
      <c r="H421" s="47" t="s">
        <v>62</v>
      </c>
      <c r="I421" s="47" t="s">
        <v>30</v>
      </c>
      <c r="L421" s="15" t="s">
        <v>246</v>
      </c>
      <c r="M421" s="15" t="s">
        <v>243</v>
      </c>
      <c r="O421" s="47" t="s">
        <v>30</v>
      </c>
      <c r="P421" s="47" t="s">
        <v>46</v>
      </c>
    </row>
    <row r="422" spans="2:16" ht="13.5" customHeight="1">
      <c r="B422" s="47">
        <v>340</v>
      </c>
      <c r="C422" s="47" t="s">
        <v>106</v>
      </c>
      <c r="F422" s="47" t="s">
        <v>185</v>
      </c>
      <c r="G422" s="47">
        <v>1</v>
      </c>
      <c r="H422" s="47" t="s">
        <v>1274</v>
      </c>
      <c r="L422" s="47" t="s">
        <v>1276</v>
      </c>
      <c r="M422" s="47" t="s">
        <v>1279</v>
      </c>
    </row>
    <row r="423" spans="2:16" ht="13.5" customHeight="1">
      <c r="B423" s="47">
        <v>340</v>
      </c>
      <c r="C423" s="47" t="s">
        <v>106</v>
      </c>
      <c r="F423" s="47" t="s">
        <v>185</v>
      </c>
      <c r="G423" s="47">
        <v>1</v>
      </c>
      <c r="H423" s="47" t="s">
        <v>1274</v>
      </c>
      <c r="L423" s="47" t="s">
        <v>1278</v>
      </c>
      <c r="M423" s="47" t="s">
        <v>1280</v>
      </c>
    </row>
    <row r="424" spans="2:16" ht="13.5" customHeight="1">
      <c r="B424" s="47">
        <v>340</v>
      </c>
      <c r="C424" s="47" t="s">
        <v>106</v>
      </c>
      <c r="F424" s="47" t="s">
        <v>185</v>
      </c>
      <c r="G424" s="47">
        <v>1</v>
      </c>
      <c r="H424" s="47" t="s">
        <v>1274</v>
      </c>
      <c r="L424" s="47" t="s">
        <v>314</v>
      </c>
      <c r="M424" s="47" t="s">
        <v>1279</v>
      </c>
    </row>
    <row r="425" spans="2:16" ht="13.5" customHeight="1">
      <c r="B425" s="47">
        <v>340</v>
      </c>
      <c r="C425" s="47" t="s">
        <v>106</v>
      </c>
      <c r="D425" s="47" t="s">
        <v>177</v>
      </c>
      <c r="F425" s="47" t="s">
        <v>185</v>
      </c>
      <c r="G425" s="47">
        <v>1</v>
      </c>
      <c r="H425" s="47" t="s">
        <v>62</v>
      </c>
      <c r="I425" s="47" t="s">
        <v>30</v>
      </c>
      <c r="L425" s="15" t="s">
        <v>246</v>
      </c>
      <c r="M425" s="15" t="s">
        <v>243</v>
      </c>
      <c r="O425" s="47" t="s">
        <v>30</v>
      </c>
      <c r="P425" s="47" t="s">
        <v>46</v>
      </c>
    </row>
    <row r="426" spans="2:16" ht="13.5" customHeight="1">
      <c r="B426" s="47">
        <v>341</v>
      </c>
      <c r="C426" s="47" t="s">
        <v>106</v>
      </c>
      <c r="F426" s="47" t="s">
        <v>185</v>
      </c>
      <c r="G426" s="47">
        <v>1</v>
      </c>
      <c r="H426" s="47" t="s">
        <v>1274</v>
      </c>
      <c r="L426" s="47" t="s">
        <v>1276</v>
      </c>
      <c r="M426" s="47" t="s">
        <v>1279</v>
      </c>
    </row>
    <row r="427" spans="2:16" ht="13.5" customHeight="1">
      <c r="B427" s="47">
        <v>341</v>
      </c>
      <c r="C427" s="47" t="s">
        <v>106</v>
      </c>
      <c r="F427" s="47" t="s">
        <v>185</v>
      </c>
      <c r="G427" s="47">
        <v>1</v>
      </c>
      <c r="H427" s="47" t="s">
        <v>1274</v>
      </c>
      <c r="L427" s="47" t="s">
        <v>1278</v>
      </c>
      <c r="M427" s="47" t="s">
        <v>1280</v>
      </c>
    </row>
    <row r="428" spans="2:16" ht="13.5" customHeight="1">
      <c r="B428" s="47">
        <v>341</v>
      </c>
      <c r="C428" s="47" t="s">
        <v>106</v>
      </c>
      <c r="F428" s="47" t="s">
        <v>185</v>
      </c>
      <c r="G428" s="47">
        <v>1</v>
      </c>
      <c r="H428" s="47" t="s">
        <v>1274</v>
      </c>
      <c r="L428" s="47" t="s">
        <v>314</v>
      </c>
      <c r="M428" s="47" t="s">
        <v>1279</v>
      </c>
    </row>
    <row r="429" spans="2:16" ht="13.5" customHeight="1">
      <c r="B429" s="47">
        <v>341</v>
      </c>
      <c r="C429" s="47" t="s">
        <v>106</v>
      </c>
      <c r="D429" s="47" t="s">
        <v>177</v>
      </c>
      <c r="F429" s="47" t="s">
        <v>185</v>
      </c>
      <c r="G429" s="47">
        <v>1</v>
      </c>
      <c r="H429" s="47" t="s">
        <v>62</v>
      </c>
      <c r="I429" s="47" t="s">
        <v>30</v>
      </c>
      <c r="L429" s="15" t="s">
        <v>246</v>
      </c>
      <c r="M429" s="15" t="s">
        <v>243</v>
      </c>
      <c r="O429" s="47" t="s">
        <v>30</v>
      </c>
      <c r="P429" s="47" t="s">
        <v>46</v>
      </c>
    </row>
    <row r="430" spans="2:16" ht="13.5" customHeight="1">
      <c r="B430" s="47">
        <v>342</v>
      </c>
      <c r="C430" s="47" t="s">
        <v>106</v>
      </c>
      <c r="F430" s="47" t="s">
        <v>185</v>
      </c>
      <c r="G430" s="47">
        <v>1</v>
      </c>
      <c r="H430" s="47" t="s">
        <v>1274</v>
      </c>
      <c r="L430" s="47" t="s">
        <v>1276</v>
      </c>
      <c r="M430" s="47" t="s">
        <v>1279</v>
      </c>
    </row>
    <row r="431" spans="2:16" ht="13.5" customHeight="1">
      <c r="B431" s="47">
        <v>342</v>
      </c>
      <c r="C431" s="47" t="s">
        <v>106</v>
      </c>
      <c r="F431" s="47" t="s">
        <v>185</v>
      </c>
      <c r="G431" s="47">
        <v>1</v>
      </c>
      <c r="H431" s="47" t="s">
        <v>1274</v>
      </c>
      <c r="L431" s="47" t="s">
        <v>1278</v>
      </c>
      <c r="M431" s="47" t="s">
        <v>1280</v>
      </c>
    </row>
    <row r="432" spans="2:16" ht="13.5" customHeight="1">
      <c r="B432" s="47">
        <v>342</v>
      </c>
      <c r="C432" s="47" t="s">
        <v>106</v>
      </c>
      <c r="F432" s="47" t="s">
        <v>185</v>
      </c>
      <c r="G432" s="47">
        <v>1</v>
      </c>
      <c r="H432" s="47" t="s">
        <v>1274</v>
      </c>
      <c r="L432" s="47" t="s">
        <v>314</v>
      </c>
      <c r="M432" s="47" t="s">
        <v>1279</v>
      </c>
    </row>
    <row r="433" spans="2:16" ht="13.5" customHeight="1">
      <c r="B433" s="47">
        <v>342</v>
      </c>
      <c r="C433" s="47" t="s">
        <v>106</v>
      </c>
      <c r="D433" s="47" t="s">
        <v>177</v>
      </c>
      <c r="F433" s="47" t="s">
        <v>185</v>
      </c>
      <c r="G433" s="47">
        <v>1</v>
      </c>
      <c r="H433" s="47" t="s">
        <v>62</v>
      </c>
      <c r="I433" s="47" t="s">
        <v>30</v>
      </c>
      <c r="L433" s="15" t="s">
        <v>246</v>
      </c>
      <c r="M433" s="15" t="s">
        <v>243</v>
      </c>
      <c r="O433" s="47" t="s">
        <v>30</v>
      </c>
      <c r="P433" s="47" t="s">
        <v>46</v>
      </c>
    </row>
    <row r="434" spans="2:16" ht="13.5" customHeight="1">
      <c r="B434" s="47">
        <v>343</v>
      </c>
      <c r="C434" s="47" t="s">
        <v>106</v>
      </c>
      <c r="F434" s="47" t="s">
        <v>185</v>
      </c>
      <c r="G434" s="47">
        <v>1</v>
      </c>
      <c r="H434" s="47" t="s">
        <v>1274</v>
      </c>
      <c r="L434" s="47" t="s">
        <v>1276</v>
      </c>
      <c r="M434" s="47" t="s">
        <v>1279</v>
      </c>
    </row>
    <row r="435" spans="2:16" ht="13.5" customHeight="1">
      <c r="B435" s="47">
        <v>343</v>
      </c>
      <c r="C435" s="47" t="s">
        <v>106</v>
      </c>
      <c r="F435" s="47" t="s">
        <v>185</v>
      </c>
      <c r="G435" s="47">
        <v>1</v>
      </c>
      <c r="H435" s="47" t="s">
        <v>1274</v>
      </c>
      <c r="L435" s="47" t="s">
        <v>1278</v>
      </c>
      <c r="M435" s="47" t="s">
        <v>1280</v>
      </c>
    </row>
    <row r="436" spans="2:16" ht="13.5" customHeight="1">
      <c r="B436" s="47">
        <v>343</v>
      </c>
      <c r="C436" s="47" t="s">
        <v>106</v>
      </c>
      <c r="F436" s="47" t="s">
        <v>185</v>
      </c>
      <c r="G436" s="47">
        <v>1</v>
      </c>
      <c r="H436" s="47" t="s">
        <v>1274</v>
      </c>
      <c r="L436" s="47" t="s">
        <v>314</v>
      </c>
      <c r="M436" s="47" t="s">
        <v>1279</v>
      </c>
    </row>
    <row r="437" spans="2:16" ht="13.5" customHeight="1">
      <c r="B437" s="47">
        <v>343</v>
      </c>
      <c r="C437" s="47" t="s">
        <v>106</v>
      </c>
      <c r="D437" s="47" t="s">
        <v>177</v>
      </c>
      <c r="F437" s="47" t="s">
        <v>185</v>
      </c>
      <c r="G437" s="47">
        <v>1</v>
      </c>
      <c r="H437" s="47" t="s">
        <v>62</v>
      </c>
      <c r="I437" s="47" t="s">
        <v>30</v>
      </c>
      <c r="L437" s="15" t="s">
        <v>246</v>
      </c>
      <c r="M437" s="15" t="s">
        <v>243</v>
      </c>
      <c r="O437" s="47" t="s">
        <v>30</v>
      </c>
      <c r="P437" s="47" t="s">
        <v>46</v>
      </c>
    </row>
    <row r="438" spans="2:16" ht="13.5" customHeight="1">
      <c r="B438" s="47">
        <v>344</v>
      </c>
      <c r="C438" s="47" t="s">
        <v>106</v>
      </c>
      <c r="F438" s="47" t="s">
        <v>1234</v>
      </c>
      <c r="G438" s="47">
        <v>1</v>
      </c>
      <c r="H438" s="47" t="s">
        <v>530</v>
      </c>
      <c r="L438" s="47" t="s">
        <v>1276</v>
      </c>
      <c r="M438" s="47" t="s">
        <v>1279</v>
      </c>
    </row>
    <row r="439" spans="2:16" ht="13.5" customHeight="1">
      <c r="B439" s="47">
        <v>344</v>
      </c>
      <c r="C439" s="47" t="s">
        <v>106</v>
      </c>
      <c r="F439" s="47" t="s">
        <v>1234</v>
      </c>
      <c r="G439" s="47">
        <v>1</v>
      </c>
      <c r="H439" s="47" t="s">
        <v>530</v>
      </c>
      <c r="L439" s="47" t="s">
        <v>1277</v>
      </c>
      <c r="M439" s="47" t="s">
        <v>1280</v>
      </c>
    </row>
    <row r="440" spans="2:16" ht="13.5" customHeight="1">
      <c r="B440" s="47">
        <v>344</v>
      </c>
      <c r="C440" s="47" t="s">
        <v>106</v>
      </c>
      <c r="F440" s="47" t="s">
        <v>1234</v>
      </c>
      <c r="G440" s="47">
        <v>1</v>
      </c>
      <c r="H440" s="47" t="s">
        <v>530</v>
      </c>
      <c r="L440" s="47" t="s">
        <v>314</v>
      </c>
      <c r="M440" s="47" t="s">
        <v>1279</v>
      </c>
    </row>
    <row r="441" spans="2:16" ht="13.5" customHeight="1">
      <c r="B441" s="47">
        <v>344</v>
      </c>
      <c r="C441" s="47" t="s">
        <v>106</v>
      </c>
      <c r="D441" s="47" t="s">
        <v>177</v>
      </c>
      <c r="F441" s="47" t="s">
        <v>284</v>
      </c>
      <c r="G441" s="47">
        <v>1</v>
      </c>
      <c r="H441" s="47" t="s">
        <v>62</v>
      </c>
      <c r="I441" s="47" t="s">
        <v>30</v>
      </c>
      <c r="L441" s="15" t="s">
        <v>246</v>
      </c>
      <c r="M441" s="15" t="s">
        <v>243</v>
      </c>
      <c r="O441" s="47" t="s">
        <v>30</v>
      </c>
      <c r="P441" s="47" t="s">
        <v>46</v>
      </c>
    </row>
    <row r="442" spans="2:16" ht="13.5" customHeight="1">
      <c r="B442" s="47">
        <v>345</v>
      </c>
      <c r="C442" s="47" t="s">
        <v>106</v>
      </c>
      <c r="F442" s="47" t="s">
        <v>1234</v>
      </c>
      <c r="G442" s="47">
        <v>1</v>
      </c>
      <c r="H442" s="47" t="s">
        <v>530</v>
      </c>
      <c r="L442" s="47" t="s">
        <v>1276</v>
      </c>
      <c r="M442" s="47" t="s">
        <v>1279</v>
      </c>
    </row>
    <row r="443" spans="2:16" ht="13.5" customHeight="1">
      <c r="B443" s="47">
        <v>345</v>
      </c>
      <c r="C443" s="47" t="s">
        <v>106</v>
      </c>
      <c r="F443" s="47" t="s">
        <v>1234</v>
      </c>
      <c r="G443" s="47">
        <v>1</v>
      </c>
      <c r="H443" s="47" t="s">
        <v>530</v>
      </c>
      <c r="L443" s="47" t="s">
        <v>1277</v>
      </c>
      <c r="M443" s="47" t="s">
        <v>1280</v>
      </c>
    </row>
    <row r="444" spans="2:16" ht="13.5" customHeight="1">
      <c r="B444" s="47">
        <v>345</v>
      </c>
      <c r="C444" s="47" t="s">
        <v>106</v>
      </c>
      <c r="F444" s="47" t="s">
        <v>1234</v>
      </c>
      <c r="G444" s="47">
        <v>1</v>
      </c>
      <c r="H444" s="47" t="s">
        <v>530</v>
      </c>
      <c r="L444" s="47" t="s">
        <v>314</v>
      </c>
      <c r="M444" s="47" t="s">
        <v>1279</v>
      </c>
    </row>
    <row r="445" spans="2:16" ht="13.5" customHeight="1">
      <c r="B445" s="47">
        <v>345</v>
      </c>
      <c r="C445" s="47" t="s">
        <v>106</v>
      </c>
      <c r="D445" s="47" t="s">
        <v>177</v>
      </c>
      <c r="F445" s="47" t="s">
        <v>284</v>
      </c>
      <c r="G445" s="47">
        <v>1</v>
      </c>
      <c r="H445" s="47" t="s">
        <v>62</v>
      </c>
      <c r="I445" s="47" t="s">
        <v>30</v>
      </c>
      <c r="L445" s="15" t="s">
        <v>246</v>
      </c>
      <c r="M445" s="15" t="s">
        <v>243</v>
      </c>
      <c r="O445" s="47" t="s">
        <v>30</v>
      </c>
      <c r="P445" s="47" t="s">
        <v>46</v>
      </c>
    </row>
    <row r="446" spans="2:16" ht="13.5" customHeight="1">
      <c r="B446" s="47">
        <v>346</v>
      </c>
      <c r="C446" s="47" t="s">
        <v>106</v>
      </c>
      <c r="F446" s="47" t="s">
        <v>281</v>
      </c>
      <c r="G446" s="47">
        <v>1</v>
      </c>
      <c r="H446" s="47" t="s">
        <v>530</v>
      </c>
      <c r="L446" s="47" t="s">
        <v>1276</v>
      </c>
      <c r="M446" s="47" t="s">
        <v>1279</v>
      </c>
    </row>
    <row r="447" spans="2:16" ht="13.5" customHeight="1">
      <c r="B447" s="47">
        <v>346</v>
      </c>
      <c r="C447" s="47" t="s">
        <v>106</v>
      </c>
      <c r="F447" s="47" t="s">
        <v>281</v>
      </c>
      <c r="G447" s="47">
        <v>1</v>
      </c>
      <c r="H447" s="47" t="s">
        <v>530</v>
      </c>
      <c r="L447" s="47" t="s">
        <v>1277</v>
      </c>
      <c r="M447" s="47" t="s">
        <v>1280</v>
      </c>
    </row>
    <row r="448" spans="2:16" ht="13.5" customHeight="1">
      <c r="B448" s="47">
        <v>346</v>
      </c>
      <c r="C448" s="47" t="s">
        <v>106</v>
      </c>
      <c r="F448" s="47" t="s">
        <v>281</v>
      </c>
      <c r="G448" s="47">
        <v>1</v>
      </c>
      <c r="H448" s="47" t="s">
        <v>530</v>
      </c>
      <c r="L448" s="47" t="s">
        <v>314</v>
      </c>
      <c r="M448" s="47" t="s">
        <v>1279</v>
      </c>
    </row>
    <row r="449" spans="2:16" ht="13.5" customHeight="1">
      <c r="B449" s="47">
        <v>346</v>
      </c>
      <c r="C449" s="47" t="s">
        <v>106</v>
      </c>
      <c r="D449" s="47" t="s">
        <v>177</v>
      </c>
      <c r="F449" s="47" t="s">
        <v>281</v>
      </c>
      <c r="G449" s="47">
        <v>1</v>
      </c>
      <c r="H449" s="47" t="s">
        <v>62</v>
      </c>
      <c r="I449" s="47" t="s">
        <v>30</v>
      </c>
      <c r="L449" s="15" t="s">
        <v>246</v>
      </c>
      <c r="M449" s="15" t="s">
        <v>243</v>
      </c>
      <c r="O449" s="47" t="s">
        <v>30</v>
      </c>
      <c r="P449" s="47" t="s">
        <v>46</v>
      </c>
    </row>
    <row r="450" spans="2:16" ht="13.5" customHeight="1">
      <c r="B450" s="47">
        <v>347</v>
      </c>
      <c r="C450" s="47" t="s">
        <v>106</v>
      </c>
      <c r="F450" s="47" t="s">
        <v>1235</v>
      </c>
      <c r="G450" s="47">
        <v>1</v>
      </c>
      <c r="H450" s="47" t="s">
        <v>530</v>
      </c>
      <c r="L450" s="47" t="s">
        <v>1276</v>
      </c>
      <c r="M450" s="47" t="s">
        <v>1279</v>
      </c>
    </row>
    <row r="451" spans="2:16" ht="13.5" customHeight="1">
      <c r="B451" s="47">
        <v>347</v>
      </c>
      <c r="C451" s="47" t="s">
        <v>106</v>
      </c>
      <c r="F451" s="47" t="s">
        <v>1235</v>
      </c>
      <c r="G451" s="47">
        <v>1</v>
      </c>
      <c r="H451" s="47" t="s">
        <v>530</v>
      </c>
      <c r="L451" s="47" t="s">
        <v>314</v>
      </c>
      <c r="M451" s="47" t="s">
        <v>1279</v>
      </c>
    </row>
    <row r="452" spans="2:16" ht="13.5" customHeight="1">
      <c r="B452" s="47">
        <v>348</v>
      </c>
      <c r="C452" s="47" t="s">
        <v>106</v>
      </c>
      <c r="F452" s="47" t="s">
        <v>1226</v>
      </c>
      <c r="G452" s="47">
        <v>1</v>
      </c>
      <c r="H452" s="47" t="s">
        <v>530</v>
      </c>
      <c r="L452" s="47" t="s">
        <v>1276</v>
      </c>
      <c r="M452" s="47" t="s">
        <v>1279</v>
      </c>
    </row>
    <row r="453" spans="2:16" ht="13.5" customHeight="1">
      <c r="B453" s="47">
        <v>348</v>
      </c>
      <c r="C453" s="47" t="s">
        <v>106</v>
      </c>
      <c r="F453" s="47" t="s">
        <v>1226</v>
      </c>
      <c r="G453" s="47">
        <v>1</v>
      </c>
      <c r="H453" s="47" t="s">
        <v>530</v>
      </c>
      <c r="L453" s="47" t="s">
        <v>1277</v>
      </c>
      <c r="M453" s="47" t="s">
        <v>1280</v>
      </c>
    </row>
    <row r="454" spans="2:16" ht="13.5" customHeight="1">
      <c r="B454" s="47">
        <v>348</v>
      </c>
      <c r="C454" s="47" t="s">
        <v>106</v>
      </c>
      <c r="F454" s="47" t="s">
        <v>1226</v>
      </c>
      <c r="G454" s="47">
        <v>1</v>
      </c>
      <c r="H454" s="47" t="s">
        <v>530</v>
      </c>
      <c r="L454" s="47" t="s">
        <v>314</v>
      </c>
      <c r="M454" s="47" t="s">
        <v>1279</v>
      </c>
    </row>
    <row r="455" spans="2:16" ht="13.5" customHeight="1">
      <c r="B455" s="47">
        <v>348</v>
      </c>
      <c r="C455" s="47" t="s">
        <v>106</v>
      </c>
      <c r="D455" s="47" t="s">
        <v>177</v>
      </c>
      <c r="F455" s="47" t="s">
        <v>245</v>
      </c>
      <c r="G455" s="47">
        <v>1</v>
      </c>
      <c r="H455" s="47" t="s">
        <v>62</v>
      </c>
      <c r="I455" s="47" t="s">
        <v>30</v>
      </c>
      <c r="L455" s="15" t="s">
        <v>246</v>
      </c>
      <c r="M455" s="15" t="s">
        <v>243</v>
      </c>
      <c r="O455" s="47" t="s">
        <v>30</v>
      </c>
      <c r="P455" s="47" t="s">
        <v>46</v>
      </c>
    </row>
    <row r="456" spans="2:16" ht="13.5" customHeight="1">
      <c r="B456" s="47">
        <v>349</v>
      </c>
      <c r="C456" s="47" t="s">
        <v>106</v>
      </c>
      <c r="F456" s="47" t="s">
        <v>1226</v>
      </c>
      <c r="G456" s="47">
        <v>1</v>
      </c>
      <c r="H456" s="47" t="s">
        <v>530</v>
      </c>
      <c r="L456" s="47" t="s">
        <v>1276</v>
      </c>
      <c r="M456" s="47" t="s">
        <v>1279</v>
      </c>
    </row>
    <row r="457" spans="2:16" ht="13.5" customHeight="1">
      <c r="B457" s="47">
        <v>349</v>
      </c>
      <c r="C457" s="47" t="s">
        <v>106</v>
      </c>
      <c r="F457" s="47" t="s">
        <v>1226</v>
      </c>
      <c r="G457" s="47">
        <v>1</v>
      </c>
      <c r="H457" s="47" t="s">
        <v>530</v>
      </c>
      <c r="L457" s="47" t="s">
        <v>1277</v>
      </c>
      <c r="M457" s="47" t="s">
        <v>1280</v>
      </c>
    </row>
    <row r="458" spans="2:16" ht="13.5" customHeight="1">
      <c r="B458" s="47">
        <v>349</v>
      </c>
      <c r="C458" s="47" t="s">
        <v>106</v>
      </c>
      <c r="F458" s="47" t="s">
        <v>1226</v>
      </c>
      <c r="G458" s="47">
        <v>1</v>
      </c>
      <c r="H458" s="47" t="s">
        <v>530</v>
      </c>
      <c r="L458" s="47" t="s">
        <v>314</v>
      </c>
      <c r="M458" s="47" t="s">
        <v>1279</v>
      </c>
    </row>
    <row r="459" spans="2:16" ht="13.5" customHeight="1">
      <c r="B459" s="47">
        <v>349</v>
      </c>
      <c r="C459" s="47" t="s">
        <v>106</v>
      </c>
      <c r="D459" s="47" t="s">
        <v>177</v>
      </c>
      <c r="F459" s="47" t="s">
        <v>245</v>
      </c>
      <c r="G459" s="47">
        <v>1</v>
      </c>
      <c r="H459" s="47" t="s">
        <v>62</v>
      </c>
      <c r="I459" s="47" t="s">
        <v>30</v>
      </c>
      <c r="L459" s="15" t="s">
        <v>246</v>
      </c>
      <c r="M459" s="15" t="s">
        <v>243</v>
      </c>
      <c r="O459" s="47" t="s">
        <v>30</v>
      </c>
      <c r="P459" s="47" t="s">
        <v>46</v>
      </c>
    </row>
    <row r="460" spans="2:16" ht="13.5" customHeight="1">
      <c r="B460" s="47">
        <v>350</v>
      </c>
      <c r="C460" s="47" t="s">
        <v>106</v>
      </c>
      <c r="F460" s="47" t="s">
        <v>1226</v>
      </c>
      <c r="G460" s="47">
        <v>1</v>
      </c>
      <c r="H460" s="47" t="s">
        <v>530</v>
      </c>
      <c r="L460" s="47" t="s">
        <v>1276</v>
      </c>
      <c r="M460" s="47" t="s">
        <v>1279</v>
      </c>
    </row>
    <row r="461" spans="2:16" ht="13.5" customHeight="1">
      <c r="B461" s="47">
        <v>350</v>
      </c>
      <c r="C461" s="47" t="s">
        <v>106</v>
      </c>
      <c r="F461" s="47" t="s">
        <v>1226</v>
      </c>
      <c r="G461" s="47">
        <v>1</v>
      </c>
      <c r="H461" s="47" t="s">
        <v>530</v>
      </c>
      <c r="L461" s="47" t="s">
        <v>1277</v>
      </c>
      <c r="M461" s="47" t="s">
        <v>1280</v>
      </c>
    </row>
    <row r="462" spans="2:16" ht="13.5" customHeight="1">
      <c r="B462" s="47">
        <v>350</v>
      </c>
      <c r="C462" s="47" t="s">
        <v>106</v>
      </c>
      <c r="F462" s="47" t="s">
        <v>1226</v>
      </c>
      <c r="G462" s="47">
        <v>1</v>
      </c>
      <c r="H462" s="47" t="s">
        <v>530</v>
      </c>
      <c r="L462" s="47" t="s">
        <v>314</v>
      </c>
      <c r="M462" s="47" t="s">
        <v>1279</v>
      </c>
    </row>
    <row r="463" spans="2:16" ht="13.5" customHeight="1">
      <c r="B463" s="47">
        <v>350</v>
      </c>
      <c r="C463" s="47" t="s">
        <v>106</v>
      </c>
      <c r="D463" s="47" t="s">
        <v>177</v>
      </c>
      <c r="F463" s="47" t="s">
        <v>245</v>
      </c>
      <c r="G463" s="47">
        <v>1</v>
      </c>
      <c r="H463" s="47" t="s">
        <v>62</v>
      </c>
      <c r="I463" s="47" t="s">
        <v>30</v>
      </c>
      <c r="L463" s="15" t="s">
        <v>246</v>
      </c>
      <c r="M463" s="15" t="s">
        <v>243</v>
      </c>
      <c r="O463" s="47" t="s">
        <v>30</v>
      </c>
      <c r="P463" s="47" t="s">
        <v>46</v>
      </c>
    </row>
    <row r="464" spans="2:16" ht="13.5" customHeight="1">
      <c r="B464" s="47">
        <v>351</v>
      </c>
      <c r="C464" s="47" t="s">
        <v>106</v>
      </c>
      <c r="F464" s="47" t="s">
        <v>1224</v>
      </c>
      <c r="G464" s="47">
        <v>1</v>
      </c>
      <c r="H464" s="47" t="s">
        <v>530</v>
      </c>
      <c r="L464" s="47" t="s">
        <v>1276</v>
      </c>
      <c r="M464" s="47" t="s">
        <v>1279</v>
      </c>
    </row>
    <row r="465" spans="2:16" ht="13.5" customHeight="1">
      <c r="B465" s="47">
        <v>351</v>
      </c>
      <c r="C465" s="47" t="s">
        <v>106</v>
      </c>
      <c r="F465" s="47" t="s">
        <v>1224</v>
      </c>
      <c r="G465" s="47">
        <v>1</v>
      </c>
      <c r="H465" s="47" t="s">
        <v>530</v>
      </c>
      <c r="L465" s="47" t="s">
        <v>314</v>
      </c>
      <c r="M465" s="47" t="s">
        <v>1279</v>
      </c>
    </row>
    <row r="466" spans="2:16" ht="13.5" customHeight="1">
      <c r="B466" s="47">
        <v>352</v>
      </c>
      <c r="C466" s="47" t="s">
        <v>106</v>
      </c>
      <c r="F466" s="47" t="s">
        <v>1234</v>
      </c>
      <c r="G466" s="47">
        <v>1</v>
      </c>
      <c r="H466" s="47" t="s">
        <v>530</v>
      </c>
      <c r="L466" s="47" t="s">
        <v>1276</v>
      </c>
      <c r="M466" s="47" t="s">
        <v>1279</v>
      </c>
    </row>
    <row r="467" spans="2:16" ht="13.5" customHeight="1">
      <c r="B467" s="47">
        <v>352</v>
      </c>
      <c r="C467" s="47" t="s">
        <v>106</v>
      </c>
      <c r="F467" s="47" t="s">
        <v>1234</v>
      </c>
      <c r="G467" s="47">
        <v>1</v>
      </c>
      <c r="H467" s="47" t="s">
        <v>530</v>
      </c>
      <c r="L467" s="47" t="s">
        <v>1277</v>
      </c>
      <c r="M467" s="47" t="s">
        <v>1280</v>
      </c>
    </row>
    <row r="468" spans="2:16" ht="13.5" customHeight="1">
      <c r="B468" s="47">
        <v>352</v>
      </c>
      <c r="C468" s="47" t="s">
        <v>106</v>
      </c>
      <c r="F468" s="47" t="s">
        <v>1234</v>
      </c>
      <c r="G468" s="47">
        <v>1</v>
      </c>
      <c r="H468" s="47" t="s">
        <v>530</v>
      </c>
      <c r="L468" s="47" t="s">
        <v>314</v>
      </c>
      <c r="M468" s="47" t="s">
        <v>1279</v>
      </c>
    </row>
    <row r="469" spans="2:16" ht="13.5" customHeight="1">
      <c r="B469" s="47">
        <v>352</v>
      </c>
      <c r="C469" s="47" t="s">
        <v>106</v>
      </c>
      <c r="D469" s="47" t="s">
        <v>177</v>
      </c>
      <c r="F469" s="47" t="s">
        <v>284</v>
      </c>
      <c r="G469" s="47">
        <v>1</v>
      </c>
      <c r="H469" s="47" t="s">
        <v>62</v>
      </c>
      <c r="I469" s="47" t="s">
        <v>30</v>
      </c>
      <c r="L469" s="15" t="s">
        <v>246</v>
      </c>
      <c r="M469" s="15" t="s">
        <v>243</v>
      </c>
      <c r="O469" s="47" t="s">
        <v>30</v>
      </c>
      <c r="P469" s="47" t="s">
        <v>46</v>
      </c>
    </row>
    <row r="470" spans="2:16" ht="13.5" customHeight="1">
      <c r="B470" s="47">
        <v>353</v>
      </c>
      <c r="C470" s="47" t="s">
        <v>106</v>
      </c>
      <c r="F470" s="47" t="s">
        <v>1234</v>
      </c>
      <c r="G470" s="47">
        <v>1</v>
      </c>
      <c r="H470" s="47" t="s">
        <v>530</v>
      </c>
      <c r="L470" s="47" t="s">
        <v>1276</v>
      </c>
      <c r="M470" s="47" t="s">
        <v>1279</v>
      </c>
    </row>
    <row r="471" spans="2:16" ht="13.5" customHeight="1">
      <c r="B471" s="47">
        <v>353</v>
      </c>
      <c r="C471" s="47" t="s">
        <v>106</v>
      </c>
      <c r="F471" s="47" t="s">
        <v>1234</v>
      </c>
      <c r="G471" s="47">
        <v>1</v>
      </c>
      <c r="H471" s="47" t="s">
        <v>530</v>
      </c>
      <c r="L471" s="47" t="s">
        <v>1277</v>
      </c>
      <c r="M471" s="47" t="s">
        <v>1280</v>
      </c>
    </row>
    <row r="472" spans="2:16" ht="13.5" customHeight="1">
      <c r="B472" s="47">
        <v>353</v>
      </c>
      <c r="C472" s="47" t="s">
        <v>106</v>
      </c>
      <c r="F472" s="47" t="s">
        <v>1234</v>
      </c>
      <c r="G472" s="47">
        <v>1</v>
      </c>
      <c r="H472" s="47" t="s">
        <v>530</v>
      </c>
      <c r="L472" s="47" t="s">
        <v>314</v>
      </c>
      <c r="M472" s="47" t="s">
        <v>1279</v>
      </c>
    </row>
    <row r="473" spans="2:16" ht="13.5" customHeight="1">
      <c r="B473" s="47">
        <v>353</v>
      </c>
      <c r="C473" s="47" t="s">
        <v>106</v>
      </c>
      <c r="D473" s="47" t="s">
        <v>177</v>
      </c>
      <c r="F473" s="47" t="s">
        <v>284</v>
      </c>
      <c r="G473" s="47">
        <v>1</v>
      </c>
      <c r="H473" s="47" t="s">
        <v>62</v>
      </c>
      <c r="I473" s="47" t="s">
        <v>30</v>
      </c>
      <c r="L473" s="15" t="s">
        <v>246</v>
      </c>
      <c r="M473" s="15" t="s">
        <v>243</v>
      </c>
      <c r="O473" s="47" t="s">
        <v>30</v>
      </c>
      <c r="P473" s="47" t="s">
        <v>46</v>
      </c>
    </row>
    <row r="474" spans="2:16" ht="13.5" customHeight="1">
      <c r="B474" s="47">
        <v>354</v>
      </c>
      <c r="C474" s="47" t="s">
        <v>106</v>
      </c>
      <c r="F474" s="47" t="s">
        <v>1236</v>
      </c>
      <c r="G474" s="47">
        <v>1</v>
      </c>
      <c r="H474" s="47" t="s">
        <v>530</v>
      </c>
      <c r="L474" s="47" t="s">
        <v>1276</v>
      </c>
      <c r="M474" s="47" t="s">
        <v>1279</v>
      </c>
    </row>
    <row r="475" spans="2:16" ht="13.5" customHeight="1">
      <c r="B475" s="47">
        <v>354</v>
      </c>
      <c r="C475" s="47" t="s">
        <v>106</v>
      </c>
      <c r="F475" s="47" t="s">
        <v>1236</v>
      </c>
      <c r="G475" s="47">
        <v>1</v>
      </c>
      <c r="H475" s="47" t="s">
        <v>530</v>
      </c>
      <c r="L475" s="47" t="s">
        <v>1277</v>
      </c>
      <c r="M475" s="47" t="s">
        <v>1280</v>
      </c>
    </row>
    <row r="476" spans="2:16" ht="13.5" customHeight="1">
      <c r="B476" s="47">
        <v>354</v>
      </c>
      <c r="C476" s="47" t="s">
        <v>106</v>
      </c>
      <c r="F476" s="47" t="s">
        <v>1236</v>
      </c>
      <c r="G476" s="47">
        <v>1</v>
      </c>
      <c r="H476" s="47" t="s">
        <v>530</v>
      </c>
      <c r="L476" s="47" t="s">
        <v>314</v>
      </c>
      <c r="M476" s="47" t="s">
        <v>1279</v>
      </c>
    </row>
    <row r="477" spans="2:16" ht="13.5" customHeight="1">
      <c r="B477" s="47">
        <v>354</v>
      </c>
      <c r="C477" s="47" t="s">
        <v>106</v>
      </c>
      <c r="D477" s="47" t="s">
        <v>177</v>
      </c>
      <c r="F477" s="47" t="s">
        <v>284</v>
      </c>
      <c r="G477" s="47">
        <v>1</v>
      </c>
      <c r="H477" s="47" t="s">
        <v>62</v>
      </c>
      <c r="I477" s="47" t="s">
        <v>30</v>
      </c>
      <c r="L477" s="15" t="s">
        <v>246</v>
      </c>
      <c r="M477" s="15" t="s">
        <v>243</v>
      </c>
      <c r="O477" s="47" t="s">
        <v>30</v>
      </c>
      <c r="P477" s="47" t="s">
        <v>46</v>
      </c>
    </row>
    <row r="478" spans="2:16" ht="13.5" customHeight="1">
      <c r="B478" s="47">
        <v>355</v>
      </c>
      <c r="C478" s="47" t="s">
        <v>106</v>
      </c>
      <c r="F478" s="47" t="s">
        <v>1236</v>
      </c>
      <c r="G478" s="47">
        <v>1</v>
      </c>
      <c r="H478" s="47" t="s">
        <v>530</v>
      </c>
      <c r="L478" s="47" t="s">
        <v>1276</v>
      </c>
      <c r="M478" s="47" t="s">
        <v>1279</v>
      </c>
    </row>
    <row r="479" spans="2:16" ht="13.5" customHeight="1">
      <c r="B479" s="47">
        <v>355</v>
      </c>
      <c r="C479" s="47" t="s">
        <v>106</v>
      </c>
      <c r="F479" s="47" t="s">
        <v>1236</v>
      </c>
      <c r="G479" s="47">
        <v>1</v>
      </c>
      <c r="H479" s="47" t="s">
        <v>530</v>
      </c>
      <c r="L479" s="47" t="s">
        <v>1277</v>
      </c>
      <c r="M479" s="47" t="s">
        <v>1280</v>
      </c>
    </row>
    <row r="480" spans="2:16" ht="13.5" customHeight="1">
      <c r="B480" s="47">
        <v>355</v>
      </c>
      <c r="C480" s="47" t="s">
        <v>106</v>
      </c>
      <c r="F480" s="47" t="s">
        <v>1236</v>
      </c>
      <c r="G480" s="47">
        <v>1</v>
      </c>
      <c r="H480" s="47" t="s">
        <v>530</v>
      </c>
      <c r="L480" s="47" t="s">
        <v>314</v>
      </c>
      <c r="M480" s="47" t="s">
        <v>1279</v>
      </c>
    </row>
    <row r="481" spans="2:16" ht="13.5" customHeight="1">
      <c r="B481" s="47">
        <v>355</v>
      </c>
      <c r="C481" s="47" t="s">
        <v>106</v>
      </c>
      <c r="D481" s="47" t="s">
        <v>177</v>
      </c>
      <c r="F481" s="47" t="s">
        <v>284</v>
      </c>
      <c r="G481" s="47">
        <v>1</v>
      </c>
      <c r="H481" s="47" t="s">
        <v>62</v>
      </c>
      <c r="I481" s="47" t="s">
        <v>30</v>
      </c>
      <c r="L481" s="15" t="s">
        <v>246</v>
      </c>
      <c r="M481" s="15" t="s">
        <v>243</v>
      </c>
      <c r="O481" s="47" t="s">
        <v>30</v>
      </c>
      <c r="P481" s="47" t="s">
        <v>46</v>
      </c>
    </row>
    <row r="482" spans="2:16" ht="13.5" customHeight="1">
      <c r="B482" s="47">
        <v>356</v>
      </c>
      <c r="C482" s="47" t="s">
        <v>106</v>
      </c>
      <c r="F482" s="47" t="s">
        <v>1236</v>
      </c>
      <c r="G482" s="47">
        <v>1</v>
      </c>
      <c r="H482" s="47" t="s">
        <v>530</v>
      </c>
      <c r="L482" s="47" t="s">
        <v>1276</v>
      </c>
      <c r="M482" s="47" t="s">
        <v>1279</v>
      </c>
    </row>
    <row r="483" spans="2:16" ht="13.5" customHeight="1">
      <c r="B483" s="47">
        <v>356</v>
      </c>
      <c r="C483" s="47" t="s">
        <v>106</v>
      </c>
      <c r="F483" s="47" t="s">
        <v>1236</v>
      </c>
      <c r="G483" s="47">
        <v>1</v>
      </c>
      <c r="H483" s="47" t="s">
        <v>530</v>
      </c>
      <c r="L483" s="47" t="s">
        <v>1277</v>
      </c>
      <c r="M483" s="47" t="s">
        <v>1280</v>
      </c>
    </row>
    <row r="484" spans="2:16" ht="13.5" customHeight="1">
      <c r="B484" s="47">
        <v>356</v>
      </c>
      <c r="C484" s="47" t="s">
        <v>106</v>
      </c>
      <c r="F484" s="47" t="s">
        <v>1236</v>
      </c>
      <c r="G484" s="47">
        <v>1</v>
      </c>
      <c r="H484" s="47" t="s">
        <v>530</v>
      </c>
      <c r="L484" s="47" t="s">
        <v>314</v>
      </c>
      <c r="M484" s="47" t="s">
        <v>1279</v>
      </c>
    </row>
    <row r="485" spans="2:16" ht="13.5" customHeight="1">
      <c r="B485" s="47">
        <v>356</v>
      </c>
      <c r="C485" s="47" t="s">
        <v>106</v>
      </c>
      <c r="D485" s="47" t="s">
        <v>177</v>
      </c>
      <c r="F485" s="47" t="s">
        <v>284</v>
      </c>
      <c r="G485" s="47">
        <v>1</v>
      </c>
      <c r="H485" s="47" t="s">
        <v>62</v>
      </c>
      <c r="I485" s="47" t="s">
        <v>30</v>
      </c>
      <c r="L485" s="15" t="s">
        <v>246</v>
      </c>
      <c r="M485" s="15" t="s">
        <v>243</v>
      </c>
      <c r="O485" s="47" t="s">
        <v>30</v>
      </c>
      <c r="P485" s="47" t="s">
        <v>46</v>
      </c>
    </row>
    <row r="486" spans="2:16" ht="13.5" customHeight="1">
      <c r="B486" s="47">
        <v>357</v>
      </c>
      <c r="C486" s="47" t="s">
        <v>106</v>
      </c>
      <c r="F486" s="47" t="s">
        <v>1236</v>
      </c>
      <c r="G486" s="47">
        <v>1</v>
      </c>
      <c r="H486" s="47" t="s">
        <v>530</v>
      </c>
      <c r="L486" s="47" t="s">
        <v>1276</v>
      </c>
      <c r="M486" s="47" t="s">
        <v>1279</v>
      </c>
    </row>
    <row r="487" spans="2:16" ht="13.5" customHeight="1">
      <c r="B487" s="47">
        <v>357</v>
      </c>
      <c r="C487" s="47" t="s">
        <v>106</v>
      </c>
      <c r="F487" s="47" t="s">
        <v>1236</v>
      </c>
      <c r="G487" s="47">
        <v>1</v>
      </c>
      <c r="H487" s="47" t="s">
        <v>530</v>
      </c>
      <c r="L487" s="47" t="s">
        <v>1277</v>
      </c>
      <c r="M487" s="47" t="s">
        <v>1280</v>
      </c>
    </row>
    <row r="488" spans="2:16" ht="13.5" customHeight="1">
      <c r="B488" s="47">
        <v>357</v>
      </c>
      <c r="C488" s="47" t="s">
        <v>106</v>
      </c>
      <c r="F488" s="47" t="s">
        <v>1236</v>
      </c>
      <c r="G488" s="47">
        <v>1</v>
      </c>
      <c r="H488" s="47" t="s">
        <v>530</v>
      </c>
      <c r="L488" s="47" t="s">
        <v>314</v>
      </c>
      <c r="M488" s="47" t="s">
        <v>1279</v>
      </c>
    </row>
    <row r="489" spans="2:16" ht="13.5" customHeight="1">
      <c r="B489" s="47">
        <v>357</v>
      </c>
      <c r="C489" s="47" t="s">
        <v>106</v>
      </c>
      <c r="D489" s="47" t="s">
        <v>177</v>
      </c>
      <c r="F489" s="47" t="s">
        <v>284</v>
      </c>
      <c r="G489" s="47">
        <v>1</v>
      </c>
      <c r="H489" s="47" t="s">
        <v>62</v>
      </c>
      <c r="I489" s="47" t="s">
        <v>30</v>
      </c>
      <c r="L489" s="15" t="s">
        <v>246</v>
      </c>
      <c r="M489" s="15" t="s">
        <v>243</v>
      </c>
      <c r="O489" s="47" t="s">
        <v>30</v>
      </c>
      <c r="P489" s="47" t="s">
        <v>46</v>
      </c>
    </row>
    <row r="490" spans="2:16" ht="13.5" customHeight="1">
      <c r="B490" s="47">
        <v>358</v>
      </c>
      <c r="C490" s="47" t="s">
        <v>106</v>
      </c>
      <c r="F490" s="47" t="s">
        <v>1236</v>
      </c>
      <c r="G490" s="47">
        <v>1</v>
      </c>
      <c r="H490" s="47" t="s">
        <v>530</v>
      </c>
      <c r="L490" s="47" t="s">
        <v>1276</v>
      </c>
      <c r="M490" s="47" t="s">
        <v>1279</v>
      </c>
    </row>
    <row r="491" spans="2:16" ht="13.5" customHeight="1">
      <c r="B491" s="47">
        <v>358</v>
      </c>
      <c r="C491" s="47" t="s">
        <v>106</v>
      </c>
      <c r="F491" s="47" t="s">
        <v>1236</v>
      </c>
      <c r="G491" s="47">
        <v>1</v>
      </c>
      <c r="H491" s="47" t="s">
        <v>530</v>
      </c>
      <c r="L491" s="47" t="s">
        <v>1277</v>
      </c>
      <c r="M491" s="47" t="s">
        <v>1280</v>
      </c>
    </row>
    <row r="492" spans="2:16" ht="13.5" customHeight="1">
      <c r="B492" s="47">
        <v>358</v>
      </c>
      <c r="C492" s="47" t="s">
        <v>106</v>
      </c>
      <c r="F492" s="47" t="s">
        <v>1236</v>
      </c>
      <c r="G492" s="47">
        <v>1</v>
      </c>
      <c r="H492" s="47" t="s">
        <v>530</v>
      </c>
      <c r="L492" s="47" t="s">
        <v>314</v>
      </c>
      <c r="M492" s="47" t="s">
        <v>1279</v>
      </c>
    </row>
    <row r="493" spans="2:16" ht="13.5" customHeight="1">
      <c r="B493" s="47">
        <v>358</v>
      </c>
      <c r="C493" s="47" t="s">
        <v>106</v>
      </c>
      <c r="D493" s="47" t="s">
        <v>177</v>
      </c>
      <c r="F493" s="47" t="s">
        <v>284</v>
      </c>
      <c r="G493" s="47">
        <v>1</v>
      </c>
      <c r="H493" s="47" t="s">
        <v>62</v>
      </c>
      <c r="I493" s="47" t="s">
        <v>30</v>
      </c>
      <c r="L493" s="15" t="s">
        <v>246</v>
      </c>
      <c r="M493" s="15" t="s">
        <v>243</v>
      </c>
      <c r="O493" s="47" t="s">
        <v>30</v>
      </c>
      <c r="P493" s="47" t="s">
        <v>46</v>
      </c>
    </row>
    <row r="494" spans="2:16" ht="13.5" customHeight="1">
      <c r="B494" s="47">
        <v>359</v>
      </c>
      <c r="C494" s="47" t="s">
        <v>106</v>
      </c>
      <c r="F494" s="47" t="s">
        <v>1236</v>
      </c>
      <c r="G494" s="47">
        <v>1</v>
      </c>
      <c r="H494" s="47" t="s">
        <v>530</v>
      </c>
      <c r="L494" s="47" t="s">
        <v>1276</v>
      </c>
      <c r="M494" s="47" t="s">
        <v>1279</v>
      </c>
    </row>
    <row r="495" spans="2:16" ht="13.5" customHeight="1">
      <c r="B495" s="47">
        <v>359</v>
      </c>
      <c r="C495" s="47" t="s">
        <v>106</v>
      </c>
      <c r="F495" s="47" t="s">
        <v>1236</v>
      </c>
      <c r="G495" s="47">
        <v>1</v>
      </c>
      <c r="H495" s="47" t="s">
        <v>530</v>
      </c>
      <c r="L495" s="47" t="s">
        <v>1277</v>
      </c>
      <c r="M495" s="47" t="s">
        <v>1280</v>
      </c>
    </row>
    <row r="496" spans="2:16" ht="13.5" customHeight="1">
      <c r="B496" s="47">
        <v>359</v>
      </c>
      <c r="C496" s="47" t="s">
        <v>106</v>
      </c>
      <c r="F496" s="47" t="s">
        <v>1236</v>
      </c>
      <c r="G496" s="47">
        <v>1</v>
      </c>
      <c r="H496" s="47" t="s">
        <v>530</v>
      </c>
      <c r="L496" s="47" t="s">
        <v>314</v>
      </c>
      <c r="M496" s="47" t="s">
        <v>1279</v>
      </c>
    </row>
    <row r="497" spans="2:16" ht="13.5" customHeight="1">
      <c r="B497" s="47">
        <v>359</v>
      </c>
      <c r="C497" s="47" t="s">
        <v>106</v>
      </c>
      <c r="D497" s="47" t="s">
        <v>177</v>
      </c>
      <c r="F497" s="47" t="s">
        <v>284</v>
      </c>
      <c r="G497" s="47">
        <v>1</v>
      </c>
      <c r="H497" s="47" t="s">
        <v>62</v>
      </c>
      <c r="I497" s="47" t="s">
        <v>30</v>
      </c>
      <c r="L497" s="15" t="s">
        <v>246</v>
      </c>
      <c r="M497" s="15" t="s">
        <v>243</v>
      </c>
      <c r="O497" s="47" t="s">
        <v>30</v>
      </c>
      <c r="P497" s="47" t="s">
        <v>46</v>
      </c>
    </row>
    <row r="498" spans="2:16" ht="13.5" customHeight="1">
      <c r="B498" s="47">
        <v>360</v>
      </c>
      <c r="C498" s="47" t="s">
        <v>106</v>
      </c>
      <c r="F498" s="47" t="s">
        <v>1237</v>
      </c>
      <c r="G498" s="47">
        <v>1</v>
      </c>
      <c r="H498" s="47" t="s">
        <v>1274</v>
      </c>
      <c r="L498" s="47" t="s">
        <v>1276</v>
      </c>
      <c r="M498" s="47" t="s">
        <v>1279</v>
      </c>
    </row>
    <row r="499" spans="2:16" ht="13.5" customHeight="1">
      <c r="B499" s="47">
        <v>360</v>
      </c>
      <c r="C499" s="47" t="s">
        <v>106</v>
      </c>
      <c r="F499" s="47" t="s">
        <v>1237</v>
      </c>
      <c r="G499" s="47">
        <v>1</v>
      </c>
      <c r="H499" s="47" t="s">
        <v>1274</v>
      </c>
      <c r="L499" s="47" t="s">
        <v>314</v>
      </c>
      <c r="M499" s="47" t="s">
        <v>1279</v>
      </c>
    </row>
    <row r="500" spans="2:16" ht="13.5" customHeight="1">
      <c r="B500" s="47">
        <v>361</v>
      </c>
      <c r="C500" s="47" t="s">
        <v>106</v>
      </c>
      <c r="F500" s="47" t="s">
        <v>1237</v>
      </c>
      <c r="G500" s="47">
        <v>1</v>
      </c>
      <c r="H500" s="47" t="s">
        <v>1274</v>
      </c>
      <c r="L500" s="47" t="s">
        <v>1276</v>
      </c>
      <c r="M500" s="47" t="s">
        <v>1279</v>
      </c>
    </row>
    <row r="501" spans="2:16" ht="13.5" customHeight="1">
      <c r="B501" s="47">
        <v>361</v>
      </c>
      <c r="C501" s="47" t="s">
        <v>106</v>
      </c>
      <c r="F501" s="47" t="s">
        <v>1237</v>
      </c>
      <c r="G501" s="47">
        <v>1</v>
      </c>
      <c r="H501" s="47" t="s">
        <v>1274</v>
      </c>
      <c r="L501" s="47" t="s">
        <v>314</v>
      </c>
      <c r="M501" s="47" t="s">
        <v>1279</v>
      </c>
    </row>
    <row r="502" spans="2:16" ht="13.5" customHeight="1">
      <c r="B502" s="47">
        <v>362</v>
      </c>
      <c r="C502" s="47" t="s">
        <v>106</v>
      </c>
      <c r="F502" s="47" t="s">
        <v>1237</v>
      </c>
      <c r="G502" s="47">
        <v>1</v>
      </c>
      <c r="H502" s="47" t="s">
        <v>1274</v>
      </c>
      <c r="L502" s="47" t="s">
        <v>1276</v>
      </c>
      <c r="M502" s="47" t="s">
        <v>1279</v>
      </c>
    </row>
    <row r="503" spans="2:16" ht="13.5" customHeight="1">
      <c r="B503" s="47">
        <v>362</v>
      </c>
      <c r="C503" s="47" t="s">
        <v>106</v>
      </c>
      <c r="F503" s="47" t="s">
        <v>1237</v>
      </c>
      <c r="G503" s="47">
        <v>1</v>
      </c>
      <c r="H503" s="47" t="s">
        <v>1274</v>
      </c>
      <c r="L503" s="47" t="s">
        <v>314</v>
      </c>
      <c r="M503" s="47" t="s">
        <v>1279</v>
      </c>
    </row>
    <row r="504" spans="2:16" ht="13.5" customHeight="1">
      <c r="B504" s="47">
        <v>363</v>
      </c>
      <c r="C504" s="47" t="s">
        <v>106</v>
      </c>
      <c r="F504" s="47" t="s">
        <v>1237</v>
      </c>
      <c r="G504" s="47">
        <v>1</v>
      </c>
      <c r="H504" s="47" t="s">
        <v>1274</v>
      </c>
      <c r="L504" s="47" t="s">
        <v>1147</v>
      </c>
      <c r="M504" s="47" t="s">
        <v>251</v>
      </c>
      <c r="N504" s="47" t="s">
        <v>1289</v>
      </c>
    </row>
    <row r="505" spans="2:16" ht="13.5" customHeight="1">
      <c r="B505" s="47">
        <v>363</v>
      </c>
      <c r="C505" s="47" t="s">
        <v>106</v>
      </c>
      <c r="D505" s="47" t="s">
        <v>177</v>
      </c>
      <c r="F505" s="47" t="s">
        <v>285</v>
      </c>
      <c r="G505" s="47" t="s">
        <v>254</v>
      </c>
      <c r="H505" s="47" t="s">
        <v>62</v>
      </c>
      <c r="I505" s="47" t="s">
        <v>30</v>
      </c>
      <c r="L505" s="15" t="s">
        <v>233</v>
      </c>
      <c r="M505" s="15" t="s">
        <v>251</v>
      </c>
      <c r="O505" s="47" t="s">
        <v>30</v>
      </c>
      <c r="P505" s="47" t="s">
        <v>46</v>
      </c>
    </row>
    <row r="506" spans="2:16" ht="13.5" customHeight="1">
      <c r="B506" s="47">
        <v>364</v>
      </c>
      <c r="C506" s="47" t="s">
        <v>106</v>
      </c>
      <c r="F506" s="47" t="s">
        <v>1238</v>
      </c>
      <c r="G506" s="47">
        <v>1</v>
      </c>
      <c r="H506" s="47" t="s">
        <v>1274</v>
      </c>
      <c r="L506" s="47" t="s">
        <v>1147</v>
      </c>
      <c r="M506" s="47" t="s">
        <v>251</v>
      </c>
    </row>
    <row r="507" spans="2:16" ht="13.5" customHeight="1">
      <c r="B507" s="47">
        <v>364</v>
      </c>
      <c r="C507" s="47" t="s">
        <v>106</v>
      </c>
      <c r="D507" s="47" t="s">
        <v>177</v>
      </c>
      <c r="F507" s="47" t="s">
        <v>286</v>
      </c>
      <c r="G507" s="47">
        <v>1</v>
      </c>
      <c r="H507" s="47" t="s">
        <v>62</v>
      </c>
      <c r="L507" s="15" t="s">
        <v>233</v>
      </c>
      <c r="M507" s="15" t="s">
        <v>251</v>
      </c>
      <c r="O507" s="47" t="s">
        <v>30</v>
      </c>
      <c r="P507" s="47" t="s">
        <v>46</v>
      </c>
    </row>
    <row r="508" spans="2:16" ht="13.5" customHeight="1">
      <c r="B508" s="47">
        <v>368</v>
      </c>
      <c r="C508" s="47" t="s">
        <v>119</v>
      </c>
      <c r="D508" s="47" t="s">
        <v>171</v>
      </c>
      <c r="E508" s="47" t="s">
        <v>1098</v>
      </c>
      <c r="H508" s="47" t="s">
        <v>30</v>
      </c>
      <c r="L508" s="15"/>
      <c r="M508" s="15" t="s">
        <v>1115</v>
      </c>
      <c r="N508" s="47" t="s">
        <v>1116</v>
      </c>
      <c r="O508" s="47" t="s">
        <v>30</v>
      </c>
      <c r="P508" s="47" t="s">
        <v>46</v>
      </c>
    </row>
    <row r="509" spans="2:16" ht="13.5" customHeight="1">
      <c r="B509">
        <v>369</v>
      </c>
      <c r="C509" t="s">
        <v>121</v>
      </c>
      <c r="D509" s="2" t="s">
        <v>177</v>
      </c>
      <c r="F509" s="47" t="s">
        <v>185</v>
      </c>
      <c r="H509" s="47" t="s">
        <v>47</v>
      </c>
      <c r="I509" s="47" t="s">
        <v>30</v>
      </c>
      <c r="J509" s="47" t="s">
        <v>35</v>
      </c>
    </row>
    <row r="510" spans="2:16" ht="13.5" customHeight="1">
      <c r="B510">
        <v>370</v>
      </c>
      <c r="C510" t="s">
        <v>121</v>
      </c>
      <c r="D510" s="2" t="s">
        <v>177</v>
      </c>
      <c r="F510" s="47" t="s">
        <v>185</v>
      </c>
      <c r="H510" s="47" t="s">
        <v>47</v>
      </c>
      <c r="I510" s="47" t="s">
        <v>30</v>
      </c>
      <c r="J510" s="47" t="s">
        <v>35</v>
      </c>
    </row>
    <row r="511" spans="2:16" ht="13.5" customHeight="1">
      <c r="B511">
        <v>371</v>
      </c>
      <c r="C511" t="s">
        <v>121</v>
      </c>
      <c r="D511" s="2" t="s">
        <v>177</v>
      </c>
      <c r="F511" s="47" t="s">
        <v>185</v>
      </c>
      <c r="H511" s="47" t="s">
        <v>47</v>
      </c>
      <c r="I511" s="47" t="s">
        <v>30</v>
      </c>
      <c r="J511" s="47" t="s">
        <v>35</v>
      </c>
    </row>
    <row r="512" spans="2:16" ht="13.5" customHeight="1">
      <c r="B512">
        <v>372</v>
      </c>
      <c r="C512" t="s">
        <v>121</v>
      </c>
      <c r="D512" s="2" t="s">
        <v>177</v>
      </c>
      <c r="F512" s="47" t="s">
        <v>185</v>
      </c>
      <c r="H512" s="47" t="s">
        <v>47</v>
      </c>
      <c r="I512" s="47" t="s">
        <v>30</v>
      </c>
      <c r="J512" s="47" t="s">
        <v>35</v>
      </c>
    </row>
    <row r="513" spans="2:10" ht="13.5" customHeight="1">
      <c r="B513">
        <v>373</v>
      </c>
      <c r="C513" t="s">
        <v>121</v>
      </c>
      <c r="D513" s="2" t="s">
        <v>177</v>
      </c>
      <c r="F513" s="47" t="s">
        <v>185</v>
      </c>
      <c r="H513" s="47" t="s">
        <v>47</v>
      </c>
      <c r="I513" s="47" t="s">
        <v>30</v>
      </c>
      <c r="J513" s="47" t="s">
        <v>35</v>
      </c>
    </row>
    <row r="514" spans="2:10" ht="13.5" customHeight="1">
      <c r="B514">
        <v>374</v>
      </c>
      <c r="C514" t="s">
        <v>121</v>
      </c>
      <c r="D514" s="2" t="s">
        <v>177</v>
      </c>
      <c r="F514" s="47" t="s">
        <v>185</v>
      </c>
      <c r="H514" s="47" t="s">
        <v>47</v>
      </c>
      <c r="I514" s="47" t="s">
        <v>30</v>
      </c>
      <c r="J514" s="47" t="s">
        <v>35</v>
      </c>
    </row>
    <row r="515" spans="2:10" ht="13.5" customHeight="1">
      <c r="B515">
        <v>375</v>
      </c>
      <c r="C515" t="s">
        <v>121</v>
      </c>
      <c r="D515" s="2" t="s">
        <v>177</v>
      </c>
      <c r="F515" s="47" t="s">
        <v>185</v>
      </c>
      <c r="H515" s="47" t="s">
        <v>47</v>
      </c>
      <c r="I515" s="47" t="s">
        <v>30</v>
      </c>
      <c r="J515" s="47" t="s">
        <v>35</v>
      </c>
    </row>
    <row r="516" spans="2:10" ht="13.5" customHeight="1">
      <c r="B516">
        <v>376</v>
      </c>
      <c r="C516" t="s">
        <v>121</v>
      </c>
      <c r="D516" s="2" t="s">
        <v>177</v>
      </c>
      <c r="F516" s="47" t="s">
        <v>185</v>
      </c>
      <c r="H516" s="47" t="s">
        <v>47</v>
      </c>
      <c r="I516" s="47" t="s">
        <v>30</v>
      </c>
      <c r="J516" s="47" t="s">
        <v>35</v>
      </c>
    </row>
    <row r="517" spans="2:10" ht="13.5" customHeight="1">
      <c r="B517">
        <v>377</v>
      </c>
      <c r="C517" t="s">
        <v>121</v>
      </c>
      <c r="D517" s="2" t="s">
        <v>177</v>
      </c>
      <c r="F517" s="47" t="s">
        <v>185</v>
      </c>
      <c r="H517" s="47" t="s">
        <v>47</v>
      </c>
      <c r="I517" s="47" t="s">
        <v>30</v>
      </c>
      <c r="J517" s="47" t="s">
        <v>35</v>
      </c>
    </row>
    <row r="518" spans="2:10" ht="13.5" customHeight="1">
      <c r="B518">
        <v>378</v>
      </c>
      <c r="C518" t="s">
        <v>121</v>
      </c>
      <c r="D518" s="2" t="s">
        <v>177</v>
      </c>
      <c r="F518" s="47" t="s">
        <v>185</v>
      </c>
      <c r="H518" s="47" t="s">
        <v>47</v>
      </c>
      <c r="I518" s="47" t="s">
        <v>30</v>
      </c>
      <c r="J518" s="47" t="s">
        <v>35</v>
      </c>
    </row>
    <row r="519" spans="2:10" ht="13.5" customHeight="1">
      <c r="B519">
        <v>379</v>
      </c>
      <c r="C519" t="s">
        <v>121</v>
      </c>
      <c r="D519" s="2" t="s">
        <v>177</v>
      </c>
      <c r="F519" s="47" t="s">
        <v>185</v>
      </c>
      <c r="H519" s="47" t="s">
        <v>47</v>
      </c>
      <c r="I519" s="47" t="s">
        <v>30</v>
      </c>
      <c r="J519" s="47" t="s">
        <v>35</v>
      </c>
    </row>
    <row r="520" spans="2:10" ht="13.5" customHeight="1">
      <c r="B520">
        <v>380</v>
      </c>
      <c r="C520" t="s">
        <v>121</v>
      </c>
      <c r="D520" s="2" t="s">
        <v>177</v>
      </c>
      <c r="F520" s="47" t="s">
        <v>185</v>
      </c>
      <c r="H520" s="47" t="s">
        <v>47</v>
      </c>
      <c r="I520" s="47" t="s">
        <v>30</v>
      </c>
      <c r="J520" s="47" t="s">
        <v>35</v>
      </c>
    </row>
    <row r="521" spans="2:10" ht="13.5" customHeight="1">
      <c r="B521">
        <v>381</v>
      </c>
      <c r="C521" t="s">
        <v>121</v>
      </c>
      <c r="D521" s="2" t="s">
        <v>177</v>
      </c>
      <c r="F521" s="47" t="s">
        <v>185</v>
      </c>
      <c r="H521" s="47" t="s">
        <v>47</v>
      </c>
      <c r="I521" s="47" t="s">
        <v>30</v>
      </c>
      <c r="J521" s="47" t="s">
        <v>35</v>
      </c>
    </row>
    <row r="522" spans="2:10" ht="13.5" customHeight="1">
      <c r="B522">
        <v>382</v>
      </c>
      <c r="C522" t="s">
        <v>121</v>
      </c>
      <c r="D522" s="2" t="s">
        <v>177</v>
      </c>
      <c r="F522" s="47" t="s">
        <v>185</v>
      </c>
      <c r="H522" s="47" t="s">
        <v>47</v>
      </c>
      <c r="I522" s="47" t="s">
        <v>30</v>
      </c>
      <c r="J522" s="47" t="s">
        <v>35</v>
      </c>
    </row>
    <row r="523" spans="2:10" ht="13.5" customHeight="1">
      <c r="B523">
        <v>383</v>
      </c>
      <c r="C523" t="s">
        <v>121</v>
      </c>
      <c r="D523" s="2" t="s">
        <v>177</v>
      </c>
      <c r="F523" s="47" t="s">
        <v>185</v>
      </c>
      <c r="H523" s="47" t="s">
        <v>47</v>
      </c>
      <c r="I523" s="47" t="s">
        <v>30</v>
      </c>
      <c r="J523" s="47" t="s">
        <v>35</v>
      </c>
    </row>
    <row r="524" spans="2:10" ht="13.5" customHeight="1">
      <c r="B524">
        <v>384</v>
      </c>
      <c r="C524" t="s">
        <v>121</v>
      </c>
      <c r="D524" s="2" t="s">
        <v>177</v>
      </c>
      <c r="F524" s="47" t="s">
        <v>185</v>
      </c>
      <c r="H524" s="47" t="s">
        <v>47</v>
      </c>
      <c r="I524" s="47" t="s">
        <v>30</v>
      </c>
      <c r="J524" s="47" t="s">
        <v>35</v>
      </c>
    </row>
    <row r="525" spans="2:10" ht="13.5" customHeight="1">
      <c r="B525">
        <v>385</v>
      </c>
      <c r="C525" t="s">
        <v>121</v>
      </c>
      <c r="D525" s="2" t="s">
        <v>177</v>
      </c>
      <c r="F525" s="47" t="s">
        <v>185</v>
      </c>
      <c r="H525" s="47" t="s">
        <v>47</v>
      </c>
      <c r="I525" s="47" t="s">
        <v>30</v>
      </c>
      <c r="J525" s="47" t="s">
        <v>35</v>
      </c>
    </row>
    <row r="526" spans="2:10" ht="13.5" customHeight="1">
      <c r="B526">
        <v>386</v>
      </c>
      <c r="C526" t="s">
        <v>121</v>
      </c>
      <c r="D526" s="2" t="s">
        <v>177</v>
      </c>
      <c r="F526" s="47" t="s">
        <v>185</v>
      </c>
      <c r="H526" s="47" t="s">
        <v>47</v>
      </c>
      <c r="I526" s="47" t="s">
        <v>30</v>
      </c>
      <c r="J526" s="47" t="s">
        <v>35</v>
      </c>
    </row>
    <row r="527" spans="2:10" ht="13.5" customHeight="1">
      <c r="B527">
        <v>387</v>
      </c>
      <c r="C527" t="s">
        <v>121</v>
      </c>
      <c r="D527" s="2" t="s">
        <v>177</v>
      </c>
      <c r="F527" s="47" t="s">
        <v>185</v>
      </c>
      <c r="H527" s="47" t="s">
        <v>47</v>
      </c>
      <c r="I527" s="47" t="s">
        <v>30</v>
      </c>
      <c r="J527" s="47" t="s">
        <v>35</v>
      </c>
    </row>
    <row r="528" spans="2:10" ht="13.5" customHeight="1">
      <c r="B528">
        <v>388</v>
      </c>
      <c r="C528" t="s">
        <v>121</v>
      </c>
      <c r="D528" s="2" t="s">
        <v>177</v>
      </c>
      <c r="F528" s="47" t="s">
        <v>185</v>
      </c>
      <c r="H528" s="47" t="s">
        <v>47</v>
      </c>
      <c r="I528" s="47" t="s">
        <v>30</v>
      </c>
      <c r="J528" s="47" t="s">
        <v>35</v>
      </c>
    </row>
    <row r="529" spans="1:35" ht="13.5" customHeight="1">
      <c r="B529">
        <v>389</v>
      </c>
      <c r="C529" t="s">
        <v>121</v>
      </c>
      <c r="D529" s="2" t="s">
        <v>177</v>
      </c>
      <c r="F529" s="47" t="s">
        <v>185</v>
      </c>
      <c r="H529" s="47" t="s">
        <v>47</v>
      </c>
      <c r="I529" s="47" t="s">
        <v>30</v>
      </c>
      <c r="J529" s="47" t="s">
        <v>35</v>
      </c>
    </row>
    <row r="530" spans="1:35" ht="13.5" customHeight="1">
      <c r="B530">
        <v>390</v>
      </c>
      <c r="C530" t="s">
        <v>121</v>
      </c>
      <c r="D530" s="2" t="s">
        <v>177</v>
      </c>
      <c r="F530" s="47" t="s">
        <v>185</v>
      </c>
      <c r="H530" s="47" t="s">
        <v>47</v>
      </c>
      <c r="I530" s="47" t="s">
        <v>30</v>
      </c>
      <c r="J530" s="47" t="s">
        <v>35</v>
      </c>
    </row>
    <row r="531" spans="1:35" ht="13.5" customHeight="1">
      <c r="B531">
        <v>391</v>
      </c>
      <c r="C531" t="s">
        <v>121</v>
      </c>
      <c r="D531" s="2" t="s">
        <v>177</v>
      </c>
      <c r="F531" s="47" t="s">
        <v>185</v>
      </c>
      <c r="H531" s="47" t="s">
        <v>47</v>
      </c>
      <c r="I531" s="47" t="s">
        <v>30</v>
      </c>
      <c r="J531" s="47" t="s">
        <v>35</v>
      </c>
    </row>
    <row r="532" spans="1:35" ht="13.5" customHeight="1">
      <c r="B532">
        <v>392</v>
      </c>
      <c r="C532" t="s">
        <v>121</v>
      </c>
      <c r="D532" s="2" t="s">
        <v>177</v>
      </c>
      <c r="F532" s="47" t="s">
        <v>185</v>
      </c>
      <c r="H532" s="47" t="s">
        <v>47</v>
      </c>
      <c r="I532" s="47" t="s">
        <v>30</v>
      </c>
      <c r="J532" s="47" t="s">
        <v>35</v>
      </c>
    </row>
    <row r="533" spans="1:35" ht="13.5" customHeight="1">
      <c r="B533">
        <v>393</v>
      </c>
      <c r="C533" t="s">
        <v>121</v>
      </c>
      <c r="D533" s="2" t="s">
        <v>177</v>
      </c>
      <c r="F533" s="47" t="s">
        <v>185</v>
      </c>
      <c r="H533" s="47" t="s">
        <v>47</v>
      </c>
      <c r="I533" s="47" t="s">
        <v>30</v>
      </c>
      <c r="J533" s="47" t="s">
        <v>35</v>
      </c>
    </row>
    <row r="534" spans="1:35" ht="13.5" customHeight="1">
      <c r="B534">
        <v>395</v>
      </c>
      <c r="C534" t="s">
        <v>121</v>
      </c>
      <c r="D534" s="47" t="s">
        <v>1124</v>
      </c>
      <c r="F534" t="s">
        <v>1117</v>
      </c>
    </row>
    <row r="535" spans="1:35" ht="13.5" customHeight="1">
      <c r="B535">
        <v>396</v>
      </c>
      <c r="C535" t="s">
        <v>121</v>
      </c>
      <c r="D535" s="47" t="s">
        <v>1124</v>
      </c>
      <c r="F535" t="s">
        <v>1118</v>
      </c>
    </row>
    <row r="536" spans="1:35" ht="13.5" customHeight="1">
      <c r="B536">
        <v>397</v>
      </c>
      <c r="C536" t="s">
        <v>121</v>
      </c>
      <c r="D536" s="47" t="s">
        <v>1124</v>
      </c>
      <c r="F536" t="s">
        <v>1119</v>
      </c>
    </row>
    <row r="537" spans="1:35" ht="13.5" customHeight="1">
      <c r="B537">
        <v>398</v>
      </c>
      <c r="C537" t="s">
        <v>121</v>
      </c>
      <c r="D537" s="47" t="s">
        <v>1124</v>
      </c>
      <c r="F537" t="s">
        <v>1120</v>
      </c>
    </row>
    <row r="538" spans="1:35" ht="13.5" customHeight="1">
      <c r="B538">
        <v>399</v>
      </c>
      <c r="C538" t="s">
        <v>121</v>
      </c>
      <c r="D538" s="47" t="s">
        <v>1124</v>
      </c>
      <c r="F538" t="s">
        <v>1121</v>
      </c>
    </row>
    <row r="539" spans="1:35" ht="13.5" customHeight="1">
      <c r="B539">
        <v>400</v>
      </c>
      <c r="C539" t="s">
        <v>121</v>
      </c>
      <c r="D539" s="47" t="s">
        <v>1124</v>
      </c>
      <c r="F539" t="s">
        <v>1122</v>
      </c>
    </row>
    <row r="540" spans="1:35" ht="13.5" customHeight="1">
      <c r="B540">
        <v>401</v>
      </c>
      <c r="C540" t="s">
        <v>121</v>
      </c>
      <c r="D540" s="47" t="s">
        <v>1124</v>
      </c>
      <c r="F540" t="s">
        <v>1123</v>
      </c>
    </row>
    <row r="541" spans="1:35" ht="13.5" customHeight="1">
      <c r="B541">
        <v>402</v>
      </c>
      <c r="C541" t="s">
        <v>121</v>
      </c>
      <c r="D541" t="s">
        <v>224</v>
      </c>
    </row>
    <row r="542" spans="1:35" s="48" customFormat="1" ht="13.5" customHeight="1">
      <c r="A542" s="47"/>
      <c r="B542">
        <v>403</v>
      </c>
      <c r="C542" t="s">
        <v>121</v>
      </c>
      <c r="D542" t="s">
        <v>224</v>
      </c>
      <c r="E542" s="47"/>
      <c r="F542" s="47"/>
      <c r="G542" s="47"/>
      <c r="H542" s="47"/>
      <c r="I542" s="47"/>
      <c r="J542" s="47"/>
      <c r="K542" s="47"/>
      <c r="L542" s="47"/>
      <c r="M542" s="47"/>
      <c r="N542" s="47"/>
      <c r="O542" s="47"/>
      <c r="P542" s="47"/>
      <c r="Q542" s="47"/>
      <c r="R542" s="47"/>
      <c r="S542" s="47"/>
      <c r="T542" s="47"/>
      <c r="U542" s="47"/>
      <c r="V542" s="47"/>
      <c r="W542" s="47"/>
      <c r="X542" s="47"/>
      <c r="Y542" s="47"/>
      <c r="Z542" s="47"/>
      <c r="AA542" s="47"/>
      <c r="AB542" s="47"/>
      <c r="AC542" s="47"/>
      <c r="AD542" s="47"/>
      <c r="AE542" s="47"/>
      <c r="AF542" s="47"/>
      <c r="AG542" s="47"/>
      <c r="AH542" s="47"/>
      <c r="AI542" s="47"/>
    </row>
    <row r="543" spans="1:35" s="48" customFormat="1" ht="13.5" customHeight="1">
      <c r="A543" s="47"/>
      <c r="B543">
        <v>404</v>
      </c>
      <c r="C543" t="s">
        <v>121</v>
      </c>
      <c r="D543" t="s">
        <v>224</v>
      </c>
      <c r="E543" s="47"/>
      <c r="F543" s="47"/>
      <c r="G543" s="47"/>
      <c r="H543" s="47"/>
      <c r="I543" s="47"/>
      <c r="J543" s="47"/>
      <c r="K543" s="47"/>
      <c r="L543" s="47"/>
      <c r="M543" s="47"/>
      <c r="N543" s="47"/>
      <c r="O543" s="47"/>
      <c r="P543" s="47"/>
      <c r="Q543" s="47"/>
      <c r="R543" s="47"/>
      <c r="S543" s="47"/>
      <c r="T543" s="47"/>
      <c r="U543" s="47"/>
      <c r="V543" s="47"/>
      <c r="W543" s="47"/>
      <c r="X543" s="47"/>
      <c r="Y543" s="47"/>
      <c r="Z543" s="47"/>
      <c r="AA543" s="47"/>
      <c r="AB543" s="47"/>
      <c r="AC543" s="47"/>
      <c r="AD543" s="47"/>
      <c r="AE543" s="47"/>
      <c r="AF543" s="47"/>
      <c r="AG543" s="47"/>
      <c r="AH543" s="47"/>
      <c r="AI543" s="47"/>
    </row>
    <row r="544" spans="1:35" s="48" customFormat="1" ht="13.5" customHeight="1">
      <c r="A544" s="47"/>
      <c r="B544">
        <v>405</v>
      </c>
      <c r="C544" t="s">
        <v>121</v>
      </c>
      <c r="D544" t="s">
        <v>224</v>
      </c>
      <c r="E544" s="47"/>
      <c r="F544" s="47"/>
      <c r="G544" s="47"/>
      <c r="H544" s="47"/>
      <c r="I544" s="47"/>
      <c r="J544" s="47"/>
      <c r="K544" s="47"/>
      <c r="L544" s="47"/>
      <c r="M544" s="47"/>
      <c r="N544" s="47"/>
      <c r="O544" s="47"/>
      <c r="P544" s="47"/>
      <c r="Q544" s="47"/>
      <c r="R544" s="47"/>
      <c r="S544" s="47"/>
      <c r="T544" s="47"/>
      <c r="U544" s="47"/>
      <c r="V544" s="47"/>
      <c r="W544" s="47"/>
      <c r="X544" s="47"/>
      <c r="Y544" s="47"/>
      <c r="Z544" s="47"/>
      <c r="AA544" s="47"/>
      <c r="AB544" s="47"/>
      <c r="AC544" s="47"/>
      <c r="AD544" s="47"/>
      <c r="AE544" s="47"/>
      <c r="AF544" s="47"/>
      <c r="AG544" s="47"/>
      <c r="AH544" s="47"/>
      <c r="AI544" s="47"/>
    </row>
    <row r="545" spans="1:35" s="48" customFormat="1" ht="13.5" customHeight="1">
      <c r="A545" s="47"/>
      <c r="B545">
        <v>406</v>
      </c>
      <c r="C545" t="s">
        <v>121</v>
      </c>
      <c r="D545" t="s">
        <v>224</v>
      </c>
      <c r="E545" s="47"/>
      <c r="F545" s="47"/>
      <c r="G545" s="47"/>
      <c r="H545" s="47"/>
      <c r="I545" s="47"/>
      <c r="J545" s="47"/>
      <c r="K545" s="47"/>
      <c r="L545" s="47"/>
      <c r="M545" s="47"/>
      <c r="N545" s="47"/>
      <c r="O545" s="47"/>
      <c r="P545" s="47"/>
      <c r="Q545" s="47"/>
      <c r="R545" s="47"/>
      <c r="S545" s="47"/>
      <c r="T545" s="47"/>
      <c r="U545" s="47"/>
      <c r="V545" s="47"/>
      <c r="W545" s="47"/>
      <c r="X545" s="47"/>
      <c r="Y545" s="47"/>
      <c r="Z545" s="47"/>
      <c r="AA545" s="47"/>
      <c r="AB545" s="47"/>
      <c r="AC545" s="47"/>
      <c r="AD545" s="47"/>
      <c r="AE545" s="47"/>
      <c r="AF545" s="47"/>
      <c r="AG545" s="47"/>
      <c r="AH545" s="47"/>
      <c r="AI545" s="47"/>
    </row>
    <row r="546" spans="1:35" s="48" customFormat="1" ht="13.5" customHeight="1">
      <c r="A546" s="47"/>
      <c r="B546" s="47">
        <v>416</v>
      </c>
      <c r="C546" s="47" t="s">
        <v>123</v>
      </c>
      <c r="D546" s="47" t="s">
        <v>171</v>
      </c>
      <c r="E546" s="47"/>
      <c r="F546" s="47"/>
      <c r="G546" s="47"/>
      <c r="H546" s="47" t="s">
        <v>287</v>
      </c>
      <c r="I546" s="47" t="s">
        <v>288</v>
      </c>
      <c r="J546" s="47"/>
      <c r="K546" s="47"/>
      <c r="L546" s="15"/>
      <c r="M546" s="15" t="s">
        <v>205</v>
      </c>
      <c r="N546" s="47"/>
      <c r="O546" s="47" t="s">
        <v>30</v>
      </c>
      <c r="P546" s="47" t="s">
        <v>46</v>
      </c>
      <c r="Q546" s="47"/>
      <c r="R546" s="47"/>
      <c r="S546" s="47"/>
      <c r="T546" s="47"/>
      <c r="U546" s="47"/>
      <c r="V546" s="47"/>
      <c r="W546" s="47"/>
      <c r="X546" s="47"/>
      <c r="Y546" s="47"/>
      <c r="Z546" s="47"/>
      <c r="AA546" s="47"/>
      <c r="AB546" s="47"/>
      <c r="AC546" s="47"/>
      <c r="AD546" s="47"/>
      <c r="AE546" s="47"/>
      <c r="AF546" s="47"/>
      <c r="AG546" s="47"/>
      <c r="AH546" s="47"/>
      <c r="AI546" s="47"/>
    </row>
    <row r="547" spans="1:35" s="48" customFormat="1" ht="13.5" customHeight="1">
      <c r="A547" s="47"/>
      <c r="B547" s="47">
        <v>417</v>
      </c>
      <c r="C547" s="47" t="s">
        <v>124</v>
      </c>
      <c r="D547" s="47" t="s">
        <v>224</v>
      </c>
      <c r="E547" s="47" t="s">
        <v>225</v>
      </c>
      <c r="F547" s="47"/>
      <c r="G547" s="47"/>
      <c r="H547" s="47" t="s">
        <v>287</v>
      </c>
      <c r="I547" s="47" t="s">
        <v>288</v>
      </c>
      <c r="J547" s="47"/>
      <c r="K547" s="47"/>
      <c r="L547" s="15"/>
      <c r="M547" s="15" t="s">
        <v>289</v>
      </c>
      <c r="N547" s="47" t="s">
        <v>290</v>
      </c>
      <c r="O547" s="47" t="s">
        <v>30</v>
      </c>
      <c r="P547" s="47" t="s">
        <v>46</v>
      </c>
      <c r="Q547" s="47"/>
      <c r="R547" s="47"/>
      <c r="S547" s="47"/>
      <c r="T547" s="47"/>
      <c r="U547" s="47"/>
      <c r="V547" s="47"/>
      <c r="W547" s="47"/>
      <c r="X547" s="47"/>
      <c r="Y547" s="47"/>
      <c r="Z547" s="47"/>
      <c r="AA547" s="47"/>
      <c r="AB547" s="47"/>
      <c r="AC547" s="47"/>
      <c r="AD547" s="47"/>
      <c r="AE547" s="47"/>
      <c r="AF547" s="47"/>
      <c r="AG547" s="47"/>
      <c r="AH547" s="47"/>
      <c r="AI547" s="47"/>
    </row>
    <row r="548" spans="1:35" s="48" customFormat="1" ht="13.5" customHeight="1">
      <c r="A548" s="47"/>
      <c r="B548" s="47">
        <v>418</v>
      </c>
      <c r="C548" s="47" t="s">
        <v>124</v>
      </c>
      <c r="D548" s="47" t="s">
        <v>224</v>
      </c>
      <c r="E548" s="47" t="s">
        <v>225</v>
      </c>
      <c r="F548" s="47"/>
      <c r="G548" s="47"/>
      <c r="H548" s="47" t="s">
        <v>287</v>
      </c>
      <c r="I548" s="47" t="s">
        <v>288</v>
      </c>
      <c r="J548" s="47"/>
      <c r="K548" s="47"/>
      <c r="L548" s="15"/>
      <c r="M548" s="15" t="s">
        <v>289</v>
      </c>
      <c r="N548" s="47" t="s">
        <v>290</v>
      </c>
      <c r="O548" s="47" t="s">
        <v>30</v>
      </c>
      <c r="P548" s="47" t="s">
        <v>46</v>
      </c>
      <c r="Q548" s="47"/>
      <c r="R548" s="47"/>
      <c r="S548" s="47"/>
      <c r="T548" s="47"/>
      <c r="U548" s="47"/>
      <c r="V548" s="47"/>
      <c r="W548" s="47"/>
      <c r="X548" s="47"/>
      <c r="Y548" s="47"/>
      <c r="Z548" s="47"/>
      <c r="AA548" s="47"/>
      <c r="AB548" s="47"/>
      <c r="AC548" s="47"/>
      <c r="AD548" s="47"/>
      <c r="AE548" s="47"/>
      <c r="AF548" s="47"/>
      <c r="AG548" s="47"/>
      <c r="AH548" s="47"/>
      <c r="AI548" s="47"/>
    </row>
    <row r="549" spans="1:35" s="48" customFormat="1" ht="13.5" customHeight="1">
      <c r="A549" s="47"/>
      <c r="B549" s="47">
        <v>419</v>
      </c>
      <c r="C549" s="47" t="s">
        <v>124</v>
      </c>
      <c r="D549" s="47" t="s">
        <v>224</v>
      </c>
      <c r="E549" s="47" t="s">
        <v>227</v>
      </c>
      <c r="F549" s="47"/>
      <c r="G549" s="47"/>
      <c r="H549" s="47" t="s">
        <v>287</v>
      </c>
      <c r="I549" s="47" t="s">
        <v>288</v>
      </c>
      <c r="J549" s="47"/>
      <c r="K549" s="47"/>
      <c r="L549" s="15"/>
      <c r="M549" s="15" t="s">
        <v>289</v>
      </c>
      <c r="N549" s="47" t="s">
        <v>290</v>
      </c>
      <c r="O549" s="47" t="s">
        <v>30</v>
      </c>
      <c r="P549" s="47" t="s">
        <v>46</v>
      </c>
      <c r="Q549" s="47"/>
      <c r="R549" s="47"/>
      <c r="S549" s="47"/>
      <c r="T549" s="47"/>
      <c r="U549" s="47"/>
      <c r="V549" s="47"/>
      <c r="W549" s="47"/>
      <c r="X549" s="47"/>
      <c r="Y549" s="47"/>
      <c r="Z549" s="47"/>
      <c r="AA549" s="47"/>
      <c r="AB549" s="47"/>
      <c r="AC549" s="47"/>
      <c r="AD549" s="47"/>
      <c r="AE549" s="47"/>
      <c r="AF549" s="47"/>
      <c r="AG549" s="47"/>
      <c r="AH549" s="47"/>
      <c r="AI549" s="47"/>
    </row>
    <row r="550" spans="1:35" s="48" customFormat="1" ht="13.5" customHeight="1">
      <c r="A550" s="47"/>
      <c r="B550" s="47">
        <v>420</v>
      </c>
      <c r="C550" s="47" t="s">
        <v>124</v>
      </c>
      <c r="D550" s="47" t="s">
        <v>224</v>
      </c>
      <c r="E550" s="47" t="s">
        <v>227</v>
      </c>
      <c r="F550" s="47"/>
      <c r="G550" s="47"/>
      <c r="H550" s="47" t="s">
        <v>287</v>
      </c>
      <c r="I550" s="47" t="s">
        <v>288</v>
      </c>
      <c r="J550" s="47"/>
      <c r="K550" s="47"/>
      <c r="L550" s="15"/>
      <c r="M550" s="15" t="s">
        <v>289</v>
      </c>
      <c r="N550" s="47" t="s">
        <v>290</v>
      </c>
      <c r="O550" s="47" t="s">
        <v>30</v>
      </c>
      <c r="P550" s="47" t="s">
        <v>46</v>
      </c>
      <c r="Q550" s="47"/>
      <c r="R550" s="47"/>
      <c r="S550" s="47"/>
      <c r="T550" s="47"/>
      <c r="U550" s="47"/>
      <c r="V550" s="47"/>
      <c r="W550" s="47"/>
      <c r="X550" s="47"/>
      <c r="Y550" s="47"/>
      <c r="Z550" s="47"/>
      <c r="AA550" s="47"/>
      <c r="AB550" s="47"/>
      <c r="AC550" s="47"/>
      <c r="AD550" s="47"/>
      <c r="AE550" s="47"/>
      <c r="AF550" s="47"/>
      <c r="AG550" s="47"/>
      <c r="AH550" s="47"/>
      <c r="AI550" s="47"/>
    </row>
    <row r="551" spans="1:35" s="48" customFormat="1" ht="13.5" customHeight="1">
      <c r="A551" s="47"/>
      <c r="B551" s="47">
        <v>421</v>
      </c>
      <c r="C551" s="47" t="s">
        <v>124</v>
      </c>
      <c r="D551" s="47" t="s">
        <v>224</v>
      </c>
      <c r="E551" s="47" t="s">
        <v>267</v>
      </c>
      <c r="F551" s="47"/>
      <c r="G551" s="47"/>
      <c r="H551" s="47" t="s">
        <v>287</v>
      </c>
      <c r="I551" s="47" t="s">
        <v>288</v>
      </c>
      <c r="J551" s="47"/>
      <c r="K551" s="47"/>
      <c r="L551" s="15"/>
      <c r="M551" s="15" t="s">
        <v>291</v>
      </c>
      <c r="N551" s="47" t="s">
        <v>290</v>
      </c>
      <c r="O551" s="47" t="s">
        <v>30</v>
      </c>
      <c r="P551" s="47" t="s">
        <v>46</v>
      </c>
      <c r="Q551" s="47"/>
      <c r="R551" s="47"/>
      <c r="S551" s="47"/>
      <c r="T551" s="47"/>
      <c r="U551" s="47"/>
      <c r="V551" s="47"/>
      <c r="W551" s="47"/>
      <c r="X551" s="47"/>
      <c r="Y551" s="47"/>
      <c r="Z551" s="47"/>
      <c r="AA551" s="47"/>
      <c r="AB551" s="47"/>
      <c r="AC551" s="47"/>
      <c r="AD551" s="47"/>
      <c r="AE551" s="47"/>
      <c r="AF551" s="47"/>
      <c r="AG551" s="47"/>
      <c r="AH551" s="47"/>
      <c r="AI551" s="47"/>
    </row>
    <row r="552" spans="1:35" s="48" customFormat="1" ht="13.5" customHeight="1">
      <c r="A552" s="47"/>
      <c r="B552" s="47">
        <v>422</v>
      </c>
      <c r="C552" s="47" t="s">
        <v>124</v>
      </c>
      <c r="D552" s="47" t="s">
        <v>224</v>
      </c>
      <c r="E552" s="16" t="s">
        <v>1103</v>
      </c>
      <c r="F552" s="47"/>
      <c r="G552" s="47"/>
      <c r="H552" s="47" t="s">
        <v>287</v>
      </c>
      <c r="I552" s="47" t="s">
        <v>288</v>
      </c>
      <c r="J552" s="47"/>
      <c r="K552" s="47"/>
      <c r="L552" s="15"/>
      <c r="M552" s="15" t="s">
        <v>291</v>
      </c>
      <c r="N552" s="47" t="s">
        <v>290</v>
      </c>
      <c r="O552" s="47" t="s">
        <v>30</v>
      </c>
      <c r="P552" s="47" t="s">
        <v>46</v>
      </c>
      <c r="Q552" s="47"/>
      <c r="R552" s="47"/>
      <c r="S552" s="47"/>
      <c r="T552" s="47"/>
      <c r="U552" s="47"/>
      <c r="V552" s="47"/>
      <c r="W552" s="47"/>
      <c r="X552" s="47"/>
      <c r="Y552" s="47"/>
      <c r="Z552" s="47"/>
      <c r="AA552" s="47"/>
      <c r="AB552" s="47"/>
      <c r="AC552" s="47"/>
      <c r="AD552" s="47"/>
      <c r="AE552" s="47"/>
      <c r="AF552" s="47"/>
      <c r="AG552" s="47"/>
      <c r="AH552" s="47"/>
      <c r="AI552" s="47"/>
    </row>
    <row r="553" spans="1:35" s="48" customFormat="1" ht="13.5" customHeight="1">
      <c r="A553" s="47"/>
      <c r="B553" s="47">
        <v>423</v>
      </c>
      <c r="C553" s="47" t="s">
        <v>124</v>
      </c>
      <c r="D553" s="47" t="s">
        <v>224</v>
      </c>
      <c r="E553" s="47" t="s">
        <v>228</v>
      </c>
      <c r="F553" s="47"/>
      <c r="G553" s="47"/>
      <c r="H553" s="47" t="s">
        <v>287</v>
      </c>
      <c r="I553" s="47" t="s">
        <v>288</v>
      </c>
      <c r="J553" s="47"/>
      <c r="K553" s="47"/>
      <c r="L553" s="15"/>
      <c r="M553" s="15" t="s">
        <v>291</v>
      </c>
      <c r="N553" s="47" t="s">
        <v>290</v>
      </c>
      <c r="O553" s="47" t="s">
        <v>30</v>
      </c>
      <c r="P553" s="47" t="s">
        <v>46</v>
      </c>
      <c r="Q553" s="47"/>
      <c r="R553" s="47"/>
      <c r="S553" s="47"/>
      <c r="T553" s="47"/>
      <c r="U553" s="47"/>
      <c r="V553" s="47"/>
      <c r="W553" s="47"/>
      <c r="X553" s="47"/>
      <c r="Y553" s="47"/>
      <c r="Z553" s="47"/>
      <c r="AA553" s="47"/>
      <c r="AB553" s="47"/>
      <c r="AC553" s="47"/>
      <c r="AD553" s="47"/>
      <c r="AE553" s="47"/>
      <c r="AF553" s="47"/>
      <c r="AG553" s="47"/>
      <c r="AH553" s="47"/>
      <c r="AI553" s="47"/>
    </row>
    <row r="554" spans="1:35" s="48" customFormat="1" ht="13.5" customHeight="1">
      <c r="A554" s="47"/>
      <c r="B554" s="47">
        <v>424</v>
      </c>
      <c r="C554" s="47" t="s">
        <v>124</v>
      </c>
      <c r="D554" s="47" t="s">
        <v>224</v>
      </c>
      <c r="E554" s="47" t="s">
        <v>272</v>
      </c>
      <c r="F554" s="47"/>
      <c r="G554" s="47"/>
      <c r="H554" s="47" t="s">
        <v>287</v>
      </c>
      <c r="I554" s="47" t="s">
        <v>288</v>
      </c>
      <c r="J554" s="47"/>
      <c r="K554" s="47"/>
      <c r="L554" s="15"/>
      <c r="M554" s="15" t="s">
        <v>292</v>
      </c>
      <c r="N554" s="47" t="s">
        <v>290</v>
      </c>
      <c r="O554" s="47" t="s">
        <v>30</v>
      </c>
      <c r="P554" s="47" t="s">
        <v>46</v>
      </c>
      <c r="Q554" s="47"/>
      <c r="R554" s="47"/>
      <c r="S554" s="47"/>
      <c r="T554" s="47"/>
      <c r="U554" s="47"/>
      <c r="V554" s="47"/>
      <c r="W554" s="47"/>
      <c r="X554" s="47"/>
      <c r="Y554" s="47"/>
      <c r="Z554" s="47"/>
      <c r="AA554" s="47"/>
      <c r="AB554" s="47"/>
      <c r="AC554" s="47"/>
      <c r="AD554" s="47"/>
      <c r="AE554" s="47"/>
      <c r="AF554" s="47"/>
      <c r="AG554" s="47"/>
      <c r="AH554" s="47"/>
      <c r="AI554" s="47"/>
    </row>
    <row r="555" spans="1:35" s="48" customFormat="1" ht="13.5" customHeight="1">
      <c r="A555" s="47"/>
      <c r="B555" s="47">
        <v>425</v>
      </c>
      <c r="C555" s="47" t="s">
        <v>124</v>
      </c>
      <c r="D555" s="47" t="s">
        <v>224</v>
      </c>
      <c r="E555" s="47" t="s">
        <v>1097</v>
      </c>
      <c r="F555" s="47"/>
      <c r="G555" s="47"/>
      <c r="H555" s="47" t="s">
        <v>287</v>
      </c>
      <c r="I555" s="47" t="s">
        <v>288</v>
      </c>
      <c r="J555" s="47"/>
      <c r="K555" s="47"/>
      <c r="L555" s="15"/>
      <c r="M555" s="15" t="s">
        <v>292</v>
      </c>
      <c r="N555" s="47" t="s">
        <v>290</v>
      </c>
      <c r="O555" s="47" t="s">
        <v>30</v>
      </c>
      <c r="P555" s="47" t="s">
        <v>46</v>
      </c>
      <c r="Q555" s="47"/>
      <c r="R555" s="47"/>
      <c r="S555" s="47"/>
      <c r="T555" s="47"/>
      <c r="U555" s="47"/>
      <c r="V555" s="47"/>
      <c r="W555" s="47"/>
      <c r="X555" s="47"/>
      <c r="Y555" s="47"/>
      <c r="Z555" s="47"/>
      <c r="AA555" s="47"/>
      <c r="AB555" s="47"/>
      <c r="AC555" s="47"/>
      <c r="AD555" s="47"/>
      <c r="AE555" s="47"/>
      <c r="AF555" s="47"/>
      <c r="AG555" s="47"/>
      <c r="AH555" s="47"/>
      <c r="AI555" s="47"/>
    </row>
    <row r="556" spans="1:35" s="48" customFormat="1" ht="13.5" customHeight="1">
      <c r="A556" s="47"/>
      <c r="B556" s="47">
        <v>426</v>
      </c>
      <c r="C556" s="47" t="s">
        <v>124</v>
      </c>
      <c r="D556" s="47" t="s">
        <v>224</v>
      </c>
      <c r="E556" s="47" t="s">
        <v>225</v>
      </c>
      <c r="F556" s="47"/>
      <c r="G556" s="47"/>
      <c r="H556" s="47" t="s">
        <v>287</v>
      </c>
      <c r="I556" s="47" t="s">
        <v>288</v>
      </c>
      <c r="J556" s="47"/>
      <c r="K556" s="47"/>
      <c r="L556" s="15"/>
      <c r="M556" s="15" t="s">
        <v>289</v>
      </c>
      <c r="N556" s="47" t="s">
        <v>293</v>
      </c>
      <c r="O556" s="47" t="s">
        <v>30</v>
      </c>
      <c r="P556" s="47" t="s">
        <v>46</v>
      </c>
      <c r="Q556" s="47"/>
      <c r="R556" s="47"/>
      <c r="S556" s="47"/>
      <c r="T556" s="47"/>
      <c r="U556" s="47"/>
      <c r="V556" s="47"/>
      <c r="W556" s="47"/>
      <c r="X556" s="47"/>
      <c r="Y556" s="47"/>
      <c r="Z556" s="47"/>
      <c r="AA556" s="47"/>
      <c r="AB556" s="47"/>
      <c r="AC556" s="47"/>
      <c r="AD556" s="47"/>
      <c r="AE556" s="47"/>
      <c r="AF556" s="47"/>
      <c r="AG556" s="47"/>
      <c r="AH556" s="47"/>
      <c r="AI556" s="47"/>
    </row>
    <row r="557" spans="1:35" s="48" customFormat="1" ht="13.5" customHeight="1">
      <c r="A557" s="47"/>
      <c r="B557" s="47">
        <v>427</v>
      </c>
      <c r="C557" s="47" t="s">
        <v>124</v>
      </c>
      <c r="D557" s="47" t="s">
        <v>224</v>
      </c>
      <c r="E557" s="47" t="s">
        <v>225</v>
      </c>
      <c r="F557" s="47"/>
      <c r="G557" s="47"/>
      <c r="H557" s="47" t="s">
        <v>287</v>
      </c>
      <c r="I557" s="47" t="s">
        <v>288</v>
      </c>
      <c r="J557" s="47"/>
      <c r="K557" s="47"/>
      <c r="L557" s="15"/>
      <c r="M557" s="15" t="s">
        <v>289</v>
      </c>
      <c r="N557" s="47" t="s">
        <v>294</v>
      </c>
      <c r="O557" s="47" t="s">
        <v>30</v>
      </c>
      <c r="P557" s="47" t="s">
        <v>46</v>
      </c>
      <c r="Q557" s="47"/>
      <c r="R557" s="47"/>
      <c r="S557" s="47"/>
      <c r="T557" s="47"/>
      <c r="U557" s="47"/>
      <c r="V557" s="47"/>
      <c r="W557" s="47"/>
      <c r="X557" s="47"/>
      <c r="Y557" s="47"/>
      <c r="Z557" s="47"/>
      <c r="AA557" s="47"/>
      <c r="AB557" s="47"/>
      <c r="AC557" s="47"/>
      <c r="AD557" s="47"/>
      <c r="AE557" s="47"/>
      <c r="AF557" s="47"/>
      <c r="AG557" s="47"/>
      <c r="AH557" s="47"/>
      <c r="AI557" s="47"/>
    </row>
    <row r="558" spans="1:35" ht="13.5" customHeight="1">
      <c r="B558" s="47">
        <v>428</v>
      </c>
      <c r="C558" s="47" t="s">
        <v>124</v>
      </c>
      <c r="D558" s="47" t="s">
        <v>224</v>
      </c>
      <c r="E558" s="47" t="s">
        <v>227</v>
      </c>
      <c r="H558" s="47" t="s">
        <v>287</v>
      </c>
      <c r="I558" s="47" t="s">
        <v>288</v>
      </c>
      <c r="L558" s="15"/>
      <c r="M558" s="15" t="s">
        <v>289</v>
      </c>
      <c r="N558" s="47" t="s">
        <v>293</v>
      </c>
      <c r="O558" s="47" t="s">
        <v>30</v>
      </c>
      <c r="P558" s="47" t="s">
        <v>46</v>
      </c>
    </row>
    <row r="559" spans="1:35" ht="13.5" customHeight="1">
      <c r="B559" s="47">
        <v>429</v>
      </c>
      <c r="C559" s="47" t="s">
        <v>124</v>
      </c>
      <c r="D559" s="47" t="s">
        <v>224</v>
      </c>
      <c r="E559" s="47" t="s">
        <v>227</v>
      </c>
      <c r="H559" s="47" t="s">
        <v>287</v>
      </c>
      <c r="I559" s="47" t="s">
        <v>288</v>
      </c>
      <c r="L559" s="15"/>
      <c r="M559" s="15" t="s">
        <v>289</v>
      </c>
      <c r="N559" s="47" t="s">
        <v>293</v>
      </c>
      <c r="O559" s="47" t="s">
        <v>30</v>
      </c>
      <c r="P559" s="47" t="s">
        <v>46</v>
      </c>
    </row>
    <row r="560" spans="1:35" ht="13.5" customHeight="1">
      <c r="B560" s="47">
        <v>430</v>
      </c>
      <c r="C560" s="47" t="s">
        <v>124</v>
      </c>
      <c r="D560" s="47" t="s">
        <v>224</v>
      </c>
      <c r="E560" s="47" t="s">
        <v>267</v>
      </c>
      <c r="H560" s="47" t="s">
        <v>287</v>
      </c>
      <c r="I560" s="47" t="s">
        <v>288</v>
      </c>
      <c r="L560" s="15"/>
      <c r="M560" s="15" t="s">
        <v>291</v>
      </c>
      <c r="N560" s="47" t="s">
        <v>293</v>
      </c>
      <c r="O560" s="47" t="s">
        <v>30</v>
      </c>
      <c r="P560" s="47" t="s">
        <v>46</v>
      </c>
    </row>
    <row r="561" spans="2:16" ht="13.5" customHeight="1">
      <c r="B561" s="47">
        <v>431</v>
      </c>
      <c r="C561" s="47" t="s">
        <v>124</v>
      </c>
      <c r="D561" s="47" t="s">
        <v>224</v>
      </c>
      <c r="E561" s="16" t="s">
        <v>1103</v>
      </c>
      <c r="H561" s="47" t="s">
        <v>287</v>
      </c>
      <c r="I561" s="47" t="s">
        <v>288</v>
      </c>
      <c r="L561" s="15"/>
      <c r="M561" s="15" t="s">
        <v>291</v>
      </c>
      <c r="N561" s="47" t="s">
        <v>293</v>
      </c>
      <c r="O561" s="47" t="s">
        <v>30</v>
      </c>
      <c r="P561" s="47" t="s">
        <v>46</v>
      </c>
    </row>
    <row r="562" spans="2:16" ht="13.5" customHeight="1">
      <c r="B562" s="47">
        <v>432</v>
      </c>
      <c r="C562" s="47" t="s">
        <v>124</v>
      </c>
      <c r="D562" s="47" t="s">
        <v>224</v>
      </c>
      <c r="E562" s="47" t="s">
        <v>228</v>
      </c>
      <c r="H562" s="47" t="s">
        <v>287</v>
      </c>
      <c r="I562" s="47" t="s">
        <v>288</v>
      </c>
      <c r="L562" s="15"/>
      <c r="M562" s="15" t="s">
        <v>291</v>
      </c>
      <c r="N562" s="47" t="s">
        <v>293</v>
      </c>
      <c r="O562" s="47" t="s">
        <v>30</v>
      </c>
      <c r="P562" s="47" t="s">
        <v>46</v>
      </c>
    </row>
    <row r="563" spans="2:16" ht="13.5" customHeight="1">
      <c r="B563" s="47">
        <v>433</v>
      </c>
      <c r="C563" s="47" t="s">
        <v>124</v>
      </c>
      <c r="D563" s="47" t="s">
        <v>224</v>
      </c>
      <c r="E563" s="47" t="s">
        <v>272</v>
      </c>
      <c r="H563" s="47" t="s">
        <v>287</v>
      </c>
      <c r="I563" s="47" t="s">
        <v>288</v>
      </c>
      <c r="L563" s="15"/>
      <c r="M563" s="15" t="s">
        <v>292</v>
      </c>
      <c r="N563" s="47" t="s">
        <v>293</v>
      </c>
      <c r="O563" s="47" t="s">
        <v>30</v>
      </c>
      <c r="P563" s="47" t="s">
        <v>46</v>
      </c>
    </row>
    <row r="564" spans="2:16" ht="13.5" customHeight="1">
      <c r="B564" s="47">
        <v>434</v>
      </c>
      <c r="C564" s="47" t="s">
        <v>124</v>
      </c>
      <c r="D564" s="47" t="s">
        <v>224</v>
      </c>
      <c r="E564" s="47" t="s">
        <v>1097</v>
      </c>
      <c r="H564" s="47" t="s">
        <v>287</v>
      </c>
      <c r="I564" s="47" t="s">
        <v>288</v>
      </c>
      <c r="L564" s="15"/>
      <c r="M564" s="15" t="s">
        <v>292</v>
      </c>
      <c r="N564" s="47" t="s">
        <v>293</v>
      </c>
      <c r="O564" s="47" t="s">
        <v>30</v>
      </c>
      <c r="P564" s="47" t="s">
        <v>46</v>
      </c>
    </row>
    <row r="565" spans="2:16" ht="13.5" customHeight="1">
      <c r="B565" s="47">
        <v>435</v>
      </c>
      <c r="C565" s="47" t="s">
        <v>124</v>
      </c>
      <c r="D565" s="47" t="s">
        <v>224</v>
      </c>
      <c r="E565" s="47" t="s">
        <v>225</v>
      </c>
      <c r="H565" s="47" t="s">
        <v>287</v>
      </c>
      <c r="I565" s="47" t="s">
        <v>288</v>
      </c>
      <c r="L565" s="15"/>
      <c r="M565" s="15" t="s">
        <v>289</v>
      </c>
      <c r="N565" s="47" t="s">
        <v>295</v>
      </c>
      <c r="O565" s="47" t="s">
        <v>30</v>
      </c>
      <c r="P565" s="47" t="s">
        <v>46</v>
      </c>
    </row>
    <row r="566" spans="2:16" ht="13.5" customHeight="1">
      <c r="B566" s="47">
        <v>436</v>
      </c>
      <c r="C566" s="47" t="s">
        <v>124</v>
      </c>
      <c r="D566" s="47" t="s">
        <v>224</v>
      </c>
      <c r="E566" s="47" t="s">
        <v>225</v>
      </c>
      <c r="H566" s="47" t="s">
        <v>287</v>
      </c>
      <c r="I566" s="47" t="s">
        <v>288</v>
      </c>
      <c r="L566" s="15"/>
      <c r="M566" s="15" t="s">
        <v>289</v>
      </c>
      <c r="N566" s="47" t="s">
        <v>295</v>
      </c>
      <c r="O566" s="47" t="s">
        <v>30</v>
      </c>
      <c r="P566" s="47" t="s">
        <v>46</v>
      </c>
    </row>
    <row r="567" spans="2:16" ht="13.5" customHeight="1">
      <c r="B567" s="47">
        <v>437</v>
      </c>
      <c r="C567" s="47" t="s">
        <v>124</v>
      </c>
      <c r="D567" s="47" t="s">
        <v>224</v>
      </c>
      <c r="E567" s="47" t="s">
        <v>227</v>
      </c>
      <c r="H567" s="47" t="s">
        <v>287</v>
      </c>
      <c r="I567" s="47" t="s">
        <v>288</v>
      </c>
      <c r="L567" s="15"/>
      <c r="M567" s="15" t="s">
        <v>289</v>
      </c>
      <c r="N567" s="47" t="s">
        <v>295</v>
      </c>
      <c r="O567" s="47" t="s">
        <v>30</v>
      </c>
      <c r="P567" s="47" t="s">
        <v>46</v>
      </c>
    </row>
    <row r="568" spans="2:16" ht="13.5" customHeight="1">
      <c r="B568" s="47">
        <v>438</v>
      </c>
      <c r="C568" s="47" t="s">
        <v>124</v>
      </c>
      <c r="D568" s="47" t="s">
        <v>224</v>
      </c>
      <c r="E568" s="47" t="s">
        <v>227</v>
      </c>
      <c r="H568" s="47" t="s">
        <v>287</v>
      </c>
      <c r="I568" s="47" t="s">
        <v>288</v>
      </c>
      <c r="L568" s="15"/>
      <c r="M568" s="15" t="s">
        <v>289</v>
      </c>
      <c r="N568" s="47" t="s">
        <v>295</v>
      </c>
      <c r="O568" s="47" t="s">
        <v>30</v>
      </c>
      <c r="P568" s="47" t="s">
        <v>46</v>
      </c>
    </row>
    <row r="569" spans="2:16" ht="13.5" customHeight="1">
      <c r="B569" s="47">
        <v>439</v>
      </c>
      <c r="C569" s="47" t="s">
        <v>124</v>
      </c>
      <c r="D569" s="47" t="s">
        <v>224</v>
      </c>
      <c r="E569" s="47" t="s">
        <v>267</v>
      </c>
      <c r="H569" s="47" t="s">
        <v>287</v>
      </c>
      <c r="I569" s="47" t="s">
        <v>288</v>
      </c>
      <c r="L569" s="15"/>
      <c r="M569" s="15" t="s">
        <v>291</v>
      </c>
      <c r="N569" s="47" t="s">
        <v>295</v>
      </c>
      <c r="O569" s="47" t="s">
        <v>30</v>
      </c>
      <c r="P569" s="47" t="s">
        <v>46</v>
      </c>
    </row>
    <row r="570" spans="2:16" ht="13.5" customHeight="1">
      <c r="B570" s="47">
        <v>440</v>
      </c>
      <c r="C570" s="47" t="s">
        <v>124</v>
      </c>
      <c r="D570" s="47" t="s">
        <v>224</v>
      </c>
      <c r="E570" s="16" t="s">
        <v>1103</v>
      </c>
      <c r="H570" s="47" t="s">
        <v>287</v>
      </c>
      <c r="I570" s="47" t="s">
        <v>288</v>
      </c>
      <c r="L570" s="15"/>
      <c r="M570" s="15" t="s">
        <v>291</v>
      </c>
      <c r="N570" s="47" t="s">
        <v>295</v>
      </c>
      <c r="O570" s="47" t="s">
        <v>30</v>
      </c>
      <c r="P570" s="47" t="s">
        <v>46</v>
      </c>
    </row>
    <row r="571" spans="2:16" ht="13.5" customHeight="1">
      <c r="B571" s="47">
        <v>441</v>
      </c>
      <c r="C571" s="47" t="s">
        <v>124</v>
      </c>
      <c r="D571" s="47" t="s">
        <v>224</v>
      </c>
      <c r="E571" s="47" t="s">
        <v>228</v>
      </c>
      <c r="H571" s="47" t="s">
        <v>287</v>
      </c>
      <c r="I571" s="47" t="s">
        <v>288</v>
      </c>
      <c r="L571" s="15"/>
      <c r="M571" s="15" t="s">
        <v>291</v>
      </c>
      <c r="N571" s="47" t="s">
        <v>295</v>
      </c>
      <c r="O571" s="47" t="s">
        <v>30</v>
      </c>
      <c r="P571" s="47" t="s">
        <v>46</v>
      </c>
    </row>
    <row r="572" spans="2:16" ht="13.5" customHeight="1">
      <c r="B572" s="47">
        <v>442</v>
      </c>
      <c r="C572" s="47" t="s">
        <v>124</v>
      </c>
      <c r="D572" s="47" t="s">
        <v>224</v>
      </c>
      <c r="E572" s="47" t="s">
        <v>272</v>
      </c>
      <c r="H572" s="47" t="s">
        <v>287</v>
      </c>
      <c r="I572" s="47" t="s">
        <v>288</v>
      </c>
      <c r="L572" s="15"/>
      <c r="M572" s="15" t="s">
        <v>292</v>
      </c>
      <c r="N572" s="47" t="s">
        <v>295</v>
      </c>
      <c r="O572" s="47" t="s">
        <v>30</v>
      </c>
      <c r="P572" s="47" t="s">
        <v>46</v>
      </c>
    </row>
    <row r="573" spans="2:16" ht="13.5" customHeight="1">
      <c r="B573" s="47">
        <v>443</v>
      </c>
      <c r="C573" s="47" t="s">
        <v>124</v>
      </c>
      <c r="D573" s="47" t="s">
        <v>224</v>
      </c>
      <c r="E573" s="47" t="s">
        <v>1097</v>
      </c>
      <c r="H573" s="47" t="s">
        <v>287</v>
      </c>
      <c r="I573" s="47" t="s">
        <v>288</v>
      </c>
      <c r="L573" s="15"/>
      <c r="M573" s="15" t="s">
        <v>292</v>
      </c>
      <c r="N573" s="47" t="s">
        <v>295</v>
      </c>
      <c r="O573" s="47" t="s">
        <v>30</v>
      </c>
      <c r="P573" s="47" t="s">
        <v>46</v>
      </c>
    </row>
    <row r="574" spans="2:16" ht="13.5" customHeight="1">
      <c r="B574" s="47">
        <v>462</v>
      </c>
      <c r="C574" s="47" t="s">
        <v>125</v>
      </c>
      <c r="D574" s="49" t="s">
        <v>172</v>
      </c>
      <c r="E574" s="49" t="s">
        <v>256</v>
      </c>
      <c r="F574" s="49"/>
      <c r="G574" s="49"/>
      <c r="H574" s="49" t="s">
        <v>35</v>
      </c>
      <c r="I574" s="49" t="s">
        <v>30</v>
      </c>
      <c r="J574" s="49"/>
      <c r="K574" s="49"/>
      <c r="L574" s="50"/>
      <c r="M574" s="50"/>
      <c r="N574" s="49" t="s">
        <v>296</v>
      </c>
      <c r="O574" s="47" t="s">
        <v>30</v>
      </c>
      <c r="P574" s="47" t="s">
        <v>46</v>
      </c>
    </row>
    <row r="575" spans="2:16" ht="13.5" customHeight="1">
      <c r="B575" s="47">
        <v>463</v>
      </c>
      <c r="C575" s="47" t="s">
        <v>125</v>
      </c>
      <c r="D575" s="49" t="s">
        <v>172</v>
      </c>
      <c r="E575" s="49" t="s">
        <v>256</v>
      </c>
      <c r="F575" s="49"/>
      <c r="G575" s="49"/>
      <c r="H575" s="49" t="s">
        <v>35</v>
      </c>
      <c r="I575" s="49" t="s">
        <v>30</v>
      </c>
      <c r="J575" s="49"/>
      <c r="K575" s="49"/>
      <c r="L575" s="50"/>
      <c r="M575" s="50"/>
      <c r="N575" s="49" t="s">
        <v>257</v>
      </c>
      <c r="O575" s="47" t="s">
        <v>30</v>
      </c>
      <c r="P575" s="47" t="s">
        <v>46</v>
      </c>
    </row>
    <row r="576" spans="2:16" ht="13.5" customHeight="1">
      <c r="B576" s="47">
        <v>464</v>
      </c>
      <c r="C576" s="47" t="s">
        <v>125</v>
      </c>
      <c r="D576" s="49" t="s">
        <v>172</v>
      </c>
      <c r="E576" s="49" t="s">
        <v>297</v>
      </c>
      <c r="F576" s="49"/>
      <c r="G576" s="49"/>
      <c r="H576" s="49" t="s">
        <v>35</v>
      </c>
      <c r="I576" s="49" t="s">
        <v>30</v>
      </c>
      <c r="J576" s="49"/>
      <c r="K576" s="49"/>
      <c r="L576" s="50"/>
      <c r="M576" s="50"/>
      <c r="N576" s="49"/>
      <c r="O576" s="47" t="s">
        <v>30</v>
      </c>
      <c r="P576" s="47" t="s">
        <v>46</v>
      </c>
    </row>
    <row r="577" spans="2:28" ht="13.5" customHeight="1">
      <c r="B577" s="47">
        <v>466</v>
      </c>
      <c r="C577" s="47" t="s">
        <v>126</v>
      </c>
      <c r="D577" s="47" t="s">
        <v>298</v>
      </c>
      <c r="H577" s="47" t="s">
        <v>287</v>
      </c>
      <c r="I577" s="47" t="s">
        <v>288</v>
      </c>
      <c r="L577" s="15" t="s">
        <v>233</v>
      </c>
      <c r="M577" s="15" t="s">
        <v>251</v>
      </c>
      <c r="O577" s="47" t="s">
        <v>30</v>
      </c>
      <c r="P577" s="47" t="s">
        <v>46</v>
      </c>
    </row>
    <row r="578" spans="2:28" ht="13.5" customHeight="1">
      <c r="B578" s="47">
        <v>467</v>
      </c>
      <c r="C578" s="47" t="s">
        <v>126</v>
      </c>
      <c r="D578" s="47" t="s">
        <v>298</v>
      </c>
      <c r="H578" s="47" t="s">
        <v>287</v>
      </c>
      <c r="I578" s="47" t="s">
        <v>288</v>
      </c>
      <c r="L578" s="15" t="s">
        <v>233</v>
      </c>
      <c r="M578" s="15" t="s">
        <v>251</v>
      </c>
      <c r="O578" s="47" t="s">
        <v>30</v>
      </c>
      <c r="P578" s="47" t="s">
        <v>46</v>
      </c>
    </row>
    <row r="579" spans="2:28" ht="13.5" customHeight="1">
      <c r="B579" s="47">
        <v>468</v>
      </c>
      <c r="C579" s="47" t="s">
        <v>126</v>
      </c>
      <c r="D579" s="47" t="s">
        <v>298</v>
      </c>
      <c r="H579" s="47" t="s">
        <v>287</v>
      </c>
      <c r="I579" s="47" t="s">
        <v>288</v>
      </c>
      <c r="L579" s="15" t="s">
        <v>233</v>
      </c>
      <c r="M579" s="15" t="s">
        <v>251</v>
      </c>
      <c r="O579" s="47" t="s">
        <v>30</v>
      </c>
      <c r="P579" s="47" t="s">
        <v>46</v>
      </c>
    </row>
    <row r="580" spans="2:28" ht="13.5" customHeight="1">
      <c r="B580" s="47">
        <v>472</v>
      </c>
      <c r="C580" s="47" t="s">
        <v>127</v>
      </c>
      <c r="D580" s="47" t="s">
        <v>177</v>
      </c>
      <c r="F580" s="47" t="s">
        <v>299</v>
      </c>
      <c r="G580" s="47">
        <v>1</v>
      </c>
      <c r="H580" s="47" t="s">
        <v>46</v>
      </c>
      <c r="L580" s="15" t="s">
        <v>182</v>
      </c>
      <c r="M580" s="15" t="s">
        <v>181</v>
      </c>
      <c r="O580" s="47" t="s">
        <v>30</v>
      </c>
      <c r="P580" s="47" t="s">
        <v>46</v>
      </c>
    </row>
    <row r="581" spans="2:28" ht="13.5" customHeight="1">
      <c r="B581" s="47">
        <v>473</v>
      </c>
      <c r="C581" s="47" t="s">
        <v>127</v>
      </c>
      <c r="D581" s="47" t="s">
        <v>177</v>
      </c>
      <c r="F581" s="47" t="s">
        <v>262</v>
      </c>
      <c r="G581" s="47">
        <v>1000</v>
      </c>
      <c r="H581" s="47" t="s">
        <v>46</v>
      </c>
      <c r="L581" s="15" t="s">
        <v>182</v>
      </c>
      <c r="M581" s="15" t="s">
        <v>181</v>
      </c>
      <c r="O581" s="47" t="s">
        <v>30</v>
      </c>
      <c r="P581" s="47" t="s">
        <v>46</v>
      </c>
      <c r="R581" s="48"/>
      <c r="S581" s="48"/>
      <c r="T581" s="48"/>
      <c r="U581" s="48"/>
      <c r="V581" s="48"/>
      <c r="W581" s="48"/>
      <c r="X581" s="48"/>
      <c r="Y581" s="48"/>
      <c r="Z581" s="48"/>
      <c r="AA581" s="48"/>
      <c r="AB581" s="48"/>
    </row>
    <row r="582" spans="2:28" ht="13.5" customHeight="1">
      <c r="B582" s="47">
        <v>474</v>
      </c>
      <c r="C582" s="47" t="s">
        <v>127</v>
      </c>
      <c r="D582" s="47" t="s">
        <v>177</v>
      </c>
      <c r="F582" s="47" t="s">
        <v>300</v>
      </c>
      <c r="G582" s="47">
        <v>2</v>
      </c>
      <c r="H582" s="47" t="s">
        <v>46</v>
      </c>
      <c r="L582" s="15" t="s">
        <v>182</v>
      </c>
      <c r="M582" s="15" t="s">
        <v>181</v>
      </c>
      <c r="O582" s="47" t="s">
        <v>30</v>
      </c>
      <c r="P582" s="47" t="s">
        <v>46</v>
      </c>
    </row>
    <row r="583" spans="2:28" ht="13.5" customHeight="1">
      <c r="B583" s="47">
        <v>475</v>
      </c>
      <c r="C583" s="47" t="s">
        <v>127</v>
      </c>
      <c r="D583" s="47" t="s">
        <v>177</v>
      </c>
      <c r="F583" s="47" t="s">
        <v>262</v>
      </c>
      <c r="G583" s="47">
        <v>50</v>
      </c>
      <c r="H583" s="47" t="s">
        <v>46</v>
      </c>
      <c r="L583" s="15" t="s">
        <v>182</v>
      </c>
      <c r="M583" s="15" t="s">
        <v>181</v>
      </c>
      <c r="N583" s="47" t="s">
        <v>301</v>
      </c>
      <c r="O583" s="47" t="s">
        <v>30</v>
      </c>
      <c r="P583" s="47" t="s">
        <v>46</v>
      </c>
    </row>
    <row r="584" spans="2:28" ht="13.5" customHeight="1">
      <c r="B584" s="47">
        <v>490</v>
      </c>
      <c r="C584" s="47" t="s">
        <v>122</v>
      </c>
      <c r="D584" s="47" t="s">
        <v>204</v>
      </c>
      <c r="H584" s="47" t="s">
        <v>58</v>
      </c>
      <c r="I584" s="47" t="s">
        <v>231</v>
      </c>
      <c r="L584" s="41"/>
      <c r="M584" s="41"/>
      <c r="N584" s="47" t="s">
        <v>302</v>
      </c>
      <c r="O584" s="47" t="s">
        <v>30</v>
      </c>
      <c r="P584" s="47" t="s">
        <v>46</v>
      </c>
    </row>
    <row r="585" spans="2:28" ht="13.5" customHeight="1">
      <c r="B585" s="47">
        <v>491</v>
      </c>
      <c r="C585" s="47" t="s">
        <v>122</v>
      </c>
      <c r="D585" s="47" t="s">
        <v>204</v>
      </c>
      <c r="H585" s="47" t="s">
        <v>58</v>
      </c>
      <c r="I585" s="47" t="s">
        <v>231</v>
      </c>
      <c r="L585" s="41"/>
      <c r="M585" s="41"/>
      <c r="N585" s="47" t="s">
        <v>302</v>
      </c>
      <c r="O585" s="47" t="s">
        <v>30</v>
      </c>
      <c r="P585" s="47" t="s">
        <v>46</v>
      </c>
    </row>
    <row r="586" spans="2:28" ht="13.5" customHeight="1">
      <c r="B586" s="47">
        <v>492</v>
      </c>
      <c r="C586" s="47" t="s">
        <v>122</v>
      </c>
      <c r="D586" s="47" t="s">
        <v>204</v>
      </c>
      <c r="H586" s="47" t="s">
        <v>58</v>
      </c>
      <c r="I586" s="47" t="s">
        <v>231</v>
      </c>
      <c r="L586" s="41"/>
      <c r="M586" s="41"/>
      <c r="N586" s="47" t="s">
        <v>302</v>
      </c>
      <c r="O586" s="47" t="s">
        <v>30</v>
      </c>
      <c r="P586" s="47" t="s">
        <v>46</v>
      </c>
    </row>
    <row r="587" spans="2:28" ht="13.5" customHeight="1">
      <c r="B587" s="47">
        <v>493</v>
      </c>
      <c r="C587" s="47" t="s">
        <v>122</v>
      </c>
      <c r="D587" s="47" t="s">
        <v>204</v>
      </c>
      <c r="H587" s="47" t="s">
        <v>58</v>
      </c>
      <c r="L587" s="15" t="s">
        <v>233</v>
      </c>
      <c r="M587" s="15" t="s">
        <v>303</v>
      </c>
      <c r="N587" s="47" t="s">
        <v>235</v>
      </c>
      <c r="O587" s="47" t="s">
        <v>30</v>
      </c>
      <c r="P587" s="47" t="s">
        <v>46</v>
      </c>
    </row>
    <row r="588" spans="2:28" ht="13.5" customHeight="1">
      <c r="B588" s="47">
        <v>494</v>
      </c>
      <c r="C588" s="47" t="s">
        <v>122</v>
      </c>
      <c r="D588" s="47" t="s">
        <v>204</v>
      </c>
      <c r="H588" s="47" t="s">
        <v>58</v>
      </c>
      <c r="L588" s="15" t="s">
        <v>233</v>
      </c>
      <c r="M588" s="15" t="s">
        <v>303</v>
      </c>
      <c r="N588" s="47" t="s">
        <v>235</v>
      </c>
      <c r="O588" s="47" t="s">
        <v>30</v>
      </c>
      <c r="P588" s="47" t="s">
        <v>46</v>
      </c>
    </row>
    <row r="589" spans="2:28" ht="13.5" customHeight="1">
      <c r="B589" s="47">
        <v>495</v>
      </c>
      <c r="C589" s="47" t="s">
        <v>122</v>
      </c>
      <c r="D589" s="47" t="s">
        <v>204</v>
      </c>
      <c r="H589" s="47" t="s">
        <v>58</v>
      </c>
      <c r="L589" s="15" t="s">
        <v>233</v>
      </c>
      <c r="M589" s="15" t="s">
        <v>303</v>
      </c>
      <c r="N589" s="47" t="s">
        <v>235</v>
      </c>
      <c r="O589" s="47" t="s">
        <v>30</v>
      </c>
      <c r="P589" s="47" t="s">
        <v>46</v>
      </c>
    </row>
    <row r="590" spans="2:28" ht="13.5" customHeight="1">
      <c r="B590" s="47">
        <v>496</v>
      </c>
      <c r="C590" s="47" t="s">
        <v>122</v>
      </c>
      <c r="D590" s="47" t="s">
        <v>204</v>
      </c>
      <c r="H590" s="47" t="s">
        <v>58</v>
      </c>
      <c r="L590" s="15" t="s">
        <v>233</v>
      </c>
      <c r="M590" s="15" t="s">
        <v>304</v>
      </c>
      <c r="N590" s="47" t="s">
        <v>305</v>
      </c>
      <c r="O590" s="47" t="s">
        <v>30</v>
      </c>
      <c r="P590" s="47" t="s">
        <v>46</v>
      </c>
    </row>
    <row r="591" spans="2:28" ht="13.5" customHeight="1">
      <c r="B591" s="47">
        <v>497</v>
      </c>
      <c r="C591" s="47" t="s">
        <v>122</v>
      </c>
      <c r="D591" s="47" t="s">
        <v>204</v>
      </c>
      <c r="H591" s="47" t="s">
        <v>58</v>
      </c>
      <c r="L591" s="15" t="s">
        <v>233</v>
      </c>
      <c r="M591" s="15" t="s">
        <v>304</v>
      </c>
      <c r="N591" s="47" t="s">
        <v>305</v>
      </c>
      <c r="O591" s="47" t="s">
        <v>30</v>
      </c>
      <c r="P591" s="47" t="s">
        <v>46</v>
      </c>
    </row>
    <row r="592" spans="2:28" ht="13.5" customHeight="1">
      <c r="B592" s="47">
        <v>498</v>
      </c>
      <c r="C592" s="47" t="s">
        <v>122</v>
      </c>
      <c r="D592" s="47" t="s">
        <v>204</v>
      </c>
      <c r="H592" s="47" t="s">
        <v>58</v>
      </c>
      <c r="L592" s="15" t="s">
        <v>233</v>
      </c>
      <c r="M592" s="15" t="s">
        <v>304</v>
      </c>
      <c r="N592" s="47" t="s">
        <v>305</v>
      </c>
      <c r="O592" s="47" t="s">
        <v>30</v>
      </c>
      <c r="P592" s="47" t="s">
        <v>46</v>
      </c>
    </row>
    <row r="593" spans="2:31" ht="13.5" customHeight="1">
      <c r="B593" s="47">
        <v>499</v>
      </c>
      <c r="C593" s="47" t="s">
        <v>122</v>
      </c>
      <c r="D593" s="47" t="s">
        <v>204</v>
      </c>
      <c r="H593" s="47" t="s">
        <v>58</v>
      </c>
      <c r="L593" s="15" t="s">
        <v>233</v>
      </c>
      <c r="M593" s="15" t="s">
        <v>304</v>
      </c>
      <c r="N593" s="47" t="s">
        <v>305</v>
      </c>
      <c r="O593" s="47" t="s">
        <v>30</v>
      </c>
      <c r="P593" s="47" t="s">
        <v>46</v>
      </c>
    </row>
    <row r="594" spans="2:31" ht="13.5" customHeight="1">
      <c r="B594" s="47">
        <v>505</v>
      </c>
      <c r="C594" s="47" t="s">
        <v>122</v>
      </c>
      <c r="D594" s="47" t="s">
        <v>204</v>
      </c>
      <c r="H594" s="47" t="s">
        <v>58</v>
      </c>
      <c r="L594" s="15" t="s">
        <v>306</v>
      </c>
      <c r="M594" s="15" t="s">
        <v>190</v>
      </c>
      <c r="N594" s="48" t="s">
        <v>307</v>
      </c>
      <c r="O594" s="47" t="s">
        <v>30</v>
      </c>
      <c r="P594" s="47" t="s">
        <v>46</v>
      </c>
    </row>
    <row r="595" spans="2:31" ht="13.5" customHeight="1">
      <c r="B595" s="47">
        <v>506</v>
      </c>
      <c r="C595" s="47" t="s">
        <v>122</v>
      </c>
      <c r="D595" s="47" t="s">
        <v>204</v>
      </c>
      <c r="H595" s="47" t="s">
        <v>58</v>
      </c>
      <c r="L595" s="15" t="s">
        <v>306</v>
      </c>
      <c r="M595" s="15" t="s">
        <v>190</v>
      </c>
      <c r="N595" s="48" t="s">
        <v>307</v>
      </c>
      <c r="O595" s="47" t="s">
        <v>30</v>
      </c>
      <c r="P595" s="47" t="s">
        <v>46</v>
      </c>
    </row>
    <row r="596" spans="2:31" ht="13.5" customHeight="1">
      <c r="B596" s="47">
        <v>507</v>
      </c>
      <c r="C596" s="47" t="s">
        <v>127</v>
      </c>
      <c r="D596" s="47" t="s">
        <v>177</v>
      </c>
      <c r="E596" s="47" t="s">
        <v>178</v>
      </c>
      <c r="F596" s="47" t="s">
        <v>192</v>
      </c>
      <c r="G596" s="47">
        <v>8</v>
      </c>
      <c r="H596" s="47" t="s">
        <v>46</v>
      </c>
      <c r="L596" s="15" t="s">
        <v>182</v>
      </c>
      <c r="M596" s="15" t="s">
        <v>183</v>
      </c>
      <c r="O596" s="47" t="s">
        <v>30</v>
      </c>
      <c r="P596" s="47" t="s">
        <v>46</v>
      </c>
    </row>
    <row r="597" spans="2:31" ht="13.5" customHeight="1">
      <c r="B597" s="47">
        <v>508</v>
      </c>
      <c r="C597" s="47" t="s">
        <v>127</v>
      </c>
      <c r="D597" s="47" t="s">
        <v>177</v>
      </c>
      <c r="E597" s="47" t="s">
        <v>178</v>
      </c>
      <c r="F597" s="47" t="s">
        <v>308</v>
      </c>
      <c r="G597" s="47">
        <v>2</v>
      </c>
      <c r="H597" s="47" t="s">
        <v>46</v>
      </c>
      <c r="L597" s="15" t="s">
        <v>182</v>
      </c>
      <c r="M597" s="15" t="s">
        <v>183</v>
      </c>
      <c r="O597" s="47" t="s">
        <v>30</v>
      </c>
      <c r="P597" s="47" t="s">
        <v>46</v>
      </c>
    </row>
    <row r="598" spans="2:31" ht="13.5" customHeight="1">
      <c r="B598" s="47">
        <v>509</v>
      </c>
      <c r="C598" s="47" t="s">
        <v>127</v>
      </c>
      <c r="D598" s="47" t="s">
        <v>177</v>
      </c>
      <c r="E598" s="47" t="s">
        <v>178</v>
      </c>
      <c r="F598" s="47" t="s">
        <v>309</v>
      </c>
      <c r="G598" s="47">
        <v>1</v>
      </c>
      <c r="H598" s="47" t="s">
        <v>46</v>
      </c>
      <c r="L598" s="15" t="s">
        <v>182</v>
      </c>
      <c r="M598" s="15" t="s">
        <v>183</v>
      </c>
      <c r="O598" s="47" t="s">
        <v>30</v>
      </c>
      <c r="P598" s="47" t="s">
        <v>46</v>
      </c>
    </row>
    <row r="599" spans="2:31" ht="13.5" customHeight="1">
      <c r="B599" s="47">
        <v>510</v>
      </c>
      <c r="C599" s="47" t="s">
        <v>127</v>
      </c>
      <c r="D599" s="47" t="s">
        <v>177</v>
      </c>
      <c r="E599" s="47" t="s">
        <v>178</v>
      </c>
      <c r="F599" s="47" t="s">
        <v>309</v>
      </c>
      <c r="G599" s="47">
        <v>20</v>
      </c>
      <c r="H599" s="47" t="s">
        <v>46</v>
      </c>
      <c r="L599" s="15" t="s">
        <v>182</v>
      </c>
      <c r="M599" s="15" t="s">
        <v>183</v>
      </c>
      <c r="O599" s="47" t="s">
        <v>30</v>
      </c>
      <c r="P599" s="47" t="s">
        <v>46</v>
      </c>
    </row>
    <row r="600" spans="2:31" ht="13.5" customHeight="1">
      <c r="B600" s="47">
        <v>511</v>
      </c>
      <c r="C600" s="47" t="s">
        <v>127</v>
      </c>
      <c r="D600" s="47" t="s">
        <v>177</v>
      </c>
      <c r="E600" s="47" t="s">
        <v>178</v>
      </c>
      <c r="F600" s="47" t="s">
        <v>310</v>
      </c>
      <c r="G600" s="47">
        <v>1</v>
      </c>
      <c r="H600" s="47" t="s">
        <v>46</v>
      </c>
      <c r="L600" s="15" t="s">
        <v>182</v>
      </c>
      <c r="M600" s="15" t="s">
        <v>183</v>
      </c>
      <c r="O600" s="47" t="s">
        <v>30</v>
      </c>
      <c r="P600" s="47" t="s">
        <v>46</v>
      </c>
    </row>
    <row r="601" spans="2:31" ht="13.5" customHeight="1">
      <c r="B601" s="47">
        <v>512</v>
      </c>
      <c r="C601" s="47" t="s">
        <v>127</v>
      </c>
      <c r="D601" s="47" t="s">
        <v>177</v>
      </c>
      <c r="E601" s="47" t="s">
        <v>178</v>
      </c>
      <c r="F601" s="47" t="s">
        <v>309</v>
      </c>
      <c r="G601" s="47">
        <v>1</v>
      </c>
      <c r="H601" s="47" t="s">
        <v>46</v>
      </c>
      <c r="L601" s="15" t="s">
        <v>182</v>
      </c>
      <c r="M601" s="15" t="s">
        <v>183</v>
      </c>
      <c r="O601" s="47" t="s">
        <v>30</v>
      </c>
      <c r="P601" s="47" t="s">
        <v>46</v>
      </c>
      <c r="AC601" s="48"/>
      <c r="AD601" s="48"/>
      <c r="AE601" s="48"/>
    </row>
    <row r="602" spans="2:31" ht="13.5" customHeight="1">
      <c r="B602" s="47">
        <v>513</v>
      </c>
      <c r="C602" s="47" t="s">
        <v>120</v>
      </c>
      <c r="D602" s="47" t="s">
        <v>171</v>
      </c>
      <c r="E602" s="47" t="s">
        <v>1098</v>
      </c>
      <c r="H602" s="47" t="s">
        <v>30</v>
      </c>
      <c r="L602" s="15"/>
      <c r="M602" s="15" t="s">
        <v>1115</v>
      </c>
      <c r="N602" s="47" t="s">
        <v>1116</v>
      </c>
      <c r="O602" s="47" t="s">
        <v>30</v>
      </c>
    </row>
    <row r="603" spans="2:31" ht="13.5" customHeight="1">
      <c r="B603" s="47">
        <v>514</v>
      </c>
      <c r="C603" s="47" t="s">
        <v>114</v>
      </c>
      <c r="D603" s="47" t="s">
        <v>224</v>
      </c>
      <c r="E603" s="47" t="s">
        <v>225</v>
      </c>
      <c r="H603" s="47" t="s">
        <v>287</v>
      </c>
      <c r="I603" s="47" t="s">
        <v>288</v>
      </c>
      <c r="L603" s="15"/>
      <c r="M603" s="15" t="s">
        <v>289</v>
      </c>
    </row>
    <row r="604" spans="2:31" ht="13.5" customHeight="1">
      <c r="B604" s="47">
        <v>515</v>
      </c>
      <c r="C604" s="47" t="s">
        <v>114</v>
      </c>
      <c r="D604" s="47" t="s">
        <v>224</v>
      </c>
      <c r="E604" s="47" t="s">
        <v>225</v>
      </c>
      <c r="H604" s="47" t="s">
        <v>287</v>
      </c>
      <c r="I604" s="47" t="s">
        <v>288</v>
      </c>
      <c r="L604" s="15"/>
      <c r="M604" s="15" t="s">
        <v>289</v>
      </c>
    </row>
    <row r="605" spans="2:31" ht="13.5" customHeight="1">
      <c r="B605" s="47">
        <v>516</v>
      </c>
      <c r="C605" s="47" t="s">
        <v>114</v>
      </c>
      <c r="D605" s="47" t="s">
        <v>224</v>
      </c>
      <c r="E605" s="47" t="s">
        <v>227</v>
      </c>
      <c r="H605" s="47" t="s">
        <v>287</v>
      </c>
      <c r="I605" s="47" t="s">
        <v>288</v>
      </c>
      <c r="L605" s="15"/>
      <c r="M605" s="15" t="s">
        <v>289</v>
      </c>
    </row>
    <row r="606" spans="2:31" ht="13.5" customHeight="1">
      <c r="B606" s="47">
        <v>517</v>
      </c>
      <c r="C606" s="47" t="s">
        <v>114</v>
      </c>
      <c r="D606" s="47" t="s">
        <v>224</v>
      </c>
      <c r="E606" s="47" t="s">
        <v>227</v>
      </c>
      <c r="H606" s="47" t="s">
        <v>287</v>
      </c>
      <c r="I606" s="47" t="s">
        <v>288</v>
      </c>
      <c r="L606" s="15"/>
      <c r="M606" s="15" t="s">
        <v>289</v>
      </c>
    </row>
    <row r="607" spans="2:31" ht="13.5" customHeight="1">
      <c r="B607" s="47">
        <v>518</v>
      </c>
      <c r="C607" s="47" t="s">
        <v>114</v>
      </c>
      <c r="D607" s="47" t="s">
        <v>224</v>
      </c>
      <c r="E607" s="47" t="s">
        <v>228</v>
      </c>
      <c r="H607" s="47" t="s">
        <v>287</v>
      </c>
      <c r="I607" s="47" t="s">
        <v>288</v>
      </c>
      <c r="L607" s="15"/>
      <c r="M607" s="15" t="s">
        <v>311</v>
      </c>
    </row>
    <row r="608" spans="2:31" ht="13.5" customHeight="1">
      <c r="B608" s="47">
        <v>519</v>
      </c>
      <c r="C608" s="47" t="s">
        <v>115</v>
      </c>
      <c r="D608" s="47" t="s">
        <v>224</v>
      </c>
      <c r="E608" s="47" t="s">
        <v>225</v>
      </c>
      <c r="H608" s="47" t="s">
        <v>287</v>
      </c>
      <c r="I608" s="47" t="s">
        <v>288</v>
      </c>
      <c r="L608" s="15"/>
      <c r="M608" s="15" t="s">
        <v>289</v>
      </c>
    </row>
    <row r="609" spans="2:13" ht="13.5" customHeight="1">
      <c r="B609" s="47">
        <v>520</v>
      </c>
      <c r="C609" s="47" t="s">
        <v>115</v>
      </c>
      <c r="D609" s="47" t="s">
        <v>224</v>
      </c>
      <c r="E609" s="47" t="s">
        <v>225</v>
      </c>
      <c r="H609" s="47" t="s">
        <v>287</v>
      </c>
      <c r="I609" s="47" t="s">
        <v>288</v>
      </c>
      <c r="L609" s="15"/>
      <c r="M609" s="15" t="s">
        <v>289</v>
      </c>
    </row>
    <row r="610" spans="2:13" ht="13.5" customHeight="1">
      <c r="B610" s="47">
        <v>521</v>
      </c>
      <c r="C610" s="47" t="s">
        <v>115</v>
      </c>
      <c r="D610" s="47" t="s">
        <v>224</v>
      </c>
      <c r="E610" s="47" t="s">
        <v>227</v>
      </c>
      <c r="H610" s="47" t="s">
        <v>287</v>
      </c>
      <c r="I610" s="47" t="s">
        <v>288</v>
      </c>
      <c r="L610" s="15"/>
      <c r="M610" s="15" t="s">
        <v>289</v>
      </c>
    </row>
    <row r="611" spans="2:13" ht="13.5" customHeight="1">
      <c r="B611" s="47">
        <v>522</v>
      </c>
      <c r="C611" s="47" t="s">
        <v>115</v>
      </c>
      <c r="D611" s="47" t="s">
        <v>224</v>
      </c>
      <c r="E611" s="47" t="s">
        <v>227</v>
      </c>
      <c r="H611" s="47" t="s">
        <v>287</v>
      </c>
      <c r="I611" s="47" t="s">
        <v>288</v>
      </c>
      <c r="L611" s="15"/>
      <c r="M611" s="15" t="s">
        <v>289</v>
      </c>
    </row>
    <row r="612" spans="2:13" ht="13.5" customHeight="1">
      <c r="B612" s="47">
        <v>523</v>
      </c>
      <c r="C612" s="47" t="s">
        <v>115</v>
      </c>
      <c r="D612" s="47" t="s">
        <v>224</v>
      </c>
      <c r="E612" s="47" t="s">
        <v>228</v>
      </c>
      <c r="H612" s="47" t="s">
        <v>287</v>
      </c>
      <c r="I612" s="47" t="s">
        <v>288</v>
      </c>
      <c r="L612" s="15"/>
      <c r="M612" s="15" t="s">
        <v>311</v>
      </c>
    </row>
    <row r="613" spans="2:13" ht="13.5" customHeight="1">
      <c r="B613" s="47">
        <v>524</v>
      </c>
      <c r="C613" s="47" t="s">
        <v>116</v>
      </c>
      <c r="D613" s="47" t="s">
        <v>224</v>
      </c>
      <c r="E613" s="47" t="s">
        <v>225</v>
      </c>
      <c r="H613" s="47" t="s">
        <v>287</v>
      </c>
      <c r="I613" s="47" t="s">
        <v>288</v>
      </c>
      <c r="L613" s="15"/>
      <c r="M613" s="15" t="s">
        <v>289</v>
      </c>
    </row>
    <row r="614" spans="2:13" ht="13.5" customHeight="1">
      <c r="B614" s="47">
        <v>525</v>
      </c>
      <c r="C614" s="47" t="s">
        <v>116</v>
      </c>
      <c r="D614" s="47" t="s">
        <v>224</v>
      </c>
      <c r="E614" s="47" t="s">
        <v>225</v>
      </c>
      <c r="H614" s="47" t="s">
        <v>287</v>
      </c>
      <c r="I614" s="47" t="s">
        <v>288</v>
      </c>
      <c r="L614" s="15"/>
      <c r="M614" s="15" t="s">
        <v>289</v>
      </c>
    </row>
    <row r="615" spans="2:13" ht="13.5" customHeight="1">
      <c r="B615" s="47">
        <v>526</v>
      </c>
      <c r="C615" s="47" t="s">
        <v>116</v>
      </c>
      <c r="D615" s="47" t="s">
        <v>224</v>
      </c>
      <c r="E615" s="47" t="s">
        <v>227</v>
      </c>
      <c r="H615" s="47" t="s">
        <v>287</v>
      </c>
      <c r="I615" s="47" t="s">
        <v>288</v>
      </c>
      <c r="L615" s="15"/>
      <c r="M615" s="15" t="s">
        <v>289</v>
      </c>
    </row>
    <row r="616" spans="2:13" ht="13.5" customHeight="1">
      <c r="B616" s="47">
        <v>527</v>
      </c>
      <c r="C616" s="47" t="s">
        <v>116</v>
      </c>
      <c r="D616" s="47" t="s">
        <v>224</v>
      </c>
      <c r="E616" s="47" t="s">
        <v>227</v>
      </c>
      <c r="H616" s="47" t="s">
        <v>287</v>
      </c>
      <c r="I616" s="47" t="s">
        <v>288</v>
      </c>
      <c r="L616" s="15"/>
      <c r="M616" s="15" t="s">
        <v>289</v>
      </c>
    </row>
    <row r="617" spans="2:13" ht="13.5" customHeight="1">
      <c r="B617" s="47">
        <v>528</v>
      </c>
      <c r="C617" s="47" t="s">
        <v>116</v>
      </c>
      <c r="D617" s="47" t="s">
        <v>224</v>
      </c>
      <c r="E617" s="47" t="s">
        <v>228</v>
      </c>
      <c r="H617" s="47" t="s">
        <v>287</v>
      </c>
      <c r="I617" s="47" t="s">
        <v>288</v>
      </c>
      <c r="L617" s="15"/>
      <c r="M617" s="15" t="s">
        <v>311</v>
      </c>
    </row>
    <row r="618" spans="2:13" ht="13.5" customHeight="1">
      <c r="B618" s="47">
        <v>529</v>
      </c>
      <c r="C618" s="47" t="s">
        <v>117</v>
      </c>
      <c r="D618" s="47" t="s">
        <v>224</v>
      </c>
      <c r="E618" s="47" t="s">
        <v>225</v>
      </c>
      <c r="H618" s="47" t="s">
        <v>287</v>
      </c>
      <c r="I618" s="47" t="s">
        <v>288</v>
      </c>
      <c r="L618" s="15"/>
      <c r="M618" s="15" t="s">
        <v>289</v>
      </c>
    </row>
    <row r="619" spans="2:13" ht="13.5" customHeight="1">
      <c r="B619" s="47">
        <v>530</v>
      </c>
      <c r="C619" s="47" t="s">
        <v>117</v>
      </c>
      <c r="D619" s="47" t="s">
        <v>224</v>
      </c>
      <c r="E619" s="47" t="s">
        <v>225</v>
      </c>
      <c r="H619" s="47" t="s">
        <v>287</v>
      </c>
      <c r="I619" s="47" t="s">
        <v>288</v>
      </c>
      <c r="L619" s="15"/>
      <c r="M619" s="15" t="s">
        <v>289</v>
      </c>
    </row>
    <row r="620" spans="2:13" ht="13.5" customHeight="1">
      <c r="B620" s="47">
        <v>531</v>
      </c>
      <c r="C620" s="47" t="s">
        <v>117</v>
      </c>
      <c r="D620" s="47" t="s">
        <v>224</v>
      </c>
      <c r="E620" s="47" t="s">
        <v>227</v>
      </c>
      <c r="H620" s="47" t="s">
        <v>287</v>
      </c>
      <c r="I620" s="47" t="s">
        <v>288</v>
      </c>
      <c r="L620" s="15"/>
      <c r="M620" s="15" t="s">
        <v>289</v>
      </c>
    </row>
    <row r="621" spans="2:13" ht="13.5" customHeight="1">
      <c r="B621" s="47">
        <v>532</v>
      </c>
      <c r="C621" s="47" t="s">
        <v>117</v>
      </c>
      <c r="D621" s="47" t="s">
        <v>224</v>
      </c>
      <c r="E621" s="47" t="s">
        <v>227</v>
      </c>
      <c r="H621" s="47" t="s">
        <v>287</v>
      </c>
      <c r="I621" s="47" t="s">
        <v>288</v>
      </c>
      <c r="L621" s="15"/>
      <c r="M621" s="15" t="s">
        <v>289</v>
      </c>
    </row>
    <row r="622" spans="2:13" ht="13.5" customHeight="1">
      <c r="B622" s="47">
        <v>533</v>
      </c>
      <c r="C622" s="47" t="s">
        <v>117</v>
      </c>
      <c r="D622" s="47" t="s">
        <v>224</v>
      </c>
      <c r="E622" s="47" t="s">
        <v>228</v>
      </c>
      <c r="H622" s="47" t="s">
        <v>287</v>
      </c>
      <c r="I622" s="47" t="s">
        <v>288</v>
      </c>
      <c r="L622" s="15"/>
      <c r="M622" s="15" t="s">
        <v>311</v>
      </c>
    </row>
    <row r="623" spans="2:13" ht="13.5" customHeight="1">
      <c r="B623" s="47">
        <v>534</v>
      </c>
      <c r="C623" s="47" t="s">
        <v>118</v>
      </c>
      <c r="D623" s="47" t="s">
        <v>224</v>
      </c>
      <c r="E623" s="47" t="s">
        <v>225</v>
      </c>
      <c r="H623" s="47" t="s">
        <v>287</v>
      </c>
      <c r="I623" s="47" t="s">
        <v>288</v>
      </c>
      <c r="L623" s="15"/>
      <c r="M623" s="15" t="s">
        <v>289</v>
      </c>
    </row>
    <row r="624" spans="2:13" ht="13.5" customHeight="1">
      <c r="B624" s="47">
        <v>535</v>
      </c>
      <c r="C624" s="47" t="s">
        <v>118</v>
      </c>
      <c r="D624" s="47" t="s">
        <v>224</v>
      </c>
      <c r="E624" s="47" t="s">
        <v>225</v>
      </c>
      <c r="H624" s="47" t="s">
        <v>287</v>
      </c>
      <c r="I624" s="47" t="s">
        <v>288</v>
      </c>
      <c r="L624" s="15"/>
      <c r="M624" s="15" t="s">
        <v>289</v>
      </c>
    </row>
    <row r="625" spans="2:15" ht="13.5" customHeight="1">
      <c r="B625" s="47">
        <v>536</v>
      </c>
      <c r="C625" s="47" t="s">
        <v>118</v>
      </c>
      <c r="D625" s="47" t="s">
        <v>224</v>
      </c>
      <c r="E625" s="47" t="s">
        <v>227</v>
      </c>
      <c r="H625" s="47" t="s">
        <v>287</v>
      </c>
      <c r="I625" s="47" t="s">
        <v>288</v>
      </c>
      <c r="L625" s="15"/>
      <c r="M625" s="15" t="s">
        <v>289</v>
      </c>
    </row>
    <row r="626" spans="2:15" ht="13.5" customHeight="1">
      <c r="B626" s="47">
        <v>537</v>
      </c>
      <c r="C626" s="47" t="s">
        <v>118</v>
      </c>
      <c r="D626" s="47" t="s">
        <v>224</v>
      </c>
      <c r="E626" s="47" t="s">
        <v>227</v>
      </c>
      <c r="H626" s="47" t="s">
        <v>287</v>
      </c>
      <c r="I626" s="47" t="s">
        <v>288</v>
      </c>
      <c r="L626" s="15"/>
      <c r="M626" s="15" t="s">
        <v>289</v>
      </c>
    </row>
    <row r="627" spans="2:15" ht="13.5" customHeight="1">
      <c r="B627" s="47">
        <v>538</v>
      </c>
      <c r="C627" s="47" t="s">
        <v>118</v>
      </c>
      <c r="D627" s="47" t="s">
        <v>224</v>
      </c>
      <c r="E627" s="47" t="s">
        <v>228</v>
      </c>
      <c r="H627" s="47" t="s">
        <v>287</v>
      </c>
      <c r="I627" s="47" t="s">
        <v>288</v>
      </c>
      <c r="L627" s="15"/>
      <c r="M627" s="15" t="s">
        <v>311</v>
      </c>
    </row>
    <row r="628" spans="2:15" ht="13.5" customHeight="1">
      <c r="B628" s="47">
        <v>539</v>
      </c>
      <c r="C628" s="47" t="s">
        <v>895</v>
      </c>
      <c r="D628" s="47" t="s">
        <v>171</v>
      </c>
      <c r="E628" s="47" t="s">
        <v>1098</v>
      </c>
      <c r="H628" s="47" t="s">
        <v>30</v>
      </c>
      <c r="L628" s="15"/>
      <c r="M628" s="15" t="s">
        <v>1115</v>
      </c>
      <c r="N628" s="47" t="s">
        <v>1116</v>
      </c>
      <c r="O628" s="47" t="s">
        <v>30</v>
      </c>
    </row>
    <row r="629" spans="2:15" ht="13.5" customHeight="1">
      <c r="B629" s="47">
        <v>540</v>
      </c>
      <c r="C629" s="47" t="s">
        <v>907</v>
      </c>
      <c r="D629" s="47" t="s">
        <v>171</v>
      </c>
      <c r="E629" s="47" t="s">
        <v>1098</v>
      </c>
      <c r="H629" s="47" t="s">
        <v>30</v>
      </c>
      <c r="L629" s="15"/>
      <c r="M629" s="15" t="s">
        <v>1115</v>
      </c>
      <c r="N629" s="47" t="s">
        <v>1116</v>
      </c>
      <c r="O629" s="47" t="s">
        <v>30</v>
      </c>
    </row>
    <row r="630" spans="2:15" ht="13.5" customHeight="1">
      <c r="B630" s="47">
        <v>561</v>
      </c>
      <c r="C630" s="47" t="s">
        <v>129</v>
      </c>
      <c r="F630" s="47" t="s">
        <v>1234</v>
      </c>
      <c r="G630" s="47">
        <v>1</v>
      </c>
      <c r="H630" s="47" t="s">
        <v>530</v>
      </c>
      <c r="L630" s="47" t="s">
        <v>314</v>
      </c>
      <c r="M630" s="47" t="s">
        <v>1279</v>
      </c>
    </row>
    <row r="631" spans="2:15" ht="13.5" customHeight="1">
      <c r="B631" s="47">
        <v>561</v>
      </c>
      <c r="C631" s="47" t="s">
        <v>129</v>
      </c>
      <c r="E631" s="47" t="s">
        <v>312</v>
      </c>
      <c r="F631" s="47" t="s">
        <v>313</v>
      </c>
      <c r="G631" s="47">
        <v>1</v>
      </c>
      <c r="H631" s="47" t="s">
        <v>62</v>
      </c>
      <c r="L631" s="15" t="s">
        <v>314</v>
      </c>
      <c r="M631" s="15" t="s">
        <v>315</v>
      </c>
    </row>
    <row r="632" spans="2:15" ht="13.5" customHeight="1">
      <c r="B632" s="47">
        <v>562</v>
      </c>
      <c r="C632" s="47" t="s">
        <v>129</v>
      </c>
      <c r="F632" s="47" t="s">
        <v>1234</v>
      </c>
      <c r="G632" s="47">
        <v>1</v>
      </c>
      <c r="H632" s="47" t="s">
        <v>530</v>
      </c>
      <c r="L632" s="47" t="s">
        <v>314</v>
      </c>
      <c r="M632" s="47" t="s">
        <v>1279</v>
      </c>
    </row>
    <row r="633" spans="2:15" ht="13.5" customHeight="1">
      <c r="B633" s="47">
        <v>562</v>
      </c>
      <c r="C633" s="47" t="s">
        <v>129</v>
      </c>
      <c r="E633" s="47" t="s">
        <v>312</v>
      </c>
      <c r="F633" s="47" t="s">
        <v>313</v>
      </c>
      <c r="G633" s="47">
        <v>1</v>
      </c>
      <c r="H633" s="47" t="s">
        <v>62</v>
      </c>
      <c r="L633" s="15" t="s">
        <v>314</v>
      </c>
      <c r="M633" s="15" t="s">
        <v>315</v>
      </c>
    </row>
    <row r="634" spans="2:15" ht="13.5" customHeight="1">
      <c r="B634" s="47">
        <v>563</v>
      </c>
      <c r="C634" s="47" t="s">
        <v>129</v>
      </c>
      <c r="F634" s="47" t="s">
        <v>1234</v>
      </c>
      <c r="G634" s="47">
        <v>1</v>
      </c>
      <c r="H634" s="47" t="s">
        <v>530</v>
      </c>
      <c r="L634" s="47" t="s">
        <v>314</v>
      </c>
      <c r="M634" s="47" t="s">
        <v>1279</v>
      </c>
    </row>
    <row r="635" spans="2:15" ht="13.5" customHeight="1">
      <c r="B635" s="47">
        <v>563</v>
      </c>
      <c r="C635" s="47" t="s">
        <v>129</v>
      </c>
      <c r="E635" s="47" t="s">
        <v>312</v>
      </c>
      <c r="F635" s="47" t="s">
        <v>313</v>
      </c>
      <c r="G635" s="47">
        <v>1</v>
      </c>
      <c r="H635" s="47" t="s">
        <v>62</v>
      </c>
      <c r="L635" s="15" t="s">
        <v>314</v>
      </c>
      <c r="M635" s="15" t="s">
        <v>315</v>
      </c>
    </row>
    <row r="636" spans="2:15" ht="13.5" customHeight="1">
      <c r="B636" s="47">
        <v>563</v>
      </c>
      <c r="C636" s="47" t="s">
        <v>129</v>
      </c>
      <c r="E636" s="47" t="s">
        <v>312</v>
      </c>
      <c r="F636" s="47" t="s">
        <v>313</v>
      </c>
      <c r="G636" s="47">
        <v>1</v>
      </c>
      <c r="H636" s="47" t="s">
        <v>62</v>
      </c>
      <c r="L636" s="15" t="s">
        <v>314</v>
      </c>
      <c r="M636" s="15" t="s">
        <v>315</v>
      </c>
    </row>
    <row r="637" spans="2:15" ht="13.5" customHeight="1">
      <c r="B637" s="47">
        <v>564</v>
      </c>
      <c r="C637" s="47" t="s">
        <v>129</v>
      </c>
      <c r="F637" s="47" t="s">
        <v>316</v>
      </c>
      <c r="G637" s="47">
        <v>1</v>
      </c>
      <c r="H637" s="47" t="s">
        <v>1274</v>
      </c>
      <c r="L637" s="47" t="s">
        <v>314</v>
      </c>
      <c r="M637" s="47" t="s">
        <v>1279</v>
      </c>
    </row>
    <row r="638" spans="2:15" ht="13.5" customHeight="1">
      <c r="B638" s="47">
        <v>564</v>
      </c>
      <c r="C638" s="47" t="s">
        <v>129</v>
      </c>
      <c r="E638" s="47" t="s">
        <v>312</v>
      </c>
      <c r="F638" s="47" t="s">
        <v>316</v>
      </c>
      <c r="G638" s="47">
        <v>1</v>
      </c>
      <c r="H638" s="47" t="s">
        <v>47</v>
      </c>
      <c r="L638" s="15" t="s">
        <v>314</v>
      </c>
      <c r="M638" s="15" t="s">
        <v>315</v>
      </c>
    </row>
    <row r="639" spans="2:15" ht="13.5" customHeight="1">
      <c r="B639" s="47">
        <v>565</v>
      </c>
      <c r="C639" s="47" t="s">
        <v>129</v>
      </c>
      <c r="F639" s="47" t="s">
        <v>1235</v>
      </c>
      <c r="G639" s="47">
        <v>1</v>
      </c>
      <c r="H639" s="47" t="s">
        <v>530</v>
      </c>
      <c r="L639" s="47" t="s">
        <v>314</v>
      </c>
      <c r="M639" s="47" t="s">
        <v>1279</v>
      </c>
    </row>
    <row r="640" spans="2:15" ht="13.5" customHeight="1">
      <c r="B640" s="47">
        <v>565</v>
      </c>
      <c r="C640" s="47" t="s">
        <v>129</v>
      </c>
      <c r="E640" s="47" t="s">
        <v>312</v>
      </c>
      <c r="F640" s="47" t="s">
        <v>186</v>
      </c>
      <c r="G640" s="47">
        <v>1</v>
      </c>
      <c r="H640" s="47" t="s">
        <v>62</v>
      </c>
      <c r="L640" s="15" t="s">
        <v>314</v>
      </c>
      <c r="M640" s="15" t="s">
        <v>315</v>
      </c>
    </row>
    <row r="641" spans="1:28" ht="13.5" customHeight="1">
      <c r="B641" s="47">
        <v>566</v>
      </c>
      <c r="C641" s="47" t="s">
        <v>129</v>
      </c>
      <c r="F641" s="47" t="s">
        <v>1239</v>
      </c>
      <c r="G641" s="47">
        <v>1</v>
      </c>
      <c r="H641" s="47" t="s">
        <v>1275</v>
      </c>
      <c r="L641" s="47" t="s">
        <v>314</v>
      </c>
      <c r="M641" s="47" t="s">
        <v>1279</v>
      </c>
    </row>
    <row r="642" spans="1:28" ht="13.5" customHeight="1">
      <c r="B642" s="47">
        <v>566</v>
      </c>
      <c r="C642" s="47" t="s">
        <v>129</v>
      </c>
      <c r="E642" s="47" t="s">
        <v>312</v>
      </c>
      <c r="F642" s="47" t="s">
        <v>317</v>
      </c>
      <c r="G642" s="47">
        <v>1</v>
      </c>
      <c r="H642" s="47" t="s">
        <v>62</v>
      </c>
      <c r="L642" s="15" t="s">
        <v>314</v>
      </c>
      <c r="M642" s="15" t="s">
        <v>315</v>
      </c>
    </row>
    <row r="643" spans="1:28" ht="13.5" customHeight="1">
      <c r="B643" s="47">
        <v>567</v>
      </c>
      <c r="C643" s="47" t="s">
        <v>129</v>
      </c>
      <c r="F643" s="47" t="s">
        <v>1240</v>
      </c>
      <c r="G643" s="47">
        <v>1</v>
      </c>
      <c r="H643" s="47" t="s">
        <v>530</v>
      </c>
      <c r="L643" s="47" t="s">
        <v>314</v>
      </c>
      <c r="M643" s="47" t="s">
        <v>1279</v>
      </c>
    </row>
    <row r="644" spans="1:28" ht="13.5" customHeight="1">
      <c r="B644" s="47">
        <v>567</v>
      </c>
      <c r="C644" s="47" t="s">
        <v>129</v>
      </c>
      <c r="E644" s="47" t="s">
        <v>312</v>
      </c>
      <c r="F644" s="47" t="s">
        <v>318</v>
      </c>
      <c r="G644" s="47">
        <v>1</v>
      </c>
      <c r="H644" s="47" t="s">
        <v>62</v>
      </c>
      <c r="L644" s="15" t="s">
        <v>314</v>
      </c>
      <c r="M644" s="15" t="s">
        <v>315</v>
      </c>
    </row>
    <row r="645" spans="1:28" ht="13.5" customHeight="1">
      <c r="B645" s="47">
        <v>568</v>
      </c>
      <c r="C645" s="47" t="s">
        <v>129</v>
      </c>
      <c r="F645" s="47" t="s">
        <v>1223</v>
      </c>
      <c r="G645" s="47">
        <v>1</v>
      </c>
      <c r="H645" s="47" t="s">
        <v>1274</v>
      </c>
      <c r="L645" s="47" t="s">
        <v>314</v>
      </c>
      <c r="M645" s="47" t="s">
        <v>1279</v>
      </c>
    </row>
    <row r="646" spans="1:28" ht="13.5" customHeight="1">
      <c r="B646" s="47">
        <v>568</v>
      </c>
      <c r="C646" s="47" t="s">
        <v>129</v>
      </c>
      <c r="E646" s="47" t="s">
        <v>312</v>
      </c>
      <c r="F646" s="47" t="s">
        <v>242</v>
      </c>
      <c r="G646" s="47">
        <v>1</v>
      </c>
      <c r="H646" s="47" t="s">
        <v>62</v>
      </c>
      <c r="L646" s="15" t="s">
        <v>314</v>
      </c>
      <c r="M646" s="15" t="s">
        <v>315</v>
      </c>
    </row>
    <row r="647" spans="1:28" ht="13.5" customHeight="1">
      <c r="B647" s="47">
        <v>569</v>
      </c>
      <c r="C647" s="47" t="s">
        <v>129</v>
      </c>
      <c r="F647" s="47" t="s">
        <v>1241</v>
      </c>
      <c r="G647" s="47">
        <v>1</v>
      </c>
      <c r="H647" s="47" t="s">
        <v>1274</v>
      </c>
      <c r="L647" s="47" t="s">
        <v>314</v>
      </c>
      <c r="M647" s="47" t="s">
        <v>1279</v>
      </c>
    </row>
    <row r="648" spans="1:28" ht="13.5" customHeight="1">
      <c r="B648" s="47">
        <v>569</v>
      </c>
      <c r="C648" s="47" t="s">
        <v>129</v>
      </c>
      <c r="E648" s="47" t="s">
        <v>312</v>
      </c>
      <c r="F648" s="47" t="s">
        <v>319</v>
      </c>
      <c r="G648" s="47">
        <v>1</v>
      </c>
      <c r="H648" s="47" t="s">
        <v>62</v>
      </c>
      <c r="L648" s="15" t="s">
        <v>314</v>
      </c>
      <c r="M648" s="15" t="s">
        <v>315</v>
      </c>
    </row>
    <row r="649" spans="1:28" ht="13.5" customHeight="1">
      <c r="B649" s="47">
        <v>570</v>
      </c>
      <c r="C649" s="47" t="s">
        <v>129</v>
      </c>
      <c r="F649" s="47" t="s">
        <v>1241</v>
      </c>
      <c r="G649" s="47">
        <v>1</v>
      </c>
      <c r="H649" s="47" t="s">
        <v>1274</v>
      </c>
      <c r="L649" s="47" t="s">
        <v>314</v>
      </c>
      <c r="M649" s="47" t="s">
        <v>1279</v>
      </c>
    </row>
    <row r="650" spans="1:28" ht="13.5" customHeight="1">
      <c r="B650" s="47">
        <v>570</v>
      </c>
      <c r="C650" s="47" t="s">
        <v>129</v>
      </c>
      <c r="E650" s="47" t="s">
        <v>312</v>
      </c>
      <c r="F650" s="47" t="s">
        <v>319</v>
      </c>
      <c r="G650" s="47">
        <v>1</v>
      </c>
      <c r="H650" s="47" t="s">
        <v>62</v>
      </c>
      <c r="L650" s="15" t="s">
        <v>314</v>
      </c>
      <c r="M650" s="15" t="s">
        <v>315</v>
      </c>
    </row>
    <row r="651" spans="1:28" ht="13.5" customHeight="1">
      <c r="B651" s="47">
        <v>571</v>
      </c>
      <c r="C651" s="47" t="s">
        <v>129</v>
      </c>
      <c r="F651" s="47" t="s">
        <v>1230</v>
      </c>
      <c r="G651" s="47">
        <v>1</v>
      </c>
      <c r="H651" s="47" t="s">
        <v>530</v>
      </c>
      <c r="L651" s="47" t="s">
        <v>314</v>
      </c>
      <c r="M651" s="47" t="s">
        <v>1279</v>
      </c>
    </row>
    <row r="652" spans="1:28" ht="13.5" customHeight="1">
      <c r="B652" s="47">
        <v>571</v>
      </c>
      <c r="C652" s="47" t="s">
        <v>129</v>
      </c>
      <c r="E652" s="47" t="s">
        <v>312</v>
      </c>
      <c r="F652" s="47" t="s">
        <v>247</v>
      </c>
      <c r="G652" s="47">
        <v>1</v>
      </c>
      <c r="H652" s="47" t="s">
        <v>62</v>
      </c>
      <c r="L652" s="15" t="s">
        <v>314</v>
      </c>
      <c r="M652" s="15" t="s">
        <v>315</v>
      </c>
    </row>
    <row r="653" spans="1:28" ht="13.5" customHeight="1">
      <c r="A653" s="48"/>
      <c r="B653" s="48">
        <v>572</v>
      </c>
      <c r="C653" s="48" t="s">
        <v>131</v>
      </c>
      <c r="D653" s="51" t="s">
        <v>172</v>
      </c>
      <c r="E653" s="51" t="s">
        <v>256</v>
      </c>
      <c r="F653" s="51"/>
      <c r="G653" s="51"/>
      <c r="H653" s="51" t="s">
        <v>35</v>
      </c>
      <c r="I653" s="51" t="s">
        <v>46</v>
      </c>
      <c r="J653" s="51"/>
      <c r="K653" s="51"/>
      <c r="L653" s="52"/>
      <c r="M653" s="41" t="s">
        <v>174</v>
      </c>
      <c r="N653" s="51" t="s">
        <v>320</v>
      </c>
      <c r="O653" s="48"/>
      <c r="P653" s="48"/>
      <c r="Q653" s="48"/>
      <c r="R653" s="48"/>
      <c r="S653" s="48"/>
      <c r="T653" s="48"/>
      <c r="U653" s="48"/>
      <c r="V653" s="48"/>
      <c r="W653" s="48"/>
      <c r="X653" s="48"/>
      <c r="Y653" s="48"/>
      <c r="Z653" s="48"/>
      <c r="AA653" s="48"/>
      <c r="AB653" s="48"/>
    </row>
    <row r="654" spans="1:28" ht="13.5" customHeight="1">
      <c r="B654" s="47">
        <v>572</v>
      </c>
      <c r="C654" s="47" t="s">
        <v>129</v>
      </c>
      <c r="F654" s="47" t="s">
        <v>1221</v>
      </c>
      <c r="G654" s="47">
        <v>1</v>
      </c>
      <c r="H654" s="47" t="s">
        <v>530</v>
      </c>
      <c r="L654" s="47" t="s">
        <v>314</v>
      </c>
      <c r="M654" s="47" t="s">
        <v>1279</v>
      </c>
    </row>
    <row r="655" spans="1:28" ht="13.5" customHeight="1">
      <c r="A655" s="48"/>
      <c r="B655" s="48">
        <v>572</v>
      </c>
      <c r="C655" s="48" t="s">
        <v>129</v>
      </c>
      <c r="D655" s="48" t="s">
        <v>177</v>
      </c>
      <c r="E655" s="48" t="s">
        <v>312</v>
      </c>
      <c r="F655" s="48" t="s">
        <v>248</v>
      </c>
      <c r="G655" s="48">
        <v>1</v>
      </c>
      <c r="H655" s="48" t="s">
        <v>62</v>
      </c>
      <c r="I655" s="48"/>
      <c r="J655" s="48"/>
      <c r="K655" s="48"/>
      <c r="L655" s="41" t="s">
        <v>314</v>
      </c>
      <c r="M655" s="41" t="s">
        <v>315</v>
      </c>
      <c r="N655" s="51"/>
      <c r="O655" s="48"/>
      <c r="P655" s="48"/>
      <c r="Q655" s="48"/>
      <c r="R655" s="48"/>
      <c r="S655" s="48"/>
      <c r="T655" s="48"/>
      <c r="U655" s="48"/>
      <c r="V655" s="48"/>
      <c r="W655" s="48"/>
      <c r="X655" s="48"/>
      <c r="Y655" s="48"/>
      <c r="Z655" s="48"/>
      <c r="AA655" s="48"/>
      <c r="AB655" s="48"/>
    </row>
    <row r="656" spans="1:28" ht="13.5" customHeight="1">
      <c r="A656" s="48"/>
      <c r="B656" s="48">
        <v>573</v>
      </c>
      <c r="C656" s="48" t="s">
        <v>135</v>
      </c>
      <c r="D656" s="51" t="s">
        <v>172</v>
      </c>
      <c r="E656" s="51" t="s">
        <v>256</v>
      </c>
      <c r="F656" s="51"/>
      <c r="G656" s="51"/>
      <c r="H656" s="51" t="s">
        <v>35</v>
      </c>
      <c r="I656" s="51" t="s">
        <v>46</v>
      </c>
      <c r="J656" s="51"/>
      <c r="K656" s="51"/>
      <c r="L656" s="52"/>
      <c r="M656" s="41" t="s">
        <v>174</v>
      </c>
      <c r="N656" s="51" t="s">
        <v>320</v>
      </c>
      <c r="O656" s="48"/>
      <c r="P656" s="48"/>
      <c r="Q656" s="48"/>
      <c r="R656" s="48"/>
      <c r="S656" s="48"/>
      <c r="T656" s="48"/>
      <c r="U656" s="48"/>
      <c r="V656" s="48"/>
      <c r="W656" s="48"/>
      <c r="X656" s="48"/>
      <c r="Y656" s="48"/>
      <c r="Z656" s="48"/>
      <c r="AA656" s="48"/>
      <c r="AB656" s="48"/>
    </row>
    <row r="657" spans="1:35" ht="13.5" customHeight="1">
      <c r="B657" s="47">
        <v>573</v>
      </c>
      <c r="C657" s="47" t="s">
        <v>129</v>
      </c>
      <c r="F657" s="47" t="s">
        <v>1242</v>
      </c>
      <c r="G657" s="47">
        <v>1</v>
      </c>
      <c r="H657" s="47" t="s">
        <v>530</v>
      </c>
      <c r="L657" s="47" t="s">
        <v>314</v>
      </c>
      <c r="M657" s="47" t="s">
        <v>1279</v>
      </c>
    </row>
    <row r="658" spans="1:35" ht="13.5" customHeight="1">
      <c r="A658" s="48"/>
      <c r="B658" s="48">
        <v>573</v>
      </c>
      <c r="C658" s="48" t="s">
        <v>129</v>
      </c>
      <c r="D658" s="48" t="s">
        <v>177</v>
      </c>
      <c r="E658" s="48" t="s">
        <v>312</v>
      </c>
      <c r="F658" s="48" t="s">
        <v>321</v>
      </c>
      <c r="G658" s="48">
        <v>1</v>
      </c>
      <c r="H658" s="48" t="s">
        <v>62</v>
      </c>
      <c r="I658" s="48"/>
      <c r="J658" s="48"/>
      <c r="K658" s="48"/>
      <c r="L658" s="41" t="s">
        <v>314</v>
      </c>
      <c r="M658" s="41" t="s">
        <v>315</v>
      </c>
      <c r="N658" s="51"/>
      <c r="O658" s="48"/>
      <c r="P658" s="48"/>
      <c r="Q658" s="48"/>
      <c r="R658" s="48"/>
      <c r="S658" s="48"/>
      <c r="T658" s="48"/>
      <c r="U658" s="48"/>
      <c r="V658" s="48"/>
      <c r="W658" s="48"/>
      <c r="X658" s="48"/>
      <c r="Y658" s="48"/>
      <c r="Z658" s="48"/>
      <c r="AA658" s="48"/>
      <c r="AB658" s="48"/>
    </row>
    <row r="659" spans="1:35" ht="13.5" customHeight="1">
      <c r="A659" s="48"/>
      <c r="B659" s="48">
        <v>574</v>
      </c>
      <c r="C659" s="48" t="s">
        <v>135</v>
      </c>
      <c r="D659" s="51" t="s">
        <v>172</v>
      </c>
      <c r="E659" s="51" t="s">
        <v>256</v>
      </c>
      <c r="F659" s="51"/>
      <c r="G659" s="51"/>
      <c r="H659" s="51" t="s">
        <v>35</v>
      </c>
      <c r="I659" s="51" t="s">
        <v>46</v>
      </c>
      <c r="J659" s="51"/>
      <c r="K659" s="51"/>
      <c r="L659" s="52"/>
      <c r="M659" s="41" t="s">
        <v>174</v>
      </c>
      <c r="N659" s="51" t="s">
        <v>250</v>
      </c>
      <c r="O659" s="48"/>
      <c r="P659" s="48"/>
      <c r="Q659" s="48"/>
      <c r="R659" s="48"/>
      <c r="S659" s="48"/>
      <c r="T659" s="48"/>
      <c r="U659" s="48"/>
      <c r="V659" s="48"/>
      <c r="W659" s="48"/>
      <c r="X659" s="48"/>
      <c r="Y659" s="48"/>
      <c r="Z659" s="48"/>
      <c r="AA659" s="48"/>
      <c r="AB659" s="48"/>
    </row>
    <row r="660" spans="1:35" ht="13.5" customHeight="1">
      <c r="B660" s="47">
        <v>574</v>
      </c>
      <c r="C660" s="47" t="s">
        <v>129</v>
      </c>
      <c r="F660" s="47" t="s">
        <v>1243</v>
      </c>
      <c r="G660" s="47">
        <v>1</v>
      </c>
      <c r="H660" s="47" t="s">
        <v>530</v>
      </c>
      <c r="L660" s="47" t="s">
        <v>314</v>
      </c>
      <c r="M660" s="47" t="s">
        <v>1279</v>
      </c>
    </row>
    <row r="661" spans="1:35" ht="13.5" customHeight="1">
      <c r="A661" s="48"/>
      <c r="B661" s="48">
        <v>574</v>
      </c>
      <c r="C661" s="48" t="s">
        <v>129</v>
      </c>
      <c r="D661" s="48" t="s">
        <v>177</v>
      </c>
      <c r="E661" s="48" t="s">
        <v>312</v>
      </c>
      <c r="F661" s="48" t="s">
        <v>322</v>
      </c>
      <c r="G661" s="48">
        <v>1</v>
      </c>
      <c r="H661" s="48" t="s">
        <v>62</v>
      </c>
      <c r="I661" s="48"/>
      <c r="J661" s="48"/>
      <c r="K661" s="48"/>
      <c r="L661" s="41" t="s">
        <v>314</v>
      </c>
      <c r="M661" s="41" t="s">
        <v>315</v>
      </c>
      <c r="N661" s="51"/>
      <c r="O661" s="48"/>
      <c r="P661" s="48"/>
      <c r="Q661" s="48"/>
      <c r="R661" s="48"/>
      <c r="S661" s="48"/>
      <c r="T661" s="48"/>
      <c r="U661" s="48"/>
      <c r="V661" s="48"/>
      <c r="W661" s="48"/>
      <c r="X661" s="48"/>
      <c r="Y661" s="48"/>
      <c r="Z661" s="48"/>
      <c r="AA661" s="48"/>
      <c r="AB661" s="48"/>
    </row>
    <row r="662" spans="1:35" ht="13.5" customHeight="1">
      <c r="A662" s="48"/>
      <c r="B662" s="48">
        <v>575</v>
      </c>
      <c r="C662" s="48" t="s">
        <v>136</v>
      </c>
      <c r="D662" s="48"/>
      <c r="E662" s="48"/>
      <c r="F662" s="48" t="s">
        <v>262</v>
      </c>
      <c r="G662" s="48">
        <v>500</v>
      </c>
      <c r="H662" s="48" t="s">
        <v>46</v>
      </c>
      <c r="I662" s="48"/>
      <c r="J662" s="48"/>
      <c r="K662" s="48"/>
      <c r="L662" s="41" t="s">
        <v>180</v>
      </c>
      <c r="M662" s="41" t="s">
        <v>181</v>
      </c>
      <c r="N662" s="48"/>
      <c r="O662" s="48"/>
      <c r="P662" s="48"/>
      <c r="Q662" s="48"/>
      <c r="R662" s="48"/>
      <c r="S662" s="48"/>
      <c r="T662" s="48"/>
      <c r="U662" s="48"/>
      <c r="V662" s="48"/>
      <c r="W662" s="48"/>
      <c r="X662" s="48"/>
      <c r="Y662" s="48"/>
      <c r="Z662" s="48"/>
      <c r="AA662" s="48"/>
      <c r="AB662" s="48"/>
    </row>
    <row r="663" spans="1:35" ht="13.5" customHeight="1">
      <c r="B663" s="47">
        <v>575</v>
      </c>
      <c r="C663" s="47" t="s">
        <v>129</v>
      </c>
      <c r="F663" s="47" t="s">
        <v>1243</v>
      </c>
      <c r="G663" s="47">
        <v>1</v>
      </c>
      <c r="H663" s="47" t="s">
        <v>530</v>
      </c>
      <c r="L663" s="47" t="s">
        <v>314</v>
      </c>
      <c r="M663" s="47" t="s">
        <v>1279</v>
      </c>
    </row>
    <row r="664" spans="1:35" ht="13.5" customHeight="1">
      <c r="A664" s="48"/>
      <c r="B664" s="48">
        <v>575</v>
      </c>
      <c r="C664" s="48" t="s">
        <v>129</v>
      </c>
      <c r="D664" s="48" t="s">
        <v>177</v>
      </c>
      <c r="E664" s="48" t="s">
        <v>312</v>
      </c>
      <c r="F664" s="48" t="s">
        <v>322</v>
      </c>
      <c r="G664" s="48">
        <v>1</v>
      </c>
      <c r="H664" s="48" t="s">
        <v>62</v>
      </c>
      <c r="I664" s="48"/>
      <c r="J664" s="48"/>
      <c r="K664" s="48"/>
      <c r="L664" s="41" t="s">
        <v>314</v>
      </c>
      <c r="M664" s="41" t="s">
        <v>315</v>
      </c>
      <c r="N664" s="51"/>
      <c r="O664" s="48"/>
      <c r="P664" s="48"/>
      <c r="Q664" s="48"/>
      <c r="R664" s="48"/>
      <c r="S664" s="48"/>
      <c r="T664" s="48"/>
      <c r="U664" s="48"/>
      <c r="V664" s="48"/>
      <c r="W664" s="48"/>
      <c r="X664" s="48"/>
      <c r="Y664" s="48"/>
      <c r="Z664" s="48"/>
      <c r="AA664" s="48"/>
      <c r="AB664" s="48"/>
      <c r="AF664" s="48"/>
      <c r="AG664" s="48"/>
      <c r="AH664" s="48"/>
      <c r="AI664" s="48"/>
    </row>
    <row r="665" spans="1:35" ht="13.5" customHeight="1">
      <c r="A665" s="48"/>
      <c r="B665" s="48">
        <v>576</v>
      </c>
      <c r="C665" s="48" t="s">
        <v>136</v>
      </c>
      <c r="D665" s="48"/>
      <c r="E665" s="48"/>
      <c r="F665" s="48" t="s">
        <v>262</v>
      </c>
      <c r="G665" s="48">
        <v>500</v>
      </c>
      <c r="H665" s="48" t="s">
        <v>46</v>
      </c>
      <c r="I665" s="48"/>
      <c r="J665" s="48"/>
      <c r="K665" s="48"/>
      <c r="L665" s="41" t="s">
        <v>180</v>
      </c>
      <c r="M665" s="41" t="s">
        <v>181</v>
      </c>
      <c r="N665" s="48"/>
      <c r="O665" s="48"/>
      <c r="P665" s="48"/>
      <c r="Q665" s="48"/>
      <c r="R665" s="48"/>
      <c r="S665" s="48"/>
      <c r="T665" s="48"/>
      <c r="U665" s="48"/>
      <c r="V665" s="48"/>
      <c r="W665" s="48"/>
      <c r="X665" s="48"/>
      <c r="Y665" s="48"/>
      <c r="Z665" s="48"/>
      <c r="AA665" s="48"/>
      <c r="AB665" s="48"/>
    </row>
    <row r="666" spans="1:35" ht="13.5" customHeight="1">
      <c r="B666" s="47">
        <v>576</v>
      </c>
      <c r="C666" s="47" t="s">
        <v>129</v>
      </c>
      <c r="F666" s="47" t="s">
        <v>1234</v>
      </c>
      <c r="G666" s="47">
        <v>1</v>
      </c>
      <c r="H666" s="47" t="s">
        <v>530</v>
      </c>
      <c r="L666" s="47" t="s">
        <v>314</v>
      </c>
      <c r="M666" s="47" t="s">
        <v>1279</v>
      </c>
    </row>
    <row r="667" spans="1:35" ht="13.5" customHeight="1">
      <c r="A667" s="48"/>
      <c r="B667" s="48">
        <v>576</v>
      </c>
      <c r="C667" s="48" t="s">
        <v>129</v>
      </c>
      <c r="D667" s="48" t="s">
        <v>177</v>
      </c>
      <c r="E667" s="48" t="s">
        <v>312</v>
      </c>
      <c r="F667" s="48" t="s">
        <v>313</v>
      </c>
      <c r="G667" s="48">
        <v>1</v>
      </c>
      <c r="H667" s="48" t="s">
        <v>62</v>
      </c>
      <c r="I667" s="48"/>
      <c r="J667" s="48"/>
      <c r="K667" s="48"/>
      <c r="L667" s="41" t="s">
        <v>314</v>
      </c>
      <c r="M667" s="41" t="s">
        <v>315</v>
      </c>
      <c r="N667" s="51"/>
      <c r="O667" s="48"/>
      <c r="P667" s="48"/>
      <c r="Q667" s="48"/>
      <c r="R667" s="48"/>
      <c r="S667" s="48"/>
      <c r="T667" s="48"/>
      <c r="U667" s="48"/>
      <c r="V667" s="48"/>
      <c r="W667" s="48"/>
      <c r="X667" s="48"/>
      <c r="Y667" s="48"/>
      <c r="Z667" s="48"/>
      <c r="AA667" s="48"/>
      <c r="AB667" s="48"/>
    </row>
    <row r="668" spans="1:35" ht="13.5" customHeight="1">
      <c r="A668" s="48"/>
      <c r="B668" s="48">
        <v>577</v>
      </c>
      <c r="C668" s="48" t="s">
        <v>136</v>
      </c>
      <c r="D668" s="48"/>
      <c r="E668" s="48"/>
      <c r="F668" s="48" t="s">
        <v>318</v>
      </c>
      <c r="G668" s="48">
        <v>10</v>
      </c>
      <c r="H668" s="48" t="s">
        <v>46</v>
      </c>
      <c r="I668" s="48"/>
      <c r="J668" s="48"/>
      <c r="K668" s="48"/>
      <c r="L668" s="41" t="s">
        <v>180</v>
      </c>
      <c r="M668" s="41" t="s">
        <v>183</v>
      </c>
      <c r="N668" s="48"/>
      <c r="O668" s="48"/>
      <c r="P668" s="48"/>
      <c r="Q668" s="48"/>
      <c r="R668" s="48"/>
      <c r="S668" s="48"/>
      <c r="T668" s="48"/>
      <c r="U668" s="48"/>
      <c r="V668" s="48"/>
      <c r="W668" s="48"/>
      <c r="X668" s="48"/>
      <c r="Y668" s="48"/>
      <c r="Z668" s="48"/>
      <c r="AA668" s="48"/>
      <c r="AB668" s="48"/>
    </row>
    <row r="669" spans="1:35" ht="13.5" customHeight="1">
      <c r="B669" s="47">
        <v>577</v>
      </c>
      <c r="C669" s="47" t="s">
        <v>129</v>
      </c>
      <c r="F669" s="47" t="s">
        <v>1239</v>
      </c>
      <c r="G669" s="47">
        <v>1</v>
      </c>
      <c r="H669" s="47" t="s">
        <v>1275</v>
      </c>
      <c r="L669" s="47" t="s">
        <v>314</v>
      </c>
      <c r="M669" s="47" t="s">
        <v>1279</v>
      </c>
    </row>
    <row r="670" spans="1:35" ht="13.5" customHeight="1">
      <c r="A670" s="48"/>
      <c r="B670" s="48">
        <v>577</v>
      </c>
      <c r="C670" s="48" t="s">
        <v>129</v>
      </c>
      <c r="D670" s="48" t="s">
        <v>177</v>
      </c>
      <c r="E670" s="48" t="s">
        <v>312</v>
      </c>
      <c r="F670" s="48" t="s">
        <v>317</v>
      </c>
      <c r="G670" s="48">
        <v>1</v>
      </c>
      <c r="H670" s="48" t="s">
        <v>62</v>
      </c>
      <c r="I670" s="48"/>
      <c r="J670" s="48"/>
      <c r="K670" s="48"/>
      <c r="L670" s="41" t="s">
        <v>314</v>
      </c>
      <c r="M670" s="41" t="s">
        <v>315</v>
      </c>
      <c r="N670" s="51"/>
      <c r="O670" s="48"/>
      <c r="P670" s="48"/>
      <c r="Q670" s="48"/>
      <c r="R670" s="48"/>
      <c r="S670" s="48"/>
      <c r="T670" s="48"/>
      <c r="U670" s="48"/>
      <c r="V670" s="48"/>
      <c r="W670" s="48"/>
      <c r="X670" s="48"/>
      <c r="Y670" s="48"/>
      <c r="Z670" s="48"/>
      <c r="AA670" s="48"/>
      <c r="AB670" s="48"/>
    </row>
    <row r="671" spans="1:35" ht="13.5" customHeight="1">
      <c r="A671" s="48"/>
      <c r="B671" s="48">
        <v>578</v>
      </c>
      <c r="C671" s="48" t="s">
        <v>136</v>
      </c>
      <c r="D671" s="48"/>
      <c r="E671" s="48"/>
      <c r="F671" s="48" t="s">
        <v>247</v>
      </c>
      <c r="G671" s="48">
        <v>8</v>
      </c>
      <c r="H671" s="48" t="s">
        <v>46</v>
      </c>
      <c r="I671" s="48"/>
      <c r="J671" s="48"/>
      <c r="K671" s="48"/>
      <c r="L671" s="41" t="s">
        <v>180</v>
      </c>
      <c r="M671" s="41" t="s">
        <v>183</v>
      </c>
      <c r="N671" s="48"/>
      <c r="O671" s="48"/>
      <c r="P671" s="48"/>
      <c r="Q671" s="48"/>
      <c r="R671" s="48"/>
      <c r="S671" s="48"/>
      <c r="T671" s="48"/>
      <c r="U671" s="48"/>
      <c r="V671" s="48"/>
      <c r="W671" s="48"/>
      <c r="X671" s="48"/>
      <c r="Y671" s="48"/>
      <c r="Z671" s="48"/>
      <c r="AA671" s="48"/>
      <c r="AB671" s="48"/>
    </row>
    <row r="672" spans="1:35" ht="13.5" customHeight="1">
      <c r="B672" s="47">
        <v>578</v>
      </c>
      <c r="C672" s="47" t="s">
        <v>129</v>
      </c>
      <c r="F672" s="47" t="s">
        <v>1240</v>
      </c>
      <c r="G672" s="47">
        <v>1</v>
      </c>
      <c r="H672" s="47" t="s">
        <v>530</v>
      </c>
      <c r="L672" s="47" t="s">
        <v>314</v>
      </c>
      <c r="M672" s="47" t="s">
        <v>1279</v>
      </c>
    </row>
    <row r="673" spans="1:28" ht="13.5" customHeight="1">
      <c r="A673" s="48"/>
      <c r="B673" s="48">
        <v>578</v>
      </c>
      <c r="C673" s="48" t="s">
        <v>129</v>
      </c>
      <c r="D673" s="48" t="s">
        <v>177</v>
      </c>
      <c r="E673" s="48" t="s">
        <v>312</v>
      </c>
      <c r="F673" s="48"/>
      <c r="G673" s="48">
        <v>1</v>
      </c>
      <c r="H673" s="48" t="s">
        <v>62</v>
      </c>
      <c r="I673" s="48"/>
      <c r="J673" s="48"/>
      <c r="K673" s="48"/>
      <c r="L673" s="41" t="s">
        <v>314</v>
      </c>
      <c r="M673" s="41" t="s">
        <v>315</v>
      </c>
      <c r="N673" s="51"/>
      <c r="O673" s="48"/>
      <c r="P673" s="48"/>
      <c r="Q673" s="48"/>
      <c r="R673" s="48"/>
      <c r="S673" s="48"/>
      <c r="T673" s="48"/>
      <c r="U673" s="48"/>
      <c r="V673" s="48"/>
      <c r="W673" s="48"/>
      <c r="X673" s="48"/>
      <c r="Y673" s="48"/>
      <c r="Z673" s="48"/>
      <c r="AA673" s="48"/>
      <c r="AB673" s="48"/>
    </row>
    <row r="674" spans="1:28" ht="13.5" customHeight="1">
      <c r="A674" s="48"/>
      <c r="B674" s="48">
        <v>579</v>
      </c>
      <c r="C674" s="48" t="s">
        <v>136</v>
      </c>
      <c r="D674" s="48"/>
      <c r="E674" s="48"/>
      <c r="F674" s="48" t="s">
        <v>185</v>
      </c>
      <c r="G674" s="48">
        <v>1</v>
      </c>
      <c r="H674" s="48" t="s">
        <v>46</v>
      </c>
      <c r="I674" s="48"/>
      <c r="J674" s="48"/>
      <c r="K674" s="48"/>
      <c r="L674" s="41" t="s">
        <v>180</v>
      </c>
      <c r="M674" s="41" t="s">
        <v>323</v>
      </c>
      <c r="N674" s="48"/>
      <c r="O674" s="48"/>
      <c r="P674" s="48"/>
      <c r="Q674" s="48"/>
      <c r="R674" s="48"/>
      <c r="S674" s="48"/>
      <c r="T674" s="48"/>
      <c r="U674" s="48"/>
      <c r="V674" s="48"/>
      <c r="W674" s="48"/>
      <c r="X674" s="48"/>
      <c r="Y674" s="48"/>
      <c r="Z674" s="48"/>
      <c r="AA674" s="48"/>
      <c r="AB674" s="48"/>
    </row>
    <row r="675" spans="1:28" ht="13.5" customHeight="1">
      <c r="B675" s="47">
        <v>579</v>
      </c>
      <c r="C675" s="47" t="s">
        <v>129</v>
      </c>
      <c r="F675" s="47" t="s">
        <v>1224</v>
      </c>
      <c r="G675" s="47">
        <v>1</v>
      </c>
      <c r="H675" s="47" t="s">
        <v>530</v>
      </c>
      <c r="L675" s="47" t="s">
        <v>314</v>
      </c>
      <c r="M675" s="47" t="s">
        <v>1279</v>
      </c>
    </row>
    <row r="676" spans="1:28" ht="13.5" customHeight="1">
      <c r="A676" s="48"/>
      <c r="B676" s="48">
        <v>579</v>
      </c>
      <c r="C676" s="48" t="s">
        <v>129</v>
      </c>
      <c r="D676" s="48" t="s">
        <v>177</v>
      </c>
      <c r="E676" s="48" t="s">
        <v>312</v>
      </c>
      <c r="F676" s="48" t="s">
        <v>318</v>
      </c>
      <c r="G676" s="48">
        <v>1</v>
      </c>
      <c r="H676" s="48" t="s">
        <v>62</v>
      </c>
      <c r="I676" s="48"/>
      <c r="J676" s="48"/>
      <c r="K676" s="48"/>
      <c r="L676" s="41" t="s">
        <v>314</v>
      </c>
      <c r="M676" s="41" t="s">
        <v>315</v>
      </c>
      <c r="N676" s="51"/>
      <c r="O676" s="48"/>
      <c r="P676" s="48"/>
      <c r="Q676" s="48"/>
      <c r="R676" s="48"/>
      <c r="S676" s="48"/>
      <c r="T676" s="48"/>
      <c r="U676" s="48"/>
      <c r="V676" s="48"/>
      <c r="W676" s="48"/>
      <c r="X676" s="48"/>
      <c r="Y676" s="48"/>
      <c r="Z676" s="48"/>
      <c r="AA676" s="48"/>
      <c r="AB676" s="48"/>
    </row>
    <row r="677" spans="1:28" ht="13.5" customHeight="1">
      <c r="B677" s="47">
        <v>580</v>
      </c>
      <c r="C677" s="47" t="s">
        <v>129</v>
      </c>
      <c r="F677" s="47" t="s">
        <v>1223</v>
      </c>
      <c r="G677" s="47">
        <v>1</v>
      </c>
      <c r="H677" s="47" t="s">
        <v>1274</v>
      </c>
      <c r="L677" s="47" t="s">
        <v>314</v>
      </c>
      <c r="M677" s="47" t="s">
        <v>1279</v>
      </c>
    </row>
    <row r="678" spans="1:28" ht="13.5" customHeight="1">
      <c r="B678" s="47">
        <v>580</v>
      </c>
      <c r="C678" s="47" t="s">
        <v>129</v>
      </c>
      <c r="D678" s="47" t="s">
        <v>177</v>
      </c>
      <c r="E678" s="47" t="s">
        <v>312</v>
      </c>
      <c r="F678" s="47" t="s">
        <v>324</v>
      </c>
      <c r="G678" s="47">
        <v>1</v>
      </c>
      <c r="H678" s="47" t="s">
        <v>62</v>
      </c>
      <c r="L678" s="15" t="s">
        <v>314</v>
      </c>
      <c r="M678" s="15" t="s">
        <v>315</v>
      </c>
      <c r="N678" s="49"/>
    </row>
    <row r="679" spans="1:28" ht="13.5" customHeight="1">
      <c r="B679" s="47">
        <v>581</v>
      </c>
      <c r="C679" s="47" t="s">
        <v>135</v>
      </c>
      <c r="D679" s="49" t="s">
        <v>172</v>
      </c>
      <c r="E679" s="49" t="s">
        <v>256</v>
      </c>
      <c r="F679" s="49"/>
      <c r="G679" s="49"/>
      <c r="H679" s="49" t="s">
        <v>35</v>
      </c>
      <c r="I679" s="49" t="s">
        <v>46</v>
      </c>
      <c r="J679" s="49"/>
      <c r="K679" s="49"/>
      <c r="L679" s="50"/>
      <c r="M679" s="50"/>
      <c r="N679" s="49" t="s">
        <v>250</v>
      </c>
    </row>
    <row r="680" spans="1:28" ht="13.5" customHeight="1">
      <c r="B680" s="47">
        <v>581</v>
      </c>
      <c r="C680" s="47" t="s">
        <v>129</v>
      </c>
      <c r="F680" s="47" t="s">
        <v>1223</v>
      </c>
      <c r="G680" s="47">
        <v>1</v>
      </c>
      <c r="H680" s="47" t="s">
        <v>1274</v>
      </c>
      <c r="L680" s="47" t="s">
        <v>314</v>
      </c>
      <c r="M680" s="47" t="s">
        <v>1279</v>
      </c>
    </row>
    <row r="681" spans="1:28" ht="13.5" customHeight="1">
      <c r="B681" s="47">
        <v>581</v>
      </c>
      <c r="C681" s="47" t="s">
        <v>129</v>
      </c>
      <c r="D681" s="47" t="s">
        <v>177</v>
      </c>
      <c r="E681" s="47" t="s">
        <v>312</v>
      </c>
      <c r="F681" s="47" t="s">
        <v>242</v>
      </c>
      <c r="G681" s="47">
        <v>1</v>
      </c>
      <c r="H681" s="47" t="s">
        <v>62</v>
      </c>
      <c r="L681" s="15" t="s">
        <v>314</v>
      </c>
      <c r="M681" s="15" t="s">
        <v>315</v>
      </c>
      <c r="N681" s="49"/>
    </row>
    <row r="682" spans="1:28" ht="13.5" customHeight="1">
      <c r="B682" s="47">
        <v>582</v>
      </c>
      <c r="C682" s="47" t="s">
        <v>129</v>
      </c>
      <c r="F682" s="47" t="s">
        <v>1223</v>
      </c>
      <c r="G682" s="47">
        <v>1</v>
      </c>
      <c r="H682" s="47" t="s">
        <v>1274</v>
      </c>
      <c r="L682" s="47" t="s">
        <v>314</v>
      </c>
      <c r="M682" s="47" t="s">
        <v>1279</v>
      </c>
    </row>
    <row r="683" spans="1:28" ht="13.5" customHeight="1">
      <c r="B683" s="47">
        <v>582</v>
      </c>
      <c r="C683" s="47" t="s">
        <v>129</v>
      </c>
      <c r="D683" s="47" t="s">
        <v>177</v>
      </c>
      <c r="E683" s="47" t="s">
        <v>312</v>
      </c>
      <c r="F683" s="47" t="s">
        <v>242</v>
      </c>
      <c r="G683" s="47">
        <v>1</v>
      </c>
      <c r="H683" s="47" t="s">
        <v>62</v>
      </c>
      <c r="L683" s="15" t="s">
        <v>314</v>
      </c>
      <c r="M683" s="15" t="s">
        <v>315</v>
      </c>
    </row>
    <row r="684" spans="1:28" ht="13.5" customHeight="1">
      <c r="B684" s="47">
        <v>583</v>
      </c>
      <c r="C684" s="47" t="s">
        <v>129</v>
      </c>
      <c r="F684" s="47" t="s">
        <v>1223</v>
      </c>
      <c r="G684" s="47">
        <v>1</v>
      </c>
      <c r="H684" s="47" t="s">
        <v>1274</v>
      </c>
      <c r="L684" s="47" t="s">
        <v>314</v>
      </c>
      <c r="M684" s="47" t="s">
        <v>1279</v>
      </c>
    </row>
    <row r="685" spans="1:28" ht="13.5" customHeight="1">
      <c r="B685" s="47">
        <v>583</v>
      </c>
      <c r="C685" s="47" t="s">
        <v>129</v>
      </c>
      <c r="D685" s="47" t="s">
        <v>177</v>
      </c>
      <c r="E685" s="47" t="s">
        <v>312</v>
      </c>
      <c r="F685" s="47" t="s">
        <v>242</v>
      </c>
      <c r="G685" s="47">
        <v>1</v>
      </c>
      <c r="H685" s="47" t="s">
        <v>62</v>
      </c>
      <c r="L685" s="15" t="s">
        <v>314</v>
      </c>
      <c r="M685" s="15" t="s">
        <v>315</v>
      </c>
    </row>
    <row r="686" spans="1:28" ht="13.5" customHeight="1">
      <c r="B686" s="47">
        <v>584</v>
      </c>
      <c r="C686" s="47" t="s">
        <v>129</v>
      </c>
      <c r="F686" s="47" t="s">
        <v>1243</v>
      </c>
      <c r="G686" s="47">
        <v>1</v>
      </c>
      <c r="H686" s="47" t="s">
        <v>530</v>
      </c>
      <c r="L686" s="47" t="s">
        <v>314</v>
      </c>
      <c r="M686" s="47" t="s">
        <v>1279</v>
      </c>
    </row>
    <row r="687" spans="1:28" ht="13.5" customHeight="1">
      <c r="B687" s="47">
        <v>584</v>
      </c>
      <c r="C687" s="47" t="s">
        <v>129</v>
      </c>
      <c r="D687" s="47" t="s">
        <v>177</v>
      </c>
      <c r="E687" s="47" t="s">
        <v>312</v>
      </c>
      <c r="F687" s="47" t="s">
        <v>242</v>
      </c>
      <c r="G687" s="47">
        <v>1</v>
      </c>
      <c r="H687" s="47" t="s">
        <v>62</v>
      </c>
      <c r="L687" s="15" t="s">
        <v>314</v>
      </c>
      <c r="M687" s="15" t="s">
        <v>315</v>
      </c>
    </row>
    <row r="688" spans="1:28" ht="13.5" customHeight="1">
      <c r="B688" s="47">
        <v>585</v>
      </c>
      <c r="C688" s="47" t="s">
        <v>129</v>
      </c>
      <c r="F688" s="47" t="s">
        <v>1228</v>
      </c>
      <c r="G688" s="47" t="s">
        <v>1273</v>
      </c>
      <c r="H688" s="47" t="s">
        <v>530</v>
      </c>
      <c r="L688" s="47" t="s">
        <v>314</v>
      </c>
      <c r="M688" s="47" t="s">
        <v>1279</v>
      </c>
    </row>
    <row r="689" spans="2:13" ht="13.5" customHeight="1">
      <c r="B689" s="47">
        <v>585</v>
      </c>
      <c r="C689" s="47" t="s">
        <v>129</v>
      </c>
      <c r="D689" s="47" t="s">
        <v>177</v>
      </c>
      <c r="E689" s="47" t="s">
        <v>312</v>
      </c>
      <c r="F689" s="47" t="s">
        <v>322</v>
      </c>
      <c r="G689" s="47">
        <v>1</v>
      </c>
      <c r="H689" s="47" t="s">
        <v>62</v>
      </c>
      <c r="L689" s="15" t="s">
        <v>314</v>
      </c>
      <c r="M689" s="15" t="s">
        <v>315</v>
      </c>
    </row>
    <row r="690" spans="2:13" ht="13.5" customHeight="1">
      <c r="B690" s="47">
        <v>586</v>
      </c>
      <c r="C690" s="47" t="s">
        <v>129</v>
      </c>
      <c r="F690" s="47" t="s">
        <v>1242</v>
      </c>
      <c r="G690" s="47">
        <v>1</v>
      </c>
      <c r="H690" s="47" t="s">
        <v>530</v>
      </c>
      <c r="L690" s="47" t="s">
        <v>314</v>
      </c>
      <c r="M690" s="47" t="s">
        <v>1279</v>
      </c>
    </row>
    <row r="691" spans="2:13" ht="13.5" customHeight="1">
      <c r="B691" s="47">
        <v>586</v>
      </c>
      <c r="C691" s="47" t="s">
        <v>129</v>
      </c>
      <c r="D691" s="47" t="s">
        <v>177</v>
      </c>
      <c r="E691" s="47" t="s">
        <v>312</v>
      </c>
      <c r="F691" s="47" t="s">
        <v>325</v>
      </c>
      <c r="G691" s="47">
        <v>1</v>
      </c>
      <c r="H691" s="47" t="s">
        <v>62</v>
      </c>
      <c r="L691" s="15" t="s">
        <v>314</v>
      </c>
      <c r="M691" s="15" t="s">
        <v>315</v>
      </c>
    </row>
    <row r="692" spans="2:13" ht="13.5" customHeight="1">
      <c r="B692" s="47">
        <v>587</v>
      </c>
      <c r="C692" s="47" t="s">
        <v>129</v>
      </c>
      <c r="F692" s="47" t="s">
        <v>1240</v>
      </c>
      <c r="G692" s="47">
        <v>1</v>
      </c>
      <c r="H692" s="47" t="s">
        <v>530</v>
      </c>
      <c r="L692" s="47" t="s">
        <v>314</v>
      </c>
      <c r="M692" s="47" t="s">
        <v>1279</v>
      </c>
    </row>
    <row r="693" spans="2:13" ht="13.5" customHeight="1">
      <c r="B693" s="47">
        <v>587</v>
      </c>
      <c r="C693" s="47" t="s">
        <v>129</v>
      </c>
      <c r="D693" s="47" t="s">
        <v>177</v>
      </c>
      <c r="E693" s="47" t="s">
        <v>312</v>
      </c>
      <c r="F693" s="47" t="s">
        <v>321</v>
      </c>
      <c r="G693" s="47">
        <v>1</v>
      </c>
      <c r="H693" s="47" t="s">
        <v>62</v>
      </c>
      <c r="L693" s="15" t="s">
        <v>314</v>
      </c>
      <c r="M693" s="15" t="s">
        <v>315</v>
      </c>
    </row>
    <row r="694" spans="2:13" ht="13.5" customHeight="1">
      <c r="B694" s="47">
        <v>588</v>
      </c>
      <c r="C694" s="47" t="s">
        <v>129</v>
      </c>
      <c r="F694" s="47" t="s">
        <v>1244</v>
      </c>
      <c r="G694" s="47">
        <v>1</v>
      </c>
      <c r="H694" s="47" t="s">
        <v>530</v>
      </c>
      <c r="L694" s="47" t="s">
        <v>314</v>
      </c>
      <c r="M694" s="47" t="s">
        <v>1279</v>
      </c>
    </row>
    <row r="695" spans="2:13" ht="13.5" customHeight="1">
      <c r="B695" s="47">
        <v>588</v>
      </c>
      <c r="C695" s="47" t="s">
        <v>129</v>
      </c>
      <c r="D695" s="47" t="s">
        <v>177</v>
      </c>
      <c r="E695" s="47" t="s">
        <v>312</v>
      </c>
      <c r="F695" s="47" t="s">
        <v>318</v>
      </c>
      <c r="G695" s="47">
        <v>1</v>
      </c>
      <c r="H695" s="47" t="s">
        <v>62</v>
      </c>
      <c r="L695" s="15" t="s">
        <v>314</v>
      </c>
      <c r="M695" s="15" t="s">
        <v>315</v>
      </c>
    </row>
    <row r="696" spans="2:13" ht="13.5" customHeight="1">
      <c r="B696" s="47">
        <v>589</v>
      </c>
      <c r="C696" s="47" t="s">
        <v>129</v>
      </c>
      <c r="F696" s="47" t="s">
        <v>1244</v>
      </c>
      <c r="G696" s="47">
        <v>1</v>
      </c>
      <c r="H696" s="47" t="s">
        <v>530</v>
      </c>
      <c r="L696" s="47" t="s">
        <v>314</v>
      </c>
      <c r="M696" s="47" t="s">
        <v>1279</v>
      </c>
    </row>
    <row r="697" spans="2:13" ht="13.5" customHeight="1">
      <c r="B697" s="47">
        <v>589</v>
      </c>
      <c r="C697" s="47" t="s">
        <v>129</v>
      </c>
      <c r="D697" s="47" t="s">
        <v>177</v>
      </c>
      <c r="E697" s="47" t="s">
        <v>312</v>
      </c>
      <c r="F697" s="47" t="s">
        <v>313</v>
      </c>
      <c r="G697" s="47">
        <v>1</v>
      </c>
      <c r="H697" s="47" t="s">
        <v>62</v>
      </c>
      <c r="L697" s="15" t="s">
        <v>314</v>
      </c>
      <c r="M697" s="15" t="s">
        <v>315</v>
      </c>
    </row>
    <row r="698" spans="2:13" ht="13.5" customHeight="1">
      <c r="B698" s="47">
        <v>590</v>
      </c>
      <c r="C698" s="47" t="s">
        <v>129</v>
      </c>
      <c r="F698" s="47" t="s">
        <v>1230</v>
      </c>
      <c r="G698" s="47">
        <v>1</v>
      </c>
      <c r="H698" s="47" t="s">
        <v>530</v>
      </c>
      <c r="L698" s="47" t="s">
        <v>314</v>
      </c>
      <c r="M698" s="47" t="s">
        <v>1279</v>
      </c>
    </row>
    <row r="699" spans="2:13" ht="13.5" customHeight="1">
      <c r="B699" s="47">
        <v>590</v>
      </c>
      <c r="C699" s="47" t="s">
        <v>129</v>
      </c>
      <c r="D699" s="47" t="s">
        <v>177</v>
      </c>
      <c r="E699" s="47" t="s">
        <v>312</v>
      </c>
      <c r="F699" s="47" t="s">
        <v>247</v>
      </c>
      <c r="G699" s="47">
        <v>1</v>
      </c>
      <c r="H699" s="47" t="s">
        <v>62</v>
      </c>
      <c r="L699" s="15" t="s">
        <v>314</v>
      </c>
      <c r="M699" s="15" t="s">
        <v>315</v>
      </c>
    </row>
    <row r="700" spans="2:13" ht="13.5" customHeight="1">
      <c r="B700" s="47">
        <v>591</v>
      </c>
      <c r="C700" s="47" t="s">
        <v>129</v>
      </c>
      <c r="F700" s="47" t="s">
        <v>1243</v>
      </c>
      <c r="G700" s="47">
        <v>1</v>
      </c>
      <c r="H700" s="47" t="s">
        <v>530</v>
      </c>
      <c r="L700" s="47" t="s">
        <v>314</v>
      </c>
      <c r="M700" s="47" t="s">
        <v>1279</v>
      </c>
    </row>
    <row r="701" spans="2:13" ht="13.5" customHeight="1">
      <c r="B701" s="47">
        <v>591</v>
      </c>
      <c r="C701" s="47" t="s">
        <v>129</v>
      </c>
      <c r="D701" s="47" t="s">
        <v>177</v>
      </c>
      <c r="E701" s="47" t="s">
        <v>312</v>
      </c>
      <c r="F701" s="47" t="s">
        <v>322</v>
      </c>
      <c r="G701" s="47">
        <v>1</v>
      </c>
      <c r="H701" s="47" t="s">
        <v>62</v>
      </c>
      <c r="L701" s="15" t="s">
        <v>314</v>
      </c>
      <c r="M701" s="15" t="s">
        <v>315</v>
      </c>
    </row>
    <row r="702" spans="2:13" ht="13.5" customHeight="1">
      <c r="B702" s="47">
        <v>592</v>
      </c>
      <c r="C702" s="47" t="s">
        <v>129</v>
      </c>
      <c r="F702" s="47" t="s">
        <v>1243</v>
      </c>
      <c r="G702" s="47">
        <v>1</v>
      </c>
      <c r="H702" s="47" t="s">
        <v>530</v>
      </c>
      <c r="L702" s="47" t="s">
        <v>314</v>
      </c>
      <c r="M702" s="47" t="s">
        <v>1279</v>
      </c>
    </row>
    <row r="703" spans="2:13" ht="13.5" customHeight="1">
      <c r="B703" s="47">
        <v>592</v>
      </c>
      <c r="C703" s="47" t="s">
        <v>129</v>
      </c>
      <c r="D703" s="47" t="s">
        <v>177</v>
      </c>
      <c r="E703" s="47" t="s">
        <v>312</v>
      </c>
      <c r="F703" s="47" t="s">
        <v>322</v>
      </c>
      <c r="G703" s="47">
        <v>1</v>
      </c>
      <c r="H703" s="47" t="s">
        <v>62</v>
      </c>
      <c r="L703" s="15" t="s">
        <v>314</v>
      </c>
      <c r="M703" s="15" t="s">
        <v>315</v>
      </c>
    </row>
    <row r="704" spans="2:13" ht="13.5" customHeight="1">
      <c r="B704" s="47">
        <v>593</v>
      </c>
      <c r="C704" s="47" t="s">
        <v>129</v>
      </c>
      <c r="F704" s="47" t="s">
        <v>1223</v>
      </c>
      <c r="G704" s="47">
        <v>1</v>
      </c>
      <c r="H704" s="47" t="s">
        <v>1274</v>
      </c>
      <c r="L704" s="47" t="s">
        <v>314</v>
      </c>
      <c r="M704" s="47" t="s">
        <v>1279</v>
      </c>
    </row>
    <row r="705" spans="2:13" ht="13.5" customHeight="1">
      <c r="B705" s="47">
        <v>593</v>
      </c>
      <c r="C705" s="47" t="s">
        <v>129</v>
      </c>
      <c r="D705" s="47" t="s">
        <v>177</v>
      </c>
      <c r="E705" s="47" t="s">
        <v>312</v>
      </c>
      <c r="F705" s="47" t="s">
        <v>242</v>
      </c>
      <c r="G705" s="47">
        <v>1</v>
      </c>
      <c r="H705" s="47" t="s">
        <v>62</v>
      </c>
      <c r="L705" s="15" t="s">
        <v>314</v>
      </c>
      <c r="M705" s="15" t="s">
        <v>315</v>
      </c>
    </row>
    <row r="706" spans="2:13" ht="13.5" customHeight="1">
      <c r="B706" s="47">
        <v>594</v>
      </c>
      <c r="C706" s="47" t="s">
        <v>129</v>
      </c>
      <c r="F706" s="47" t="s">
        <v>1223</v>
      </c>
      <c r="G706" s="47">
        <v>1</v>
      </c>
      <c r="H706" s="47" t="s">
        <v>1274</v>
      </c>
      <c r="L706" s="47" t="s">
        <v>314</v>
      </c>
      <c r="M706" s="47" t="s">
        <v>1279</v>
      </c>
    </row>
    <row r="707" spans="2:13" ht="13.5" customHeight="1">
      <c r="B707" s="47">
        <v>594</v>
      </c>
      <c r="C707" s="47" t="s">
        <v>129</v>
      </c>
      <c r="D707" s="47" t="s">
        <v>177</v>
      </c>
      <c r="E707" s="47" t="s">
        <v>312</v>
      </c>
      <c r="F707" s="47" t="s">
        <v>242</v>
      </c>
      <c r="G707" s="47">
        <v>1</v>
      </c>
      <c r="H707" s="47" t="s">
        <v>62</v>
      </c>
      <c r="L707" s="15" t="s">
        <v>314</v>
      </c>
      <c r="M707" s="15" t="s">
        <v>315</v>
      </c>
    </row>
    <row r="708" spans="2:13" ht="13.5" customHeight="1">
      <c r="B708" s="47">
        <v>595</v>
      </c>
      <c r="C708" s="47" t="s">
        <v>129</v>
      </c>
      <c r="F708" s="47" t="s">
        <v>1223</v>
      </c>
      <c r="G708" s="47">
        <v>1</v>
      </c>
      <c r="H708" s="47" t="s">
        <v>1274</v>
      </c>
      <c r="L708" s="47" t="s">
        <v>314</v>
      </c>
      <c r="M708" s="47" t="s">
        <v>1279</v>
      </c>
    </row>
    <row r="709" spans="2:13" ht="13.5" customHeight="1">
      <c r="B709" s="47">
        <v>595</v>
      </c>
      <c r="C709" s="47" t="s">
        <v>129</v>
      </c>
      <c r="D709" s="47" t="s">
        <v>177</v>
      </c>
      <c r="E709" s="47" t="s">
        <v>312</v>
      </c>
      <c r="F709" s="47" t="s">
        <v>242</v>
      </c>
      <c r="G709" s="47">
        <v>1</v>
      </c>
      <c r="H709" s="47" t="s">
        <v>62</v>
      </c>
      <c r="L709" s="15" t="s">
        <v>314</v>
      </c>
      <c r="M709" s="15" t="s">
        <v>315</v>
      </c>
    </row>
    <row r="710" spans="2:13" ht="13.5" customHeight="1">
      <c r="B710" s="47">
        <v>596</v>
      </c>
      <c r="C710" s="47" t="s">
        <v>129</v>
      </c>
      <c r="F710" s="47" t="s">
        <v>1222</v>
      </c>
      <c r="G710" s="47">
        <v>1</v>
      </c>
      <c r="H710" s="47" t="s">
        <v>530</v>
      </c>
      <c r="L710" s="47" t="s">
        <v>314</v>
      </c>
      <c r="M710" s="47" t="s">
        <v>1279</v>
      </c>
    </row>
    <row r="711" spans="2:13" ht="13.5" customHeight="1">
      <c r="B711" s="47">
        <v>596</v>
      </c>
      <c r="C711" s="47" t="s">
        <v>129</v>
      </c>
      <c r="D711" s="47" t="s">
        <v>177</v>
      </c>
      <c r="E711" s="47" t="s">
        <v>312</v>
      </c>
      <c r="F711" s="47" t="s">
        <v>326</v>
      </c>
      <c r="G711" s="47">
        <v>1</v>
      </c>
      <c r="H711" s="47" t="s">
        <v>62</v>
      </c>
      <c r="L711" s="15" t="s">
        <v>314</v>
      </c>
      <c r="M711" s="15" t="s">
        <v>315</v>
      </c>
    </row>
    <row r="712" spans="2:13" ht="13.5" customHeight="1">
      <c r="B712" s="47">
        <v>597</v>
      </c>
      <c r="C712" s="47" t="s">
        <v>129</v>
      </c>
      <c r="F712" s="47" t="s">
        <v>1222</v>
      </c>
      <c r="G712" s="47">
        <v>1</v>
      </c>
      <c r="H712" s="47" t="s">
        <v>530</v>
      </c>
      <c r="L712" s="47" t="s">
        <v>314</v>
      </c>
      <c r="M712" s="47" t="s">
        <v>1279</v>
      </c>
    </row>
    <row r="713" spans="2:13" ht="13.5" customHeight="1">
      <c r="B713" s="47">
        <v>597</v>
      </c>
      <c r="C713" s="47" t="s">
        <v>129</v>
      </c>
      <c r="D713" s="47" t="s">
        <v>177</v>
      </c>
      <c r="E713" s="47" t="s">
        <v>312</v>
      </c>
      <c r="F713" s="47" t="s">
        <v>326</v>
      </c>
      <c r="G713" s="47">
        <v>1</v>
      </c>
      <c r="H713" s="47" t="s">
        <v>62</v>
      </c>
      <c r="L713" s="15" t="s">
        <v>314</v>
      </c>
      <c r="M713" s="15" t="s">
        <v>315</v>
      </c>
    </row>
    <row r="714" spans="2:13" ht="13.5" customHeight="1">
      <c r="B714" s="47">
        <v>598</v>
      </c>
      <c r="C714" s="47" t="s">
        <v>129</v>
      </c>
      <c r="F714" s="47" t="s">
        <v>1222</v>
      </c>
      <c r="G714" s="47">
        <v>1</v>
      </c>
      <c r="H714" s="47" t="s">
        <v>530</v>
      </c>
      <c r="L714" s="47" t="s">
        <v>314</v>
      </c>
      <c r="M714" s="47" t="s">
        <v>1279</v>
      </c>
    </row>
    <row r="715" spans="2:13" ht="13.5" customHeight="1">
      <c r="B715" s="47">
        <v>598</v>
      </c>
      <c r="C715" s="47" t="s">
        <v>129</v>
      </c>
      <c r="D715" s="47" t="s">
        <v>177</v>
      </c>
      <c r="E715" s="47" t="s">
        <v>312</v>
      </c>
      <c r="F715" s="47" t="s">
        <v>326</v>
      </c>
      <c r="G715" s="47">
        <v>1</v>
      </c>
      <c r="H715" s="47" t="s">
        <v>62</v>
      </c>
      <c r="L715" s="15" t="s">
        <v>314</v>
      </c>
      <c r="M715" s="15" t="s">
        <v>315</v>
      </c>
    </row>
    <row r="716" spans="2:13" ht="13.5" customHeight="1">
      <c r="B716" s="47">
        <v>599</v>
      </c>
      <c r="C716" s="47" t="s">
        <v>129</v>
      </c>
      <c r="F716" s="47" t="s">
        <v>1222</v>
      </c>
      <c r="G716" s="47">
        <v>1</v>
      </c>
      <c r="H716" s="47" t="s">
        <v>530</v>
      </c>
      <c r="L716" s="47" t="s">
        <v>314</v>
      </c>
      <c r="M716" s="47" t="s">
        <v>1279</v>
      </c>
    </row>
    <row r="717" spans="2:13" ht="13.5" customHeight="1">
      <c r="B717" s="47">
        <v>599</v>
      </c>
      <c r="C717" s="47" t="s">
        <v>129</v>
      </c>
      <c r="D717" s="47" t="s">
        <v>177</v>
      </c>
      <c r="E717" s="47" t="s">
        <v>312</v>
      </c>
      <c r="F717" s="47" t="s">
        <v>326</v>
      </c>
      <c r="G717" s="47">
        <v>1</v>
      </c>
      <c r="H717" s="47" t="s">
        <v>62</v>
      </c>
      <c r="L717" s="15" t="s">
        <v>314</v>
      </c>
      <c r="M717" s="15" t="s">
        <v>315</v>
      </c>
    </row>
    <row r="718" spans="2:13" ht="13.5" customHeight="1">
      <c r="B718" s="47">
        <v>600</v>
      </c>
      <c r="C718" s="47" t="s">
        <v>129</v>
      </c>
      <c r="F718" s="47" t="s">
        <v>1241</v>
      </c>
      <c r="G718" s="47">
        <v>1</v>
      </c>
      <c r="H718" s="47" t="s">
        <v>1274</v>
      </c>
      <c r="L718" s="47" t="s">
        <v>314</v>
      </c>
      <c r="M718" s="47" t="s">
        <v>1279</v>
      </c>
    </row>
    <row r="719" spans="2:13" ht="13.5" customHeight="1">
      <c r="B719" s="47">
        <v>600</v>
      </c>
      <c r="C719" s="47" t="s">
        <v>129</v>
      </c>
      <c r="D719" s="47" t="s">
        <v>177</v>
      </c>
      <c r="E719" s="47" t="s">
        <v>312</v>
      </c>
      <c r="F719" s="47" t="s">
        <v>319</v>
      </c>
      <c r="G719" s="47">
        <v>1</v>
      </c>
      <c r="H719" s="47" t="s">
        <v>62</v>
      </c>
      <c r="L719" s="15" t="s">
        <v>314</v>
      </c>
      <c r="M719" s="15" t="s">
        <v>315</v>
      </c>
    </row>
    <row r="720" spans="2:13" ht="13.5" customHeight="1">
      <c r="B720" s="47">
        <v>601</v>
      </c>
      <c r="C720" s="47" t="s">
        <v>129</v>
      </c>
      <c r="F720" s="47" t="s">
        <v>1242</v>
      </c>
      <c r="G720" s="47">
        <v>1</v>
      </c>
      <c r="H720" s="47" t="s">
        <v>530</v>
      </c>
      <c r="L720" s="47" t="s">
        <v>314</v>
      </c>
      <c r="M720" s="47" t="s">
        <v>1279</v>
      </c>
    </row>
    <row r="721" spans="2:35" ht="13.5" customHeight="1">
      <c r="B721" s="47">
        <v>601</v>
      </c>
      <c r="C721" s="47" t="s">
        <v>129</v>
      </c>
      <c r="D721" s="47" t="s">
        <v>177</v>
      </c>
      <c r="E721" s="47" t="s">
        <v>312</v>
      </c>
      <c r="F721" s="47" t="s">
        <v>321</v>
      </c>
      <c r="G721" s="47">
        <v>1</v>
      </c>
      <c r="H721" s="47" t="s">
        <v>62</v>
      </c>
      <c r="L721" s="15" t="s">
        <v>314</v>
      </c>
      <c r="M721" s="15" t="s">
        <v>315</v>
      </c>
    </row>
    <row r="722" spans="2:35" ht="13.5" customHeight="1">
      <c r="B722" s="47">
        <v>602</v>
      </c>
      <c r="C722" s="47" t="s">
        <v>129</v>
      </c>
      <c r="F722" s="47" t="s">
        <v>1224</v>
      </c>
      <c r="G722" s="47">
        <v>1</v>
      </c>
      <c r="H722" s="47" t="s">
        <v>530</v>
      </c>
      <c r="L722" s="47" t="s">
        <v>314</v>
      </c>
      <c r="M722" s="47" t="s">
        <v>1279</v>
      </c>
    </row>
    <row r="723" spans="2:35" ht="13.5" customHeight="1">
      <c r="B723" s="47">
        <v>602</v>
      </c>
      <c r="C723" s="47" t="s">
        <v>129</v>
      </c>
      <c r="D723" s="47" t="s">
        <v>177</v>
      </c>
      <c r="E723" s="47" t="s">
        <v>312</v>
      </c>
      <c r="F723" s="47" t="s">
        <v>324</v>
      </c>
      <c r="G723" s="47">
        <v>1</v>
      </c>
      <c r="H723" s="47" t="s">
        <v>62</v>
      </c>
      <c r="L723" s="15" t="s">
        <v>314</v>
      </c>
      <c r="M723" s="15" t="s">
        <v>315</v>
      </c>
    </row>
    <row r="724" spans="2:35" ht="13.5" customHeight="1">
      <c r="B724" s="47">
        <v>603</v>
      </c>
      <c r="C724" s="47" t="s">
        <v>129</v>
      </c>
      <c r="F724" s="47" t="s">
        <v>1222</v>
      </c>
      <c r="G724" s="47">
        <v>1</v>
      </c>
      <c r="H724" s="47" t="s">
        <v>530</v>
      </c>
      <c r="L724" s="47" t="s">
        <v>314</v>
      </c>
      <c r="M724" s="47" t="s">
        <v>1279</v>
      </c>
    </row>
    <row r="725" spans="2:35" ht="13.5" customHeight="1">
      <c r="B725" s="47">
        <v>603</v>
      </c>
      <c r="C725" s="47" t="s">
        <v>129</v>
      </c>
      <c r="D725" s="47" t="s">
        <v>177</v>
      </c>
      <c r="E725" s="47" t="s">
        <v>312</v>
      </c>
      <c r="F725" s="47" t="s">
        <v>326</v>
      </c>
      <c r="G725" s="47">
        <v>1</v>
      </c>
      <c r="H725" s="47" t="s">
        <v>62</v>
      </c>
      <c r="L725" s="15" t="s">
        <v>314</v>
      </c>
      <c r="M725" s="15" t="s">
        <v>315</v>
      </c>
    </row>
    <row r="726" spans="2:35" ht="13.5" customHeight="1">
      <c r="B726" s="47">
        <v>604</v>
      </c>
      <c r="C726" s="47" t="s">
        <v>129</v>
      </c>
      <c r="F726" s="47" t="s">
        <v>1222</v>
      </c>
      <c r="G726" s="47">
        <v>1</v>
      </c>
      <c r="H726" s="47" t="s">
        <v>530</v>
      </c>
      <c r="L726" s="47" t="s">
        <v>314</v>
      </c>
      <c r="M726" s="47" t="s">
        <v>1279</v>
      </c>
    </row>
    <row r="727" spans="2:35" ht="13.5" customHeight="1">
      <c r="B727" s="47">
        <v>604</v>
      </c>
      <c r="C727" s="47" t="s">
        <v>129</v>
      </c>
      <c r="D727" s="47" t="s">
        <v>177</v>
      </c>
      <c r="E727" s="47" t="s">
        <v>312</v>
      </c>
      <c r="F727" s="47" t="s">
        <v>326</v>
      </c>
      <c r="G727" s="47">
        <v>1</v>
      </c>
      <c r="H727" s="47" t="s">
        <v>62</v>
      </c>
      <c r="L727" s="15" t="s">
        <v>314</v>
      </c>
      <c r="M727" s="15" t="s">
        <v>315</v>
      </c>
    </row>
    <row r="728" spans="2:35" ht="13.5" customHeight="1">
      <c r="B728" s="47">
        <v>605</v>
      </c>
      <c r="C728" s="47" t="s">
        <v>129</v>
      </c>
      <c r="F728" s="47" t="s">
        <v>1245</v>
      </c>
      <c r="G728" s="47">
        <v>1</v>
      </c>
      <c r="H728" s="47" t="s">
        <v>530</v>
      </c>
      <c r="L728" s="47" t="s">
        <v>314</v>
      </c>
      <c r="M728" s="47" t="s">
        <v>1279</v>
      </c>
    </row>
    <row r="729" spans="2:35" ht="13.5" customHeight="1">
      <c r="B729" s="47">
        <v>605</v>
      </c>
      <c r="C729" s="47" t="s">
        <v>129</v>
      </c>
      <c r="D729" s="47" t="s">
        <v>177</v>
      </c>
      <c r="E729" s="47" t="s">
        <v>312</v>
      </c>
      <c r="F729" s="47" t="s">
        <v>327</v>
      </c>
      <c r="G729" s="47">
        <v>1</v>
      </c>
      <c r="H729" s="47" t="s">
        <v>62</v>
      </c>
      <c r="L729" s="15" t="s">
        <v>314</v>
      </c>
      <c r="M729" s="15" t="s">
        <v>315</v>
      </c>
      <c r="AF729" s="48"/>
      <c r="AG729" s="48"/>
      <c r="AH729" s="48"/>
      <c r="AI729" s="48"/>
    </row>
    <row r="730" spans="2:35" ht="13.5" customHeight="1">
      <c r="B730" s="47">
        <v>606</v>
      </c>
      <c r="C730" s="47" t="s">
        <v>129</v>
      </c>
      <c r="F730" s="47" t="s">
        <v>1245</v>
      </c>
      <c r="G730" s="47">
        <v>1</v>
      </c>
      <c r="H730" s="47" t="s">
        <v>530</v>
      </c>
      <c r="L730" s="47" t="s">
        <v>314</v>
      </c>
      <c r="M730" s="47" t="s">
        <v>1279</v>
      </c>
    </row>
    <row r="731" spans="2:35" ht="13.5" customHeight="1">
      <c r="B731" s="47">
        <v>606</v>
      </c>
      <c r="C731" s="47" t="s">
        <v>129</v>
      </c>
      <c r="D731" s="47" t="s">
        <v>177</v>
      </c>
      <c r="E731" s="47" t="s">
        <v>312</v>
      </c>
      <c r="F731" s="47" t="s">
        <v>327</v>
      </c>
      <c r="G731" s="47">
        <v>1</v>
      </c>
      <c r="H731" s="47" t="s">
        <v>62</v>
      </c>
      <c r="L731" s="15" t="s">
        <v>314</v>
      </c>
      <c r="M731" s="15" t="s">
        <v>315</v>
      </c>
    </row>
    <row r="732" spans="2:35" ht="13.5" customHeight="1">
      <c r="B732" s="47">
        <v>607</v>
      </c>
      <c r="C732" s="47" t="s">
        <v>129</v>
      </c>
      <c r="F732" s="47" t="s">
        <v>1243</v>
      </c>
      <c r="G732" s="47">
        <v>1</v>
      </c>
      <c r="H732" s="47" t="s">
        <v>530</v>
      </c>
      <c r="L732" s="47" t="s">
        <v>314</v>
      </c>
      <c r="M732" s="47" t="s">
        <v>1279</v>
      </c>
    </row>
    <row r="733" spans="2:35" ht="13.5" customHeight="1">
      <c r="B733" s="47">
        <v>607</v>
      </c>
      <c r="C733" s="47" t="s">
        <v>129</v>
      </c>
      <c r="D733" s="47" t="s">
        <v>177</v>
      </c>
      <c r="E733" s="47" t="s">
        <v>312</v>
      </c>
      <c r="F733" s="47" t="s">
        <v>322</v>
      </c>
      <c r="G733" s="47">
        <v>1</v>
      </c>
      <c r="H733" s="47" t="s">
        <v>62</v>
      </c>
      <c r="L733" s="15" t="s">
        <v>314</v>
      </c>
      <c r="M733" s="15" t="s">
        <v>315</v>
      </c>
    </row>
    <row r="734" spans="2:35" ht="13.5" customHeight="1">
      <c r="B734" s="47">
        <v>608</v>
      </c>
      <c r="C734" s="47" t="s">
        <v>129</v>
      </c>
      <c r="F734" s="47" t="s">
        <v>1244</v>
      </c>
      <c r="G734" s="47">
        <v>1</v>
      </c>
      <c r="H734" s="47" t="s">
        <v>530</v>
      </c>
      <c r="L734" s="47" t="s">
        <v>314</v>
      </c>
      <c r="M734" s="47" t="s">
        <v>1279</v>
      </c>
    </row>
    <row r="735" spans="2:35" ht="13.5" customHeight="1">
      <c r="B735" s="47">
        <v>608</v>
      </c>
      <c r="C735" s="47" t="s">
        <v>129</v>
      </c>
      <c r="D735" s="47" t="s">
        <v>177</v>
      </c>
      <c r="E735" s="47" t="s">
        <v>312</v>
      </c>
      <c r="F735" s="47" t="s">
        <v>328</v>
      </c>
      <c r="G735" s="47">
        <v>1</v>
      </c>
      <c r="H735" s="47" t="s">
        <v>62</v>
      </c>
      <c r="L735" s="15" t="s">
        <v>314</v>
      </c>
      <c r="M735" s="15" t="s">
        <v>315</v>
      </c>
    </row>
    <row r="736" spans="2:35" ht="13.5" customHeight="1">
      <c r="B736" s="47">
        <v>609</v>
      </c>
      <c r="C736" s="47" t="s">
        <v>129</v>
      </c>
      <c r="F736" s="47" t="s">
        <v>1228</v>
      </c>
      <c r="G736" s="47" t="s">
        <v>1273</v>
      </c>
      <c r="H736" s="47" t="s">
        <v>530</v>
      </c>
      <c r="L736" s="47" t="s">
        <v>314</v>
      </c>
      <c r="M736" s="47" t="s">
        <v>1279</v>
      </c>
    </row>
    <row r="737" spans="1:35" ht="13.5" customHeight="1">
      <c r="B737" s="47">
        <v>609</v>
      </c>
      <c r="C737" s="47" t="s">
        <v>129</v>
      </c>
      <c r="D737" s="47" t="s">
        <v>177</v>
      </c>
      <c r="E737" s="47" t="s">
        <v>312</v>
      </c>
      <c r="F737" s="47" t="s">
        <v>325</v>
      </c>
      <c r="G737" s="47">
        <v>1</v>
      </c>
      <c r="H737" s="47" t="s">
        <v>62</v>
      </c>
      <c r="L737" s="15" t="s">
        <v>314</v>
      </c>
      <c r="M737" s="15" t="s">
        <v>315</v>
      </c>
    </row>
    <row r="738" spans="1:35" ht="13.5" customHeight="1">
      <c r="B738" s="47">
        <v>610</v>
      </c>
      <c r="C738" s="47" t="s">
        <v>129</v>
      </c>
      <c r="F738" s="47" t="s">
        <v>1240</v>
      </c>
      <c r="G738" s="47">
        <v>1</v>
      </c>
      <c r="H738" s="47" t="s">
        <v>530</v>
      </c>
      <c r="L738" s="47" t="s">
        <v>314</v>
      </c>
      <c r="M738" s="47" t="s">
        <v>1279</v>
      </c>
    </row>
    <row r="739" spans="1:35" ht="13.5" customHeight="1">
      <c r="B739" s="47">
        <v>610</v>
      </c>
      <c r="C739" s="47" t="s">
        <v>129</v>
      </c>
      <c r="D739" s="47" t="s">
        <v>177</v>
      </c>
      <c r="E739" s="47" t="s">
        <v>312</v>
      </c>
      <c r="F739" s="47" t="s">
        <v>318</v>
      </c>
      <c r="G739" s="47">
        <v>1</v>
      </c>
      <c r="H739" s="47" t="s">
        <v>62</v>
      </c>
      <c r="L739" s="15" t="s">
        <v>314</v>
      </c>
      <c r="M739" s="15" t="s">
        <v>315</v>
      </c>
    </row>
    <row r="740" spans="1:35" s="48" customFormat="1" ht="13.5" customHeight="1">
      <c r="A740" s="47"/>
      <c r="B740" s="47">
        <v>611</v>
      </c>
      <c r="C740" s="47" t="s">
        <v>129</v>
      </c>
      <c r="D740" s="47"/>
      <c r="E740" s="47"/>
      <c r="F740" s="47" t="s">
        <v>1240</v>
      </c>
      <c r="G740" s="47">
        <v>1</v>
      </c>
      <c r="H740" s="47" t="s">
        <v>530</v>
      </c>
      <c r="I740" s="47"/>
      <c r="J740" s="47"/>
      <c r="K740" s="47"/>
      <c r="L740" s="47" t="s">
        <v>314</v>
      </c>
      <c r="M740" s="47" t="s">
        <v>1279</v>
      </c>
      <c r="N740" s="47"/>
      <c r="O740" s="47"/>
      <c r="P740" s="47"/>
      <c r="Q740" s="47"/>
      <c r="R740" s="47"/>
      <c r="S740" s="47"/>
      <c r="T740" s="47"/>
      <c r="U740" s="47"/>
      <c r="V740" s="47"/>
      <c r="W740" s="47"/>
      <c r="X740" s="47"/>
      <c r="Y740" s="47"/>
      <c r="Z740" s="47"/>
      <c r="AA740" s="47"/>
      <c r="AB740" s="47"/>
      <c r="AC740" s="47"/>
      <c r="AD740" s="47"/>
      <c r="AE740" s="47"/>
      <c r="AF740" s="47"/>
      <c r="AG740" s="47"/>
      <c r="AH740" s="47"/>
      <c r="AI740" s="47"/>
    </row>
    <row r="741" spans="1:35" ht="13.5" customHeight="1">
      <c r="B741" s="47">
        <v>611</v>
      </c>
      <c r="C741" s="47" t="s">
        <v>129</v>
      </c>
      <c r="D741" s="47" t="s">
        <v>177</v>
      </c>
      <c r="E741" s="47" t="s">
        <v>312</v>
      </c>
      <c r="F741" s="47" t="s">
        <v>318</v>
      </c>
      <c r="G741" s="47">
        <v>1</v>
      </c>
      <c r="H741" s="47" t="s">
        <v>62</v>
      </c>
      <c r="L741" s="15" t="s">
        <v>314</v>
      </c>
      <c r="M741" s="15" t="s">
        <v>315</v>
      </c>
    </row>
    <row r="742" spans="1:35" ht="13.5" customHeight="1">
      <c r="B742" s="47">
        <v>612</v>
      </c>
      <c r="C742" s="47" t="s">
        <v>129</v>
      </c>
      <c r="F742" s="47" t="s">
        <v>1239</v>
      </c>
      <c r="G742" s="47">
        <v>1</v>
      </c>
      <c r="H742" s="47" t="s">
        <v>1275</v>
      </c>
      <c r="L742" s="47" t="s">
        <v>314</v>
      </c>
      <c r="M742" s="47" t="s">
        <v>1279</v>
      </c>
    </row>
    <row r="743" spans="1:35" ht="13.5" customHeight="1">
      <c r="B743" s="47">
        <v>612</v>
      </c>
      <c r="C743" s="47" t="s">
        <v>129</v>
      </c>
      <c r="D743" s="47" t="s">
        <v>177</v>
      </c>
      <c r="E743" s="47" t="s">
        <v>312</v>
      </c>
      <c r="F743" s="47" t="s">
        <v>317</v>
      </c>
      <c r="G743" s="47">
        <v>1</v>
      </c>
      <c r="H743" s="47" t="s">
        <v>62</v>
      </c>
      <c r="L743" s="15" t="s">
        <v>314</v>
      </c>
      <c r="M743" s="15" t="s">
        <v>315</v>
      </c>
    </row>
    <row r="744" spans="1:35" ht="13.5" customHeight="1">
      <c r="B744" s="47">
        <v>613</v>
      </c>
      <c r="C744" s="47" t="s">
        <v>129</v>
      </c>
      <c r="F744" s="47" t="s">
        <v>1230</v>
      </c>
      <c r="G744" s="47">
        <v>1</v>
      </c>
      <c r="H744" s="47" t="s">
        <v>530</v>
      </c>
      <c r="L744" s="47" t="s">
        <v>314</v>
      </c>
      <c r="M744" s="47" t="s">
        <v>1279</v>
      </c>
    </row>
    <row r="745" spans="1:35" ht="13.5" customHeight="1">
      <c r="B745" s="47">
        <v>613</v>
      </c>
      <c r="C745" s="47" t="s">
        <v>129</v>
      </c>
      <c r="D745" s="47" t="s">
        <v>177</v>
      </c>
      <c r="E745" s="47" t="s">
        <v>312</v>
      </c>
      <c r="F745" s="47" t="s">
        <v>247</v>
      </c>
      <c r="G745" s="47">
        <v>1</v>
      </c>
      <c r="H745" s="47" t="s">
        <v>62</v>
      </c>
      <c r="L745" s="15" t="s">
        <v>314</v>
      </c>
      <c r="M745" s="15" t="s">
        <v>315</v>
      </c>
    </row>
    <row r="746" spans="1:35" ht="13.5" customHeight="1">
      <c r="B746" s="47">
        <v>614</v>
      </c>
      <c r="C746" s="47" t="s">
        <v>129</v>
      </c>
      <c r="F746" s="47" t="s">
        <v>1230</v>
      </c>
      <c r="G746" s="47">
        <v>1</v>
      </c>
      <c r="H746" s="47" t="s">
        <v>530</v>
      </c>
      <c r="L746" s="47" t="s">
        <v>314</v>
      </c>
      <c r="M746" s="47" t="s">
        <v>1279</v>
      </c>
    </row>
    <row r="747" spans="1:35" ht="13.5" customHeight="1">
      <c r="B747" s="47">
        <v>614</v>
      </c>
      <c r="C747" s="47" t="s">
        <v>129</v>
      </c>
      <c r="D747" s="47" t="s">
        <v>177</v>
      </c>
      <c r="E747" s="47" t="s">
        <v>312</v>
      </c>
      <c r="F747" s="47" t="s">
        <v>247</v>
      </c>
      <c r="G747" s="47">
        <v>1</v>
      </c>
      <c r="H747" s="47" t="s">
        <v>62</v>
      </c>
      <c r="L747" s="15" t="s">
        <v>314</v>
      </c>
      <c r="M747" s="15" t="s">
        <v>315</v>
      </c>
    </row>
    <row r="748" spans="1:35" ht="13.5" customHeight="1">
      <c r="B748" s="47">
        <v>615</v>
      </c>
      <c r="C748" s="47" t="s">
        <v>129</v>
      </c>
      <c r="F748" s="47" t="s">
        <v>1230</v>
      </c>
      <c r="G748" s="47">
        <v>1</v>
      </c>
      <c r="H748" s="47" t="s">
        <v>530</v>
      </c>
      <c r="L748" s="47" t="s">
        <v>314</v>
      </c>
      <c r="M748" s="47" t="s">
        <v>1279</v>
      </c>
    </row>
    <row r="749" spans="1:35" ht="13.5" customHeight="1">
      <c r="B749" s="47">
        <v>615</v>
      </c>
      <c r="C749" s="47" t="s">
        <v>129</v>
      </c>
      <c r="D749" s="47" t="s">
        <v>177</v>
      </c>
      <c r="E749" s="47" t="s">
        <v>312</v>
      </c>
      <c r="F749" s="47" t="s">
        <v>247</v>
      </c>
      <c r="G749" s="47">
        <v>1</v>
      </c>
      <c r="H749" s="47" t="s">
        <v>62</v>
      </c>
      <c r="L749" s="15" t="s">
        <v>314</v>
      </c>
      <c r="M749" s="15" t="s">
        <v>315</v>
      </c>
    </row>
    <row r="750" spans="1:35" ht="13.5" customHeight="1">
      <c r="B750" s="47">
        <v>616</v>
      </c>
      <c r="C750" s="47" t="s">
        <v>129</v>
      </c>
      <c r="F750" s="47" t="s">
        <v>1224</v>
      </c>
      <c r="G750" s="47">
        <v>1</v>
      </c>
      <c r="H750" s="47" t="s">
        <v>530</v>
      </c>
      <c r="L750" s="47" t="s">
        <v>314</v>
      </c>
      <c r="M750" s="47" t="s">
        <v>1279</v>
      </c>
    </row>
    <row r="751" spans="1:35" ht="13.5" customHeight="1">
      <c r="B751" s="47">
        <v>616</v>
      </c>
      <c r="C751" s="47" t="s">
        <v>129</v>
      </c>
      <c r="D751" s="47" t="s">
        <v>177</v>
      </c>
      <c r="E751" s="47" t="s">
        <v>312</v>
      </c>
      <c r="F751" s="47" t="s">
        <v>324</v>
      </c>
      <c r="G751" s="47">
        <v>1</v>
      </c>
      <c r="H751" s="47" t="s">
        <v>62</v>
      </c>
      <c r="L751" s="15" t="s">
        <v>314</v>
      </c>
      <c r="M751" s="15" t="s">
        <v>315</v>
      </c>
    </row>
    <row r="752" spans="1:35" ht="13.5" customHeight="1">
      <c r="B752" s="47">
        <v>617</v>
      </c>
      <c r="C752" s="47" t="s">
        <v>129</v>
      </c>
      <c r="F752" s="47" t="s">
        <v>1234</v>
      </c>
      <c r="G752" s="47">
        <v>1</v>
      </c>
      <c r="H752" s="47" t="s">
        <v>530</v>
      </c>
      <c r="L752" s="47" t="s">
        <v>314</v>
      </c>
      <c r="M752" s="47" t="s">
        <v>1279</v>
      </c>
    </row>
    <row r="753" spans="2:13" ht="13.5" customHeight="1">
      <c r="B753" s="47">
        <v>617</v>
      </c>
      <c r="C753" s="47" t="s">
        <v>129</v>
      </c>
      <c r="D753" s="47" t="s">
        <v>177</v>
      </c>
      <c r="E753" s="47" t="s">
        <v>312</v>
      </c>
      <c r="F753" s="47" t="s">
        <v>313</v>
      </c>
      <c r="G753" s="47">
        <v>1</v>
      </c>
      <c r="H753" s="47" t="s">
        <v>62</v>
      </c>
      <c r="L753" s="15" t="s">
        <v>314</v>
      </c>
      <c r="M753" s="15" t="s">
        <v>315</v>
      </c>
    </row>
    <row r="754" spans="2:13" ht="13.5" customHeight="1">
      <c r="B754" s="47">
        <v>618</v>
      </c>
      <c r="C754" s="47" t="s">
        <v>129</v>
      </c>
      <c r="F754" s="47" t="s">
        <v>1245</v>
      </c>
      <c r="G754" s="47">
        <v>1</v>
      </c>
      <c r="H754" s="47" t="s">
        <v>530</v>
      </c>
      <c r="L754" s="47" t="s">
        <v>314</v>
      </c>
      <c r="M754" s="47" t="s">
        <v>1279</v>
      </c>
    </row>
    <row r="755" spans="2:13" ht="13.5" customHeight="1">
      <c r="B755" s="47">
        <v>618</v>
      </c>
      <c r="C755" s="47" t="s">
        <v>129</v>
      </c>
      <c r="D755" s="47" t="s">
        <v>177</v>
      </c>
      <c r="E755" s="47" t="s">
        <v>312</v>
      </c>
      <c r="F755" s="47" t="s">
        <v>327</v>
      </c>
      <c r="G755" s="47">
        <v>1</v>
      </c>
      <c r="H755" s="47" t="s">
        <v>62</v>
      </c>
      <c r="L755" s="15" t="s">
        <v>314</v>
      </c>
      <c r="M755" s="15" t="s">
        <v>315</v>
      </c>
    </row>
    <row r="756" spans="2:13" ht="13.5" customHeight="1">
      <c r="B756" s="47">
        <v>619</v>
      </c>
      <c r="C756" s="47" t="s">
        <v>129</v>
      </c>
      <c r="F756" s="47" t="s">
        <v>1242</v>
      </c>
      <c r="G756" s="47">
        <v>1</v>
      </c>
      <c r="H756" s="47" t="s">
        <v>530</v>
      </c>
      <c r="L756" s="47" t="s">
        <v>314</v>
      </c>
      <c r="M756" s="47" t="s">
        <v>1279</v>
      </c>
    </row>
    <row r="757" spans="2:13" ht="13.5" customHeight="1">
      <c r="B757" s="47">
        <v>619</v>
      </c>
      <c r="C757" s="47" t="s">
        <v>129</v>
      </c>
      <c r="D757" s="47" t="s">
        <v>177</v>
      </c>
      <c r="E757" s="47" t="s">
        <v>312</v>
      </c>
      <c r="F757" s="47" t="s">
        <v>321</v>
      </c>
      <c r="G757" s="47">
        <v>1</v>
      </c>
      <c r="H757" s="47" t="s">
        <v>62</v>
      </c>
      <c r="L757" s="15" t="s">
        <v>314</v>
      </c>
      <c r="M757" s="15" t="s">
        <v>315</v>
      </c>
    </row>
    <row r="758" spans="2:13" ht="13.5" customHeight="1">
      <c r="B758" s="47">
        <v>620</v>
      </c>
      <c r="C758" s="47" t="s">
        <v>129</v>
      </c>
      <c r="F758" s="47" t="s">
        <v>1228</v>
      </c>
      <c r="G758" s="47" t="s">
        <v>1273</v>
      </c>
      <c r="H758" s="47" t="s">
        <v>530</v>
      </c>
      <c r="L758" s="47" t="s">
        <v>314</v>
      </c>
      <c r="M758" s="47" t="s">
        <v>1279</v>
      </c>
    </row>
    <row r="759" spans="2:13" ht="13.5" customHeight="1">
      <c r="B759" s="47">
        <v>620</v>
      </c>
      <c r="C759" s="47" t="s">
        <v>129</v>
      </c>
      <c r="D759" s="47" t="s">
        <v>177</v>
      </c>
      <c r="E759" s="47" t="s">
        <v>312</v>
      </c>
      <c r="F759" s="47" t="s">
        <v>325</v>
      </c>
      <c r="G759" s="47">
        <v>1</v>
      </c>
      <c r="H759" s="47" t="s">
        <v>62</v>
      </c>
      <c r="L759" s="15" t="s">
        <v>314</v>
      </c>
      <c r="M759" s="15" t="s">
        <v>315</v>
      </c>
    </row>
    <row r="760" spans="2:13" ht="13.5" customHeight="1">
      <c r="B760" s="47">
        <v>621</v>
      </c>
      <c r="C760" s="47" t="s">
        <v>129</v>
      </c>
      <c r="F760" s="47" t="s">
        <v>1234</v>
      </c>
      <c r="G760" s="47">
        <v>1</v>
      </c>
      <c r="H760" s="47" t="s">
        <v>530</v>
      </c>
      <c r="L760" s="47" t="s">
        <v>1276</v>
      </c>
      <c r="M760" s="47" t="s">
        <v>1279</v>
      </c>
    </row>
    <row r="761" spans="2:13" ht="13.5" customHeight="1">
      <c r="B761" s="47">
        <v>621</v>
      </c>
      <c r="C761" s="47" t="s">
        <v>129</v>
      </c>
      <c r="D761" s="47" t="s">
        <v>177</v>
      </c>
      <c r="E761" s="47" t="s">
        <v>274</v>
      </c>
      <c r="F761" s="47" t="s">
        <v>329</v>
      </c>
      <c r="G761" s="47">
        <v>1</v>
      </c>
      <c r="H761" s="47" t="s">
        <v>62</v>
      </c>
      <c r="L761" s="15" t="s">
        <v>275</v>
      </c>
      <c r="M761" s="15" t="s">
        <v>315</v>
      </c>
    </row>
    <row r="762" spans="2:13" ht="13.5" customHeight="1">
      <c r="B762" s="47">
        <v>622</v>
      </c>
      <c r="C762" s="47" t="s">
        <v>129</v>
      </c>
      <c r="F762" s="47" t="s">
        <v>1234</v>
      </c>
      <c r="G762" s="47">
        <v>1</v>
      </c>
      <c r="H762" s="47" t="s">
        <v>530</v>
      </c>
      <c r="L762" s="47" t="s">
        <v>1276</v>
      </c>
      <c r="M762" s="47" t="s">
        <v>1279</v>
      </c>
    </row>
    <row r="763" spans="2:13" ht="13.5" customHeight="1">
      <c r="B763" s="47">
        <v>622</v>
      </c>
      <c r="C763" s="47" t="s">
        <v>129</v>
      </c>
      <c r="D763" s="47" t="s">
        <v>177</v>
      </c>
      <c r="E763" s="47" t="s">
        <v>274</v>
      </c>
      <c r="F763" s="47" t="s">
        <v>329</v>
      </c>
      <c r="G763" s="47">
        <v>1</v>
      </c>
      <c r="H763" s="47" t="s">
        <v>62</v>
      </c>
      <c r="L763" s="15" t="s">
        <v>275</v>
      </c>
      <c r="M763" s="15" t="s">
        <v>315</v>
      </c>
    </row>
    <row r="764" spans="2:13" ht="13.5" customHeight="1">
      <c r="B764" s="47">
        <v>623</v>
      </c>
      <c r="C764" s="47" t="s">
        <v>129</v>
      </c>
      <c r="F764" s="47" t="s">
        <v>1234</v>
      </c>
      <c r="G764" s="47">
        <v>1</v>
      </c>
      <c r="H764" s="47" t="s">
        <v>530</v>
      </c>
      <c r="L764" s="47" t="s">
        <v>1276</v>
      </c>
      <c r="M764" s="47" t="s">
        <v>1279</v>
      </c>
    </row>
    <row r="765" spans="2:13" ht="13.5" customHeight="1">
      <c r="B765" s="47">
        <v>623</v>
      </c>
      <c r="C765" s="47" t="s">
        <v>129</v>
      </c>
      <c r="D765" s="47" t="s">
        <v>177</v>
      </c>
      <c r="E765" s="47" t="s">
        <v>274</v>
      </c>
      <c r="F765" s="47" t="s">
        <v>329</v>
      </c>
      <c r="G765" s="47">
        <v>1</v>
      </c>
      <c r="H765" s="47" t="s">
        <v>62</v>
      </c>
      <c r="L765" s="15" t="s">
        <v>275</v>
      </c>
      <c r="M765" s="15" t="s">
        <v>315</v>
      </c>
    </row>
    <row r="766" spans="2:13" ht="13.5" customHeight="1">
      <c r="B766" s="47">
        <v>624</v>
      </c>
      <c r="C766" s="47" t="s">
        <v>129</v>
      </c>
      <c r="F766" s="47" t="s">
        <v>316</v>
      </c>
      <c r="G766" s="47">
        <v>1</v>
      </c>
      <c r="H766" s="47" t="s">
        <v>1274</v>
      </c>
      <c r="L766" s="47" t="s">
        <v>1276</v>
      </c>
      <c r="M766" s="47" t="s">
        <v>1279</v>
      </c>
    </row>
    <row r="767" spans="2:13" ht="13.5" customHeight="1">
      <c r="B767" s="47">
        <v>624</v>
      </c>
      <c r="C767" s="47" t="s">
        <v>129</v>
      </c>
      <c r="D767" s="47" t="s">
        <v>177</v>
      </c>
      <c r="E767" s="47" t="s">
        <v>274</v>
      </c>
      <c r="F767" s="47" t="s">
        <v>316</v>
      </c>
      <c r="G767" s="47">
        <v>1</v>
      </c>
      <c r="H767" s="47" t="s">
        <v>62</v>
      </c>
      <c r="L767" s="15" t="s">
        <v>275</v>
      </c>
      <c r="M767" s="15" t="s">
        <v>315</v>
      </c>
    </row>
    <row r="768" spans="2:13" ht="13.5" customHeight="1">
      <c r="B768" s="47">
        <v>625</v>
      </c>
      <c r="C768" s="47" t="s">
        <v>129</v>
      </c>
      <c r="F768" s="47" t="s">
        <v>1235</v>
      </c>
      <c r="G768" s="47">
        <v>1</v>
      </c>
      <c r="H768" s="47" t="s">
        <v>530</v>
      </c>
      <c r="L768" s="47" t="s">
        <v>1276</v>
      </c>
      <c r="M768" s="47" t="s">
        <v>1279</v>
      </c>
    </row>
    <row r="769" spans="2:13" ht="13.5" customHeight="1">
      <c r="B769" s="47">
        <v>625</v>
      </c>
      <c r="C769" s="47" t="s">
        <v>129</v>
      </c>
      <c r="D769" s="47" t="s">
        <v>177</v>
      </c>
      <c r="E769" s="47" t="s">
        <v>274</v>
      </c>
      <c r="F769" s="47" t="s">
        <v>186</v>
      </c>
      <c r="G769" s="47">
        <v>1</v>
      </c>
      <c r="H769" s="47" t="s">
        <v>62</v>
      </c>
      <c r="L769" s="15" t="s">
        <v>275</v>
      </c>
      <c r="M769" s="15" t="s">
        <v>315</v>
      </c>
    </row>
    <row r="770" spans="2:13" ht="13.5" customHeight="1">
      <c r="B770" s="47">
        <v>626</v>
      </c>
      <c r="C770" s="47" t="s">
        <v>129</v>
      </c>
      <c r="F770" s="47" t="s">
        <v>1239</v>
      </c>
      <c r="G770" s="47">
        <v>1</v>
      </c>
      <c r="H770" s="47" t="s">
        <v>1275</v>
      </c>
      <c r="L770" s="47" t="s">
        <v>1276</v>
      </c>
      <c r="M770" s="47" t="s">
        <v>1279</v>
      </c>
    </row>
    <row r="771" spans="2:13" ht="13.5" customHeight="1">
      <c r="B771" s="47">
        <v>626</v>
      </c>
      <c r="C771" s="47" t="s">
        <v>129</v>
      </c>
      <c r="D771" s="47" t="s">
        <v>177</v>
      </c>
      <c r="E771" s="47" t="s">
        <v>274</v>
      </c>
      <c r="F771" s="47" t="s">
        <v>317</v>
      </c>
      <c r="G771" s="47">
        <v>1</v>
      </c>
      <c r="H771" s="47" t="s">
        <v>62</v>
      </c>
      <c r="L771" s="15" t="s">
        <v>275</v>
      </c>
      <c r="M771" s="15" t="s">
        <v>315</v>
      </c>
    </row>
    <row r="772" spans="2:13" ht="13.5" customHeight="1">
      <c r="B772" s="47">
        <v>627</v>
      </c>
      <c r="C772" s="47" t="s">
        <v>129</v>
      </c>
      <c r="F772" s="47" t="s">
        <v>1240</v>
      </c>
      <c r="G772" s="47">
        <v>1</v>
      </c>
      <c r="H772" s="47" t="s">
        <v>530</v>
      </c>
      <c r="L772" s="47" t="s">
        <v>1276</v>
      </c>
      <c r="M772" s="47" t="s">
        <v>1279</v>
      </c>
    </row>
    <row r="773" spans="2:13" ht="13.5" customHeight="1">
      <c r="B773" s="47">
        <v>627</v>
      </c>
      <c r="C773" s="47" t="s">
        <v>129</v>
      </c>
      <c r="D773" s="47" t="s">
        <v>177</v>
      </c>
      <c r="E773" s="47" t="s">
        <v>274</v>
      </c>
      <c r="F773" s="47" t="s">
        <v>318</v>
      </c>
      <c r="G773" s="47">
        <v>1</v>
      </c>
      <c r="H773" s="47" t="s">
        <v>62</v>
      </c>
      <c r="L773" s="15" t="s">
        <v>275</v>
      </c>
      <c r="M773" s="15" t="s">
        <v>315</v>
      </c>
    </row>
    <row r="774" spans="2:13" ht="13.5" customHeight="1">
      <c r="B774" s="47">
        <v>628</v>
      </c>
      <c r="C774" s="47" t="s">
        <v>129</v>
      </c>
      <c r="F774" s="47" t="s">
        <v>1223</v>
      </c>
      <c r="G774" s="47">
        <v>1</v>
      </c>
      <c r="H774" s="47" t="s">
        <v>1274</v>
      </c>
      <c r="L774" s="47" t="s">
        <v>1276</v>
      </c>
      <c r="M774" s="47" t="s">
        <v>1279</v>
      </c>
    </row>
    <row r="775" spans="2:13" ht="13.5" customHeight="1">
      <c r="B775" s="47">
        <v>628</v>
      </c>
      <c r="C775" s="47" t="s">
        <v>129</v>
      </c>
      <c r="D775" s="47" t="s">
        <v>177</v>
      </c>
      <c r="E775" s="47" t="s">
        <v>274</v>
      </c>
      <c r="F775" s="47" t="s">
        <v>242</v>
      </c>
      <c r="G775" s="47">
        <v>1</v>
      </c>
      <c r="H775" s="47" t="s">
        <v>62</v>
      </c>
      <c r="L775" s="15" t="s">
        <v>275</v>
      </c>
      <c r="M775" s="15" t="s">
        <v>315</v>
      </c>
    </row>
    <row r="776" spans="2:13" ht="13.5" customHeight="1">
      <c r="B776" s="47">
        <v>629</v>
      </c>
      <c r="C776" s="47" t="s">
        <v>129</v>
      </c>
      <c r="F776" s="47" t="s">
        <v>1241</v>
      </c>
      <c r="G776" s="47">
        <v>1</v>
      </c>
      <c r="H776" s="47" t="s">
        <v>1274</v>
      </c>
      <c r="L776" s="47" t="s">
        <v>1276</v>
      </c>
      <c r="M776" s="47" t="s">
        <v>1279</v>
      </c>
    </row>
    <row r="777" spans="2:13" ht="13.5" customHeight="1">
      <c r="B777" s="47">
        <v>629</v>
      </c>
      <c r="C777" s="47" t="s">
        <v>129</v>
      </c>
      <c r="D777" s="47" t="s">
        <v>177</v>
      </c>
      <c r="E777" s="47" t="s">
        <v>274</v>
      </c>
      <c r="F777" s="47" t="s">
        <v>319</v>
      </c>
      <c r="G777" s="47">
        <v>1</v>
      </c>
      <c r="H777" s="47" t="s">
        <v>62</v>
      </c>
      <c r="L777" s="15" t="s">
        <v>275</v>
      </c>
      <c r="M777" s="15" t="s">
        <v>315</v>
      </c>
    </row>
    <row r="778" spans="2:13" ht="13.5" customHeight="1">
      <c r="B778" s="47">
        <v>630</v>
      </c>
      <c r="C778" s="47" t="s">
        <v>129</v>
      </c>
      <c r="F778" s="47" t="s">
        <v>1241</v>
      </c>
      <c r="G778" s="47">
        <v>1</v>
      </c>
      <c r="H778" s="47" t="s">
        <v>1274</v>
      </c>
      <c r="L778" s="47" t="s">
        <v>1276</v>
      </c>
      <c r="M778" s="47" t="s">
        <v>1279</v>
      </c>
    </row>
    <row r="779" spans="2:13" ht="13.5" customHeight="1">
      <c r="B779" s="47">
        <v>630</v>
      </c>
      <c r="C779" s="47" t="s">
        <v>129</v>
      </c>
      <c r="D779" s="47" t="s">
        <v>177</v>
      </c>
      <c r="E779" s="47" t="s">
        <v>274</v>
      </c>
      <c r="F779" s="47" t="s">
        <v>319</v>
      </c>
      <c r="G779" s="47">
        <v>1</v>
      </c>
      <c r="H779" s="47" t="s">
        <v>62</v>
      </c>
      <c r="L779" s="15" t="s">
        <v>275</v>
      </c>
      <c r="M779" s="15" t="s">
        <v>315</v>
      </c>
    </row>
    <row r="780" spans="2:13" ht="13.5" customHeight="1">
      <c r="B780" s="47">
        <v>631</v>
      </c>
      <c r="C780" s="47" t="s">
        <v>129</v>
      </c>
      <c r="F780" s="47" t="s">
        <v>1230</v>
      </c>
      <c r="G780" s="47">
        <v>1</v>
      </c>
      <c r="H780" s="47" t="s">
        <v>530</v>
      </c>
      <c r="L780" s="47" t="s">
        <v>1276</v>
      </c>
      <c r="M780" s="47" t="s">
        <v>1279</v>
      </c>
    </row>
    <row r="781" spans="2:13" ht="13.5" customHeight="1">
      <c r="B781" s="47">
        <v>631</v>
      </c>
      <c r="C781" s="47" t="s">
        <v>129</v>
      </c>
      <c r="D781" s="47" t="s">
        <v>177</v>
      </c>
      <c r="E781" s="47" t="s">
        <v>274</v>
      </c>
      <c r="F781" s="47" t="s">
        <v>247</v>
      </c>
      <c r="G781" s="47">
        <v>1</v>
      </c>
      <c r="H781" s="47" t="s">
        <v>62</v>
      </c>
      <c r="L781" s="15" t="s">
        <v>275</v>
      </c>
      <c r="M781" s="15" t="s">
        <v>315</v>
      </c>
    </row>
    <row r="782" spans="2:13" ht="13.5" customHeight="1">
      <c r="B782" s="47">
        <v>632</v>
      </c>
      <c r="C782" s="47" t="s">
        <v>129</v>
      </c>
      <c r="F782" s="47" t="s">
        <v>1221</v>
      </c>
      <c r="G782" s="47">
        <v>1</v>
      </c>
      <c r="H782" s="47" t="s">
        <v>530</v>
      </c>
      <c r="L782" s="47" t="s">
        <v>1276</v>
      </c>
      <c r="M782" s="47" t="s">
        <v>1279</v>
      </c>
    </row>
    <row r="783" spans="2:13" ht="13.5" customHeight="1">
      <c r="B783" s="47">
        <v>632</v>
      </c>
      <c r="C783" s="47" t="s">
        <v>129</v>
      </c>
      <c r="D783" s="47" t="s">
        <v>177</v>
      </c>
      <c r="E783" s="47" t="s">
        <v>274</v>
      </c>
      <c r="F783" s="47" t="s">
        <v>248</v>
      </c>
      <c r="G783" s="47">
        <v>1</v>
      </c>
      <c r="H783" s="47" t="s">
        <v>62</v>
      </c>
      <c r="L783" s="15" t="s">
        <v>275</v>
      </c>
      <c r="M783" s="15" t="s">
        <v>315</v>
      </c>
    </row>
    <row r="784" spans="2:13" ht="13.5" customHeight="1">
      <c r="B784" s="47">
        <v>633</v>
      </c>
      <c r="C784" s="47" t="s">
        <v>129</v>
      </c>
      <c r="F784" s="47" t="s">
        <v>1242</v>
      </c>
      <c r="G784" s="47">
        <v>1</v>
      </c>
      <c r="H784" s="47" t="s">
        <v>530</v>
      </c>
      <c r="L784" s="47" t="s">
        <v>1276</v>
      </c>
      <c r="M784" s="47" t="s">
        <v>1279</v>
      </c>
    </row>
    <row r="785" spans="2:35" ht="13.5" customHeight="1">
      <c r="B785" s="47">
        <v>633</v>
      </c>
      <c r="C785" s="47" t="s">
        <v>129</v>
      </c>
      <c r="D785" s="47" t="s">
        <v>177</v>
      </c>
      <c r="E785" s="47" t="s">
        <v>274</v>
      </c>
      <c r="F785" s="47" t="s">
        <v>321</v>
      </c>
      <c r="G785" s="47">
        <v>1</v>
      </c>
      <c r="H785" s="47" t="s">
        <v>62</v>
      </c>
      <c r="L785" s="15" t="s">
        <v>275</v>
      </c>
      <c r="M785" s="15" t="s">
        <v>315</v>
      </c>
    </row>
    <row r="786" spans="2:35" ht="13.5" customHeight="1">
      <c r="B786" s="47">
        <v>634</v>
      </c>
      <c r="C786" s="47" t="s">
        <v>129</v>
      </c>
      <c r="F786" s="47" t="s">
        <v>1243</v>
      </c>
      <c r="G786" s="47">
        <v>1</v>
      </c>
      <c r="H786" s="47" t="s">
        <v>530</v>
      </c>
      <c r="L786" s="47" t="s">
        <v>1276</v>
      </c>
      <c r="M786" s="47" t="s">
        <v>1279</v>
      </c>
    </row>
    <row r="787" spans="2:35" ht="13.5" customHeight="1">
      <c r="B787" s="47">
        <v>634</v>
      </c>
      <c r="C787" s="47" t="s">
        <v>129</v>
      </c>
      <c r="D787" s="47" t="s">
        <v>177</v>
      </c>
      <c r="E787" s="47" t="s">
        <v>274</v>
      </c>
      <c r="F787" s="47" t="s">
        <v>322</v>
      </c>
      <c r="G787" s="47">
        <v>1</v>
      </c>
      <c r="H787" s="47" t="s">
        <v>62</v>
      </c>
      <c r="L787" s="15" t="s">
        <v>275</v>
      </c>
      <c r="M787" s="15" t="s">
        <v>315</v>
      </c>
    </row>
    <row r="788" spans="2:35" ht="13.5" customHeight="1">
      <c r="B788" s="47">
        <v>635</v>
      </c>
      <c r="C788" s="47" t="s">
        <v>129</v>
      </c>
      <c r="F788" s="47" t="s">
        <v>1243</v>
      </c>
      <c r="G788" s="47">
        <v>1</v>
      </c>
      <c r="H788" s="47" t="s">
        <v>530</v>
      </c>
      <c r="L788" s="47" t="s">
        <v>1276</v>
      </c>
      <c r="M788" s="47" t="s">
        <v>1279</v>
      </c>
    </row>
    <row r="789" spans="2:35" ht="13.5" customHeight="1">
      <c r="B789" s="47">
        <v>635</v>
      </c>
      <c r="C789" s="47" t="s">
        <v>129</v>
      </c>
      <c r="D789" s="47" t="s">
        <v>177</v>
      </c>
      <c r="E789" s="47" t="s">
        <v>274</v>
      </c>
      <c r="F789" s="47" t="s">
        <v>322</v>
      </c>
      <c r="G789" s="47">
        <v>1</v>
      </c>
      <c r="H789" s="47" t="s">
        <v>62</v>
      </c>
      <c r="L789" s="15" t="s">
        <v>275</v>
      </c>
      <c r="M789" s="15" t="s">
        <v>315</v>
      </c>
    </row>
    <row r="790" spans="2:35" ht="13.5" customHeight="1">
      <c r="B790" s="47">
        <v>636</v>
      </c>
      <c r="C790" s="47" t="s">
        <v>129</v>
      </c>
      <c r="F790" s="47" t="s">
        <v>1234</v>
      </c>
      <c r="G790" s="47">
        <v>1</v>
      </c>
      <c r="H790" s="47" t="s">
        <v>530</v>
      </c>
      <c r="L790" s="47" t="s">
        <v>1276</v>
      </c>
      <c r="M790" s="47" t="s">
        <v>1279</v>
      </c>
    </row>
    <row r="791" spans="2:35" ht="13.5" customHeight="1">
      <c r="B791" s="47">
        <v>636</v>
      </c>
      <c r="C791" s="47" t="s">
        <v>129</v>
      </c>
      <c r="D791" s="47" t="s">
        <v>177</v>
      </c>
      <c r="E791" s="47" t="s">
        <v>274</v>
      </c>
      <c r="F791" s="47" t="s">
        <v>313</v>
      </c>
      <c r="G791" s="47">
        <v>1</v>
      </c>
      <c r="H791" s="47" t="s">
        <v>62</v>
      </c>
      <c r="L791" s="15" t="s">
        <v>275</v>
      </c>
      <c r="M791" s="15" t="s">
        <v>315</v>
      </c>
      <c r="AF791" s="48"/>
      <c r="AG791" s="48"/>
      <c r="AH791" s="48"/>
      <c r="AI791" s="48"/>
    </row>
    <row r="792" spans="2:35" ht="13.5" customHeight="1">
      <c r="B792" s="47">
        <v>637</v>
      </c>
      <c r="C792" s="47" t="s">
        <v>129</v>
      </c>
      <c r="F792" s="47" t="s">
        <v>1239</v>
      </c>
      <c r="G792" s="47">
        <v>1</v>
      </c>
      <c r="H792" s="47" t="s">
        <v>1275</v>
      </c>
      <c r="L792" s="47" t="s">
        <v>1276</v>
      </c>
      <c r="M792" s="47" t="s">
        <v>1279</v>
      </c>
    </row>
    <row r="793" spans="2:35" ht="13.5" customHeight="1">
      <c r="B793" s="47">
        <v>637</v>
      </c>
      <c r="C793" s="47" t="s">
        <v>129</v>
      </c>
      <c r="D793" s="47" t="s">
        <v>177</v>
      </c>
      <c r="E793" s="47" t="s">
        <v>274</v>
      </c>
      <c r="F793" s="47" t="s">
        <v>317</v>
      </c>
      <c r="G793" s="47">
        <v>1</v>
      </c>
      <c r="H793" s="47" t="s">
        <v>62</v>
      </c>
      <c r="L793" s="15" t="s">
        <v>275</v>
      </c>
      <c r="M793" s="15" t="s">
        <v>315</v>
      </c>
    </row>
    <row r="794" spans="2:35" ht="13.5" customHeight="1">
      <c r="B794" s="47">
        <v>638</v>
      </c>
      <c r="C794" s="47" t="s">
        <v>129</v>
      </c>
      <c r="F794" s="47" t="s">
        <v>1240</v>
      </c>
      <c r="G794" s="47">
        <v>1</v>
      </c>
      <c r="H794" s="47" t="s">
        <v>530</v>
      </c>
      <c r="L794" s="47" t="s">
        <v>1276</v>
      </c>
      <c r="M794" s="47" t="s">
        <v>1279</v>
      </c>
    </row>
    <row r="795" spans="2:35" ht="13.5" customHeight="1">
      <c r="B795" s="47">
        <v>638</v>
      </c>
      <c r="C795" s="47" t="s">
        <v>129</v>
      </c>
      <c r="D795" s="47" t="s">
        <v>177</v>
      </c>
      <c r="E795" s="47" t="s">
        <v>274</v>
      </c>
      <c r="F795" s="47" t="s">
        <v>318</v>
      </c>
      <c r="G795" s="47">
        <v>1</v>
      </c>
      <c r="H795" s="47" t="s">
        <v>62</v>
      </c>
      <c r="L795" s="15" t="s">
        <v>275</v>
      </c>
      <c r="M795" s="15" t="s">
        <v>315</v>
      </c>
    </row>
    <row r="796" spans="2:35" ht="13.5" customHeight="1">
      <c r="B796" s="47">
        <v>639</v>
      </c>
      <c r="C796" s="47" t="s">
        <v>129</v>
      </c>
      <c r="F796" s="47" t="s">
        <v>1224</v>
      </c>
      <c r="G796" s="47">
        <v>1</v>
      </c>
      <c r="H796" s="47" t="s">
        <v>530</v>
      </c>
      <c r="L796" s="47" t="s">
        <v>1276</v>
      </c>
      <c r="M796" s="47" t="s">
        <v>1279</v>
      </c>
    </row>
    <row r="797" spans="2:35" ht="13.5" customHeight="1">
      <c r="B797" s="47">
        <v>639</v>
      </c>
      <c r="C797" s="47" t="s">
        <v>129</v>
      </c>
      <c r="D797" s="47" t="s">
        <v>177</v>
      </c>
      <c r="E797" s="47" t="s">
        <v>274</v>
      </c>
      <c r="F797" s="47" t="s">
        <v>324</v>
      </c>
      <c r="G797" s="47">
        <v>1</v>
      </c>
      <c r="H797" s="47" t="s">
        <v>62</v>
      </c>
      <c r="L797" s="15" t="s">
        <v>275</v>
      </c>
      <c r="M797" s="15" t="s">
        <v>315</v>
      </c>
    </row>
    <row r="798" spans="2:35" ht="13.5" customHeight="1">
      <c r="B798" s="47">
        <v>640</v>
      </c>
      <c r="C798" s="47" t="s">
        <v>129</v>
      </c>
      <c r="F798" s="47" t="s">
        <v>1223</v>
      </c>
      <c r="G798" s="47">
        <v>1</v>
      </c>
      <c r="H798" s="47" t="s">
        <v>1274</v>
      </c>
      <c r="L798" s="47" t="s">
        <v>1276</v>
      </c>
      <c r="M798" s="47" t="s">
        <v>1279</v>
      </c>
    </row>
    <row r="799" spans="2:35" ht="13.5" customHeight="1">
      <c r="B799" s="47">
        <v>640</v>
      </c>
      <c r="C799" s="47" t="s">
        <v>129</v>
      </c>
      <c r="D799" s="47" t="s">
        <v>177</v>
      </c>
      <c r="E799" s="47" t="s">
        <v>274</v>
      </c>
      <c r="F799" s="47" t="s">
        <v>242</v>
      </c>
      <c r="G799" s="47">
        <v>1</v>
      </c>
      <c r="H799" s="47" t="s">
        <v>62</v>
      </c>
      <c r="L799" s="15" t="s">
        <v>275</v>
      </c>
      <c r="M799" s="15" t="s">
        <v>315</v>
      </c>
    </row>
    <row r="800" spans="2:35" ht="13.5" customHeight="1">
      <c r="B800" s="47">
        <v>641</v>
      </c>
      <c r="C800" s="47" t="s">
        <v>129</v>
      </c>
      <c r="F800" s="47" t="s">
        <v>1223</v>
      </c>
      <c r="G800" s="47">
        <v>1</v>
      </c>
      <c r="H800" s="47" t="s">
        <v>1274</v>
      </c>
      <c r="L800" s="47" t="s">
        <v>1276</v>
      </c>
      <c r="M800" s="47" t="s">
        <v>1279</v>
      </c>
    </row>
    <row r="801" spans="1:35" ht="13.5" customHeight="1">
      <c r="B801" s="47">
        <v>641</v>
      </c>
      <c r="C801" s="47" t="s">
        <v>129</v>
      </c>
      <c r="D801" s="47" t="s">
        <v>177</v>
      </c>
      <c r="E801" s="47" t="s">
        <v>274</v>
      </c>
      <c r="F801" s="47" t="s">
        <v>242</v>
      </c>
      <c r="G801" s="47">
        <v>1</v>
      </c>
      <c r="H801" s="47" t="s">
        <v>62</v>
      </c>
      <c r="L801" s="15" t="s">
        <v>275</v>
      </c>
      <c r="M801" s="15" t="s">
        <v>315</v>
      </c>
    </row>
    <row r="802" spans="1:35" ht="13.5" customHeight="1">
      <c r="B802" s="47">
        <v>642</v>
      </c>
      <c r="C802" s="47" t="s">
        <v>129</v>
      </c>
      <c r="F802" s="47" t="s">
        <v>1223</v>
      </c>
      <c r="G802" s="47">
        <v>1</v>
      </c>
      <c r="H802" s="47" t="s">
        <v>1274</v>
      </c>
      <c r="L802" s="47" t="s">
        <v>1276</v>
      </c>
      <c r="M802" s="47" t="s">
        <v>1279</v>
      </c>
    </row>
    <row r="803" spans="1:35" ht="13.5" customHeight="1">
      <c r="B803" s="47">
        <v>642</v>
      </c>
      <c r="C803" s="47" t="s">
        <v>129</v>
      </c>
      <c r="D803" s="47" t="s">
        <v>177</v>
      </c>
      <c r="E803" s="47" t="s">
        <v>274</v>
      </c>
      <c r="F803" s="47" t="s">
        <v>242</v>
      </c>
      <c r="G803" s="47">
        <v>1</v>
      </c>
      <c r="H803" s="47" t="s">
        <v>62</v>
      </c>
      <c r="L803" s="15" t="s">
        <v>275</v>
      </c>
      <c r="M803" s="15" t="s">
        <v>315</v>
      </c>
    </row>
    <row r="804" spans="1:35" ht="13.5" customHeight="1">
      <c r="B804" s="47">
        <v>643</v>
      </c>
      <c r="C804" s="47" t="s">
        <v>129</v>
      </c>
      <c r="F804" s="47" t="s">
        <v>1223</v>
      </c>
      <c r="G804" s="47">
        <v>1</v>
      </c>
      <c r="H804" s="47" t="s">
        <v>1274</v>
      </c>
      <c r="L804" s="47" t="s">
        <v>1276</v>
      </c>
      <c r="M804" s="47" t="s">
        <v>1279</v>
      </c>
    </row>
    <row r="805" spans="1:35" ht="13.5" customHeight="1">
      <c r="B805" s="47">
        <v>643</v>
      </c>
      <c r="C805" s="47" t="s">
        <v>129</v>
      </c>
      <c r="D805" s="47" t="s">
        <v>177</v>
      </c>
      <c r="E805" s="47" t="s">
        <v>274</v>
      </c>
      <c r="F805" s="47" t="s">
        <v>242</v>
      </c>
      <c r="G805" s="47">
        <v>1</v>
      </c>
      <c r="H805" s="47" t="s">
        <v>62</v>
      </c>
      <c r="L805" s="15" t="s">
        <v>275</v>
      </c>
      <c r="M805" s="15" t="s">
        <v>315</v>
      </c>
    </row>
    <row r="806" spans="1:35" ht="13.5" customHeight="1">
      <c r="B806" s="47">
        <v>644</v>
      </c>
      <c r="C806" s="47" t="s">
        <v>129</v>
      </c>
      <c r="F806" s="47" t="s">
        <v>1228</v>
      </c>
      <c r="G806" s="47" t="s">
        <v>1273</v>
      </c>
      <c r="H806" s="47" t="s">
        <v>530</v>
      </c>
      <c r="L806" s="47" t="s">
        <v>1276</v>
      </c>
      <c r="M806" s="47" t="s">
        <v>1279</v>
      </c>
    </row>
    <row r="807" spans="1:35" ht="13.5" customHeight="1">
      <c r="B807" s="47">
        <v>644</v>
      </c>
      <c r="C807" s="47" t="s">
        <v>129</v>
      </c>
      <c r="D807" s="47" t="s">
        <v>177</v>
      </c>
      <c r="E807" s="47" t="s">
        <v>274</v>
      </c>
      <c r="F807" s="47" t="s">
        <v>325</v>
      </c>
      <c r="G807" s="47">
        <v>1</v>
      </c>
      <c r="H807" s="47" t="s">
        <v>62</v>
      </c>
      <c r="L807" s="15" t="s">
        <v>275</v>
      </c>
      <c r="M807" s="15" t="s">
        <v>315</v>
      </c>
    </row>
    <row r="808" spans="1:35" ht="13.5" customHeight="1">
      <c r="B808" s="47">
        <v>645</v>
      </c>
      <c r="C808" s="47" t="s">
        <v>129</v>
      </c>
      <c r="F808" s="47" t="s">
        <v>1242</v>
      </c>
      <c r="G808" s="47">
        <v>1</v>
      </c>
      <c r="H808" s="47" t="s">
        <v>530</v>
      </c>
      <c r="L808" s="47" t="s">
        <v>1276</v>
      </c>
      <c r="M808" s="47" t="s">
        <v>1279</v>
      </c>
    </row>
    <row r="809" spans="1:35" ht="13.5" customHeight="1">
      <c r="B809" s="47">
        <v>645</v>
      </c>
      <c r="C809" s="47" t="s">
        <v>129</v>
      </c>
      <c r="D809" s="47" t="s">
        <v>177</v>
      </c>
      <c r="E809" s="47" t="s">
        <v>274</v>
      </c>
      <c r="F809" s="47" t="s">
        <v>321</v>
      </c>
      <c r="G809" s="47">
        <v>1</v>
      </c>
      <c r="H809" s="47" t="s">
        <v>62</v>
      </c>
      <c r="L809" s="15" t="s">
        <v>275</v>
      </c>
      <c r="M809" s="15" t="s">
        <v>315</v>
      </c>
    </row>
    <row r="810" spans="1:35" ht="13.5" customHeight="1">
      <c r="B810" s="47">
        <v>646</v>
      </c>
      <c r="C810" s="47" t="s">
        <v>129</v>
      </c>
      <c r="F810" s="47" t="s">
        <v>1240</v>
      </c>
      <c r="G810" s="47">
        <v>1</v>
      </c>
      <c r="H810" s="47" t="s">
        <v>530</v>
      </c>
      <c r="L810" s="47" t="s">
        <v>1276</v>
      </c>
      <c r="M810" s="47" t="s">
        <v>1279</v>
      </c>
    </row>
    <row r="811" spans="1:35" ht="13.5" customHeight="1">
      <c r="B811" s="47">
        <v>646</v>
      </c>
      <c r="C811" s="47" t="s">
        <v>129</v>
      </c>
      <c r="D811" s="47" t="s">
        <v>177</v>
      </c>
      <c r="E811" s="47" t="s">
        <v>274</v>
      </c>
      <c r="F811" s="47" t="s">
        <v>318</v>
      </c>
      <c r="G811" s="47">
        <v>1</v>
      </c>
      <c r="H811" s="47" t="s">
        <v>62</v>
      </c>
      <c r="L811" s="15" t="s">
        <v>275</v>
      </c>
      <c r="M811" s="15" t="s">
        <v>315</v>
      </c>
    </row>
    <row r="812" spans="1:35" ht="13.5" customHeight="1">
      <c r="B812" s="47">
        <v>647</v>
      </c>
      <c r="C812" s="47" t="s">
        <v>129</v>
      </c>
      <c r="F812" s="47" t="s">
        <v>1244</v>
      </c>
      <c r="G812" s="47">
        <v>1</v>
      </c>
      <c r="H812" s="47" t="s">
        <v>530</v>
      </c>
      <c r="L812" s="47" t="s">
        <v>1276</v>
      </c>
      <c r="M812" s="47" t="s">
        <v>1279</v>
      </c>
    </row>
    <row r="813" spans="1:35" ht="13.5" customHeight="1">
      <c r="B813" s="47">
        <v>647</v>
      </c>
      <c r="C813" s="47" t="s">
        <v>129</v>
      </c>
      <c r="D813" s="47" t="s">
        <v>177</v>
      </c>
      <c r="E813" s="47" t="s">
        <v>274</v>
      </c>
      <c r="F813" s="47" t="s">
        <v>328</v>
      </c>
      <c r="G813" s="47">
        <v>1</v>
      </c>
      <c r="H813" s="47" t="s">
        <v>62</v>
      </c>
      <c r="L813" s="15" t="s">
        <v>275</v>
      </c>
      <c r="M813" s="15" t="s">
        <v>315</v>
      </c>
    </row>
    <row r="814" spans="1:35" ht="13.5" customHeight="1">
      <c r="B814" s="47">
        <v>648</v>
      </c>
      <c r="C814" s="47" t="s">
        <v>129</v>
      </c>
      <c r="F814" s="47" t="s">
        <v>1244</v>
      </c>
      <c r="G814" s="47">
        <v>1</v>
      </c>
      <c r="H814" s="47" t="s">
        <v>530</v>
      </c>
      <c r="L814" s="47" t="s">
        <v>1276</v>
      </c>
      <c r="M814" s="47" t="s">
        <v>1279</v>
      </c>
    </row>
    <row r="815" spans="1:35" s="48" customFormat="1" ht="13.5" customHeight="1">
      <c r="A815" s="47"/>
      <c r="B815" s="47">
        <v>648</v>
      </c>
      <c r="C815" s="47" t="s">
        <v>129</v>
      </c>
      <c r="D815" s="47" t="s">
        <v>177</v>
      </c>
      <c r="E815" s="47" t="s">
        <v>274</v>
      </c>
      <c r="F815" s="47" t="s">
        <v>328</v>
      </c>
      <c r="G815" s="47">
        <v>1</v>
      </c>
      <c r="H815" s="47" t="s">
        <v>62</v>
      </c>
      <c r="I815" s="47"/>
      <c r="J815" s="47"/>
      <c r="K815" s="47"/>
      <c r="L815" s="15" t="s">
        <v>275</v>
      </c>
      <c r="M815" s="15" t="s">
        <v>315</v>
      </c>
      <c r="N815" s="47"/>
      <c r="O815" s="47"/>
      <c r="P815" s="47"/>
      <c r="Q815" s="47"/>
      <c r="R815" s="47"/>
      <c r="S815" s="47"/>
      <c r="T815" s="47"/>
      <c r="U815" s="47"/>
      <c r="V815" s="47"/>
      <c r="W815" s="47"/>
      <c r="X815" s="47"/>
      <c r="Y815" s="47"/>
      <c r="Z815" s="47"/>
      <c r="AA815" s="47"/>
      <c r="AB815" s="47"/>
      <c r="AC815" s="47"/>
      <c r="AD815" s="47"/>
      <c r="AE815" s="47"/>
      <c r="AF815" s="47"/>
      <c r="AG815" s="47"/>
      <c r="AH815" s="47"/>
      <c r="AI815" s="47"/>
    </row>
    <row r="816" spans="1:35" ht="13.5" customHeight="1">
      <c r="B816" s="47">
        <v>649</v>
      </c>
      <c r="C816" s="47" t="s">
        <v>129</v>
      </c>
      <c r="F816" s="47" t="s">
        <v>1230</v>
      </c>
      <c r="G816" s="47">
        <v>1</v>
      </c>
      <c r="H816" s="47" t="s">
        <v>530</v>
      </c>
      <c r="L816" s="47" t="s">
        <v>1276</v>
      </c>
      <c r="M816" s="47" t="s">
        <v>1279</v>
      </c>
    </row>
    <row r="817" spans="2:13" ht="13.5" customHeight="1">
      <c r="B817" s="47">
        <v>649</v>
      </c>
      <c r="C817" s="47" t="s">
        <v>129</v>
      </c>
      <c r="D817" s="47" t="s">
        <v>177</v>
      </c>
      <c r="E817" s="47" t="s">
        <v>274</v>
      </c>
      <c r="F817" s="47" t="s">
        <v>247</v>
      </c>
      <c r="G817" s="47">
        <v>1</v>
      </c>
      <c r="H817" s="47" t="s">
        <v>62</v>
      </c>
      <c r="L817" s="15" t="s">
        <v>275</v>
      </c>
      <c r="M817" s="15" t="s">
        <v>315</v>
      </c>
    </row>
    <row r="818" spans="2:13" ht="13.5" customHeight="1">
      <c r="B818" s="47">
        <v>650</v>
      </c>
      <c r="C818" s="47" t="s">
        <v>129</v>
      </c>
      <c r="F818" s="47" t="s">
        <v>1243</v>
      </c>
      <c r="G818" s="47">
        <v>1</v>
      </c>
      <c r="H818" s="47" t="s">
        <v>530</v>
      </c>
      <c r="L818" s="47" t="s">
        <v>1276</v>
      </c>
      <c r="M818" s="47" t="s">
        <v>1279</v>
      </c>
    </row>
    <row r="819" spans="2:13" ht="13.5" customHeight="1">
      <c r="B819" s="47">
        <v>650</v>
      </c>
      <c r="C819" s="47" t="s">
        <v>129</v>
      </c>
      <c r="D819" s="47" t="s">
        <v>177</v>
      </c>
      <c r="E819" s="47" t="s">
        <v>274</v>
      </c>
      <c r="F819" s="47" t="s">
        <v>322</v>
      </c>
      <c r="G819" s="47">
        <v>1</v>
      </c>
      <c r="H819" s="47" t="s">
        <v>62</v>
      </c>
      <c r="L819" s="15" t="s">
        <v>275</v>
      </c>
      <c r="M819" s="15" t="s">
        <v>315</v>
      </c>
    </row>
    <row r="820" spans="2:13" ht="13.5" customHeight="1">
      <c r="B820" s="47">
        <v>651</v>
      </c>
      <c r="C820" s="47" t="s">
        <v>129</v>
      </c>
      <c r="F820" s="47" t="s">
        <v>1223</v>
      </c>
      <c r="G820" s="47">
        <v>1</v>
      </c>
      <c r="H820" s="47" t="s">
        <v>1274</v>
      </c>
      <c r="L820" s="47" t="s">
        <v>1276</v>
      </c>
      <c r="M820" s="47" t="s">
        <v>1279</v>
      </c>
    </row>
    <row r="821" spans="2:13" ht="13.5" customHeight="1">
      <c r="B821" s="47">
        <v>651</v>
      </c>
      <c r="C821" s="47" t="s">
        <v>129</v>
      </c>
      <c r="D821" s="47" t="s">
        <v>177</v>
      </c>
      <c r="E821" s="47" t="s">
        <v>274</v>
      </c>
      <c r="F821" s="47" t="s">
        <v>242</v>
      </c>
      <c r="G821" s="47">
        <v>1</v>
      </c>
      <c r="H821" s="47" t="s">
        <v>62</v>
      </c>
      <c r="L821" s="15" t="s">
        <v>275</v>
      </c>
      <c r="M821" s="15" t="s">
        <v>315</v>
      </c>
    </row>
    <row r="822" spans="2:13" ht="13.5" customHeight="1">
      <c r="B822" s="47">
        <v>652</v>
      </c>
      <c r="C822" s="47" t="s">
        <v>129</v>
      </c>
      <c r="F822" s="47" t="s">
        <v>1223</v>
      </c>
      <c r="G822" s="47">
        <v>1</v>
      </c>
      <c r="H822" s="47" t="s">
        <v>1274</v>
      </c>
      <c r="L822" s="47" t="s">
        <v>1276</v>
      </c>
      <c r="M822" s="47" t="s">
        <v>1279</v>
      </c>
    </row>
    <row r="823" spans="2:13" ht="13.5" customHeight="1">
      <c r="B823" s="47">
        <v>652</v>
      </c>
      <c r="C823" s="47" t="s">
        <v>129</v>
      </c>
      <c r="D823" s="47" t="s">
        <v>177</v>
      </c>
      <c r="E823" s="47" t="s">
        <v>274</v>
      </c>
      <c r="F823" s="47" t="s">
        <v>242</v>
      </c>
      <c r="G823" s="47">
        <v>1</v>
      </c>
      <c r="H823" s="47" t="s">
        <v>62</v>
      </c>
      <c r="L823" s="15" t="s">
        <v>275</v>
      </c>
      <c r="M823" s="15" t="s">
        <v>315</v>
      </c>
    </row>
    <row r="824" spans="2:13" ht="13.5" customHeight="1">
      <c r="B824" s="47">
        <v>653</v>
      </c>
      <c r="C824" s="47" t="s">
        <v>129</v>
      </c>
      <c r="F824" s="47" t="s">
        <v>1223</v>
      </c>
      <c r="G824" s="47">
        <v>1</v>
      </c>
      <c r="H824" s="47" t="s">
        <v>1274</v>
      </c>
      <c r="L824" s="47" t="s">
        <v>1276</v>
      </c>
      <c r="M824" s="47" t="s">
        <v>1279</v>
      </c>
    </row>
    <row r="825" spans="2:13" ht="13.5" customHeight="1">
      <c r="B825" s="47">
        <v>653</v>
      </c>
      <c r="C825" s="47" t="s">
        <v>129</v>
      </c>
      <c r="D825" s="47" t="s">
        <v>177</v>
      </c>
      <c r="E825" s="47" t="s">
        <v>274</v>
      </c>
      <c r="F825" s="47" t="s">
        <v>242</v>
      </c>
      <c r="G825" s="47">
        <v>1</v>
      </c>
      <c r="H825" s="47" t="s">
        <v>62</v>
      </c>
      <c r="L825" s="15" t="s">
        <v>275</v>
      </c>
      <c r="M825" s="15" t="s">
        <v>315</v>
      </c>
    </row>
    <row r="826" spans="2:13" ht="13.5" customHeight="1">
      <c r="B826" s="47">
        <v>654</v>
      </c>
      <c r="C826" s="47" t="s">
        <v>129</v>
      </c>
      <c r="F826" s="47" t="s">
        <v>1222</v>
      </c>
      <c r="G826" s="47">
        <v>1</v>
      </c>
      <c r="H826" s="47" t="s">
        <v>530</v>
      </c>
      <c r="L826" s="47" t="s">
        <v>1276</v>
      </c>
      <c r="M826" s="47" t="s">
        <v>1279</v>
      </c>
    </row>
    <row r="827" spans="2:13" ht="13.5" customHeight="1">
      <c r="B827" s="47">
        <v>654</v>
      </c>
      <c r="C827" s="47" t="s">
        <v>129</v>
      </c>
      <c r="D827" s="47" t="s">
        <v>177</v>
      </c>
      <c r="E827" s="47" t="s">
        <v>274</v>
      </c>
      <c r="F827" s="47" t="s">
        <v>326</v>
      </c>
      <c r="G827" s="47">
        <v>1</v>
      </c>
      <c r="H827" s="47" t="s">
        <v>62</v>
      </c>
      <c r="L827" s="15" t="s">
        <v>275</v>
      </c>
      <c r="M827" s="15" t="s">
        <v>315</v>
      </c>
    </row>
    <row r="828" spans="2:13" ht="13.5" customHeight="1">
      <c r="B828" s="47">
        <v>655</v>
      </c>
      <c r="C828" s="47" t="s">
        <v>129</v>
      </c>
      <c r="F828" s="47" t="s">
        <v>1222</v>
      </c>
      <c r="G828" s="47">
        <v>1</v>
      </c>
      <c r="H828" s="47" t="s">
        <v>530</v>
      </c>
      <c r="L828" s="47" t="s">
        <v>1276</v>
      </c>
      <c r="M828" s="47" t="s">
        <v>1279</v>
      </c>
    </row>
    <row r="829" spans="2:13" ht="13.5" customHeight="1">
      <c r="B829" s="47">
        <v>655</v>
      </c>
      <c r="C829" s="47" t="s">
        <v>129</v>
      </c>
      <c r="D829" s="47" t="s">
        <v>177</v>
      </c>
      <c r="E829" s="47" t="s">
        <v>274</v>
      </c>
      <c r="F829" s="47" t="s">
        <v>326</v>
      </c>
      <c r="G829" s="47">
        <v>1</v>
      </c>
      <c r="H829" s="47" t="s">
        <v>62</v>
      </c>
      <c r="L829" s="15" t="s">
        <v>275</v>
      </c>
      <c r="M829" s="15" t="s">
        <v>315</v>
      </c>
    </row>
    <row r="830" spans="2:13" ht="13.5" customHeight="1">
      <c r="B830" s="47">
        <v>656</v>
      </c>
      <c r="C830" s="47" t="s">
        <v>129</v>
      </c>
      <c r="F830" s="47" t="s">
        <v>1222</v>
      </c>
      <c r="G830" s="47">
        <v>1</v>
      </c>
      <c r="H830" s="47" t="s">
        <v>530</v>
      </c>
      <c r="L830" s="47" t="s">
        <v>1276</v>
      </c>
      <c r="M830" s="47" t="s">
        <v>1279</v>
      </c>
    </row>
    <row r="831" spans="2:13" ht="13.5" customHeight="1">
      <c r="B831" s="47">
        <v>656</v>
      </c>
      <c r="C831" s="47" t="s">
        <v>129</v>
      </c>
      <c r="D831" s="47" t="s">
        <v>177</v>
      </c>
      <c r="E831" s="47" t="s">
        <v>274</v>
      </c>
      <c r="F831" s="47" t="s">
        <v>326</v>
      </c>
      <c r="G831" s="47">
        <v>1</v>
      </c>
      <c r="H831" s="47" t="s">
        <v>62</v>
      </c>
      <c r="L831" s="15" t="s">
        <v>275</v>
      </c>
      <c r="M831" s="15" t="s">
        <v>315</v>
      </c>
    </row>
    <row r="832" spans="2:13" ht="13.5" customHeight="1">
      <c r="B832" s="47">
        <v>657</v>
      </c>
      <c r="C832" s="47" t="s">
        <v>129</v>
      </c>
      <c r="F832" s="47" t="s">
        <v>1222</v>
      </c>
      <c r="G832" s="47">
        <v>1</v>
      </c>
      <c r="H832" s="47" t="s">
        <v>530</v>
      </c>
      <c r="L832" s="47" t="s">
        <v>1276</v>
      </c>
      <c r="M832" s="47" t="s">
        <v>1279</v>
      </c>
    </row>
    <row r="833" spans="2:13" ht="13.5" customHeight="1">
      <c r="B833" s="47">
        <v>657</v>
      </c>
      <c r="C833" s="47" t="s">
        <v>129</v>
      </c>
      <c r="D833" s="47" t="s">
        <v>177</v>
      </c>
      <c r="E833" s="47" t="s">
        <v>274</v>
      </c>
      <c r="F833" s="47" t="s">
        <v>326</v>
      </c>
      <c r="G833" s="47">
        <v>1</v>
      </c>
      <c r="H833" s="47" t="s">
        <v>62</v>
      </c>
      <c r="L833" s="15" t="s">
        <v>275</v>
      </c>
      <c r="M833" s="15" t="s">
        <v>315</v>
      </c>
    </row>
    <row r="834" spans="2:13" ht="13.5" customHeight="1">
      <c r="B834" s="47">
        <v>658</v>
      </c>
      <c r="C834" s="47" t="s">
        <v>129</v>
      </c>
      <c r="F834" s="47" t="s">
        <v>1241</v>
      </c>
      <c r="G834" s="47">
        <v>1</v>
      </c>
      <c r="H834" s="47" t="s">
        <v>1274</v>
      </c>
      <c r="L834" s="47" t="s">
        <v>1276</v>
      </c>
      <c r="M834" s="47" t="s">
        <v>1279</v>
      </c>
    </row>
    <row r="835" spans="2:13" ht="13.5" customHeight="1">
      <c r="B835" s="47">
        <v>658</v>
      </c>
      <c r="C835" s="47" t="s">
        <v>129</v>
      </c>
      <c r="D835" s="47" t="s">
        <v>177</v>
      </c>
      <c r="E835" s="47" t="s">
        <v>274</v>
      </c>
      <c r="F835" s="47" t="s">
        <v>319</v>
      </c>
      <c r="G835" s="47">
        <v>1</v>
      </c>
      <c r="H835" s="47" t="s">
        <v>62</v>
      </c>
      <c r="L835" s="15" t="s">
        <v>275</v>
      </c>
      <c r="M835" s="15" t="s">
        <v>315</v>
      </c>
    </row>
    <row r="836" spans="2:13" ht="13.5" customHeight="1">
      <c r="B836" s="47">
        <v>659</v>
      </c>
      <c r="C836" s="47" t="s">
        <v>129</v>
      </c>
      <c r="F836" s="47" t="s">
        <v>1242</v>
      </c>
      <c r="G836" s="47">
        <v>1</v>
      </c>
      <c r="H836" s="47" t="s">
        <v>530</v>
      </c>
      <c r="L836" s="47" t="s">
        <v>1276</v>
      </c>
      <c r="M836" s="47" t="s">
        <v>1279</v>
      </c>
    </row>
    <row r="837" spans="2:13" ht="13.5" customHeight="1">
      <c r="B837" s="47">
        <v>659</v>
      </c>
      <c r="C837" s="47" t="s">
        <v>129</v>
      </c>
      <c r="D837" s="47" t="s">
        <v>177</v>
      </c>
      <c r="E837" s="47" t="s">
        <v>274</v>
      </c>
      <c r="F837" s="47" t="s">
        <v>321</v>
      </c>
      <c r="G837" s="47">
        <v>1</v>
      </c>
      <c r="H837" s="47" t="s">
        <v>62</v>
      </c>
      <c r="L837" s="15" t="s">
        <v>275</v>
      </c>
      <c r="M837" s="15" t="s">
        <v>315</v>
      </c>
    </row>
    <row r="838" spans="2:13" ht="13.5" customHeight="1">
      <c r="B838" s="47">
        <v>660</v>
      </c>
      <c r="C838" s="47" t="s">
        <v>129</v>
      </c>
      <c r="F838" s="47" t="s">
        <v>1224</v>
      </c>
      <c r="G838" s="47">
        <v>1</v>
      </c>
      <c r="H838" s="47" t="s">
        <v>530</v>
      </c>
      <c r="L838" s="47" t="s">
        <v>1276</v>
      </c>
      <c r="M838" s="47" t="s">
        <v>1279</v>
      </c>
    </row>
    <row r="839" spans="2:13" ht="13.5" customHeight="1">
      <c r="B839" s="47">
        <v>660</v>
      </c>
      <c r="C839" s="47" t="s">
        <v>129</v>
      </c>
      <c r="D839" s="47" t="s">
        <v>177</v>
      </c>
      <c r="E839" s="47" t="s">
        <v>274</v>
      </c>
      <c r="F839" s="47" t="s">
        <v>324</v>
      </c>
      <c r="G839" s="47">
        <v>1</v>
      </c>
      <c r="H839" s="47" t="s">
        <v>62</v>
      </c>
      <c r="L839" s="15" t="s">
        <v>275</v>
      </c>
      <c r="M839" s="15" t="s">
        <v>315</v>
      </c>
    </row>
    <row r="840" spans="2:13" ht="13.5" customHeight="1">
      <c r="B840" s="47">
        <v>661</v>
      </c>
      <c r="C840" s="47" t="s">
        <v>129</v>
      </c>
      <c r="F840" s="47" t="s">
        <v>1222</v>
      </c>
      <c r="G840" s="47">
        <v>1</v>
      </c>
      <c r="H840" s="47" t="s">
        <v>530</v>
      </c>
      <c r="L840" s="47" t="s">
        <v>1276</v>
      </c>
      <c r="M840" s="47" t="s">
        <v>1279</v>
      </c>
    </row>
    <row r="841" spans="2:13" ht="13.5" customHeight="1">
      <c r="B841" s="47">
        <v>661</v>
      </c>
      <c r="C841" s="47" t="s">
        <v>129</v>
      </c>
      <c r="D841" s="47" t="s">
        <v>177</v>
      </c>
      <c r="E841" s="47" t="s">
        <v>274</v>
      </c>
      <c r="F841" s="47" t="s">
        <v>326</v>
      </c>
      <c r="G841" s="47">
        <v>1</v>
      </c>
      <c r="H841" s="47" t="s">
        <v>62</v>
      </c>
      <c r="L841" s="15" t="s">
        <v>275</v>
      </c>
      <c r="M841" s="15" t="s">
        <v>315</v>
      </c>
    </row>
    <row r="842" spans="2:13" ht="13.5" customHeight="1">
      <c r="B842" s="47">
        <v>662</v>
      </c>
      <c r="C842" s="47" t="s">
        <v>129</v>
      </c>
      <c r="F842" s="47" t="s">
        <v>1222</v>
      </c>
      <c r="G842" s="47">
        <v>1</v>
      </c>
      <c r="H842" s="47" t="s">
        <v>530</v>
      </c>
      <c r="L842" s="47" t="s">
        <v>1276</v>
      </c>
      <c r="M842" s="47" t="s">
        <v>1279</v>
      </c>
    </row>
    <row r="843" spans="2:13" ht="13.5" customHeight="1">
      <c r="B843" s="47">
        <v>662</v>
      </c>
      <c r="C843" s="47" t="s">
        <v>129</v>
      </c>
      <c r="D843" s="47" t="s">
        <v>177</v>
      </c>
      <c r="E843" s="47" t="s">
        <v>274</v>
      </c>
      <c r="F843" s="47" t="s">
        <v>326</v>
      </c>
      <c r="G843" s="47">
        <v>1</v>
      </c>
      <c r="H843" s="47" t="s">
        <v>62</v>
      </c>
      <c r="L843" s="15" t="s">
        <v>275</v>
      </c>
      <c r="M843" s="15" t="s">
        <v>315</v>
      </c>
    </row>
    <row r="844" spans="2:13" ht="13.5" customHeight="1">
      <c r="B844" s="47">
        <v>663</v>
      </c>
      <c r="C844" s="47" t="s">
        <v>129</v>
      </c>
      <c r="F844" s="47" t="s">
        <v>1245</v>
      </c>
      <c r="G844" s="47">
        <v>1</v>
      </c>
      <c r="H844" s="47" t="s">
        <v>530</v>
      </c>
      <c r="L844" s="47" t="s">
        <v>1276</v>
      </c>
      <c r="M844" s="47" t="s">
        <v>1279</v>
      </c>
    </row>
    <row r="845" spans="2:13" ht="13.5" customHeight="1">
      <c r="B845" s="47">
        <v>663</v>
      </c>
      <c r="C845" s="47" t="s">
        <v>129</v>
      </c>
      <c r="D845" s="47" t="s">
        <v>177</v>
      </c>
      <c r="E845" s="47" t="s">
        <v>274</v>
      </c>
      <c r="F845" s="47" t="s">
        <v>327</v>
      </c>
      <c r="G845" s="47">
        <v>1</v>
      </c>
      <c r="H845" s="47" t="s">
        <v>62</v>
      </c>
      <c r="L845" s="15" t="s">
        <v>275</v>
      </c>
      <c r="M845" s="15" t="s">
        <v>315</v>
      </c>
    </row>
    <row r="846" spans="2:13" ht="13.5" customHeight="1">
      <c r="B846" s="47">
        <v>664</v>
      </c>
      <c r="C846" s="47" t="s">
        <v>129</v>
      </c>
      <c r="F846" s="47" t="s">
        <v>1245</v>
      </c>
      <c r="G846" s="47">
        <v>1</v>
      </c>
      <c r="H846" s="47" t="s">
        <v>530</v>
      </c>
      <c r="L846" s="47" t="s">
        <v>1276</v>
      </c>
      <c r="M846" s="47" t="s">
        <v>1279</v>
      </c>
    </row>
    <row r="847" spans="2:13" ht="13.5" customHeight="1">
      <c r="B847" s="47">
        <v>664</v>
      </c>
      <c r="C847" s="47" t="s">
        <v>129</v>
      </c>
      <c r="D847" s="47" t="s">
        <v>177</v>
      </c>
      <c r="E847" s="47" t="s">
        <v>274</v>
      </c>
      <c r="F847" s="47" t="s">
        <v>327</v>
      </c>
      <c r="G847" s="47">
        <v>1</v>
      </c>
      <c r="H847" s="47" t="s">
        <v>62</v>
      </c>
      <c r="L847" s="15" t="s">
        <v>275</v>
      </c>
      <c r="M847" s="15" t="s">
        <v>315</v>
      </c>
    </row>
    <row r="848" spans="2:13" ht="13.5" customHeight="1">
      <c r="B848" s="47">
        <v>665</v>
      </c>
      <c r="C848" s="47" t="s">
        <v>129</v>
      </c>
      <c r="F848" s="47" t="s">
        <v>1244</v>
      </c>
      <c r="G848" s="47">
        <v>1</v>
      </c>
      <c r="H848" s="47" t="s">
        <v>530</v>
      </c>
      <c r="L848" s="47" t="s">
        <v>1276</v>
      </c>
      <c r="M848" s="47" t="s">
        <v>1279</v>
      </c>
    </row>
    <row r="849" spans="2:13" ht="13.5" customHeight="1">
      <c r="B849" s="47">
        <v>665</v>
      </c>
      <c r="C849" s="47" t="s">
        <v>129</v>
      </c>
      <c r="D849" s="47" t="s">
        <v>177</v>
      </c>
      <c r="E849" s="47" t="s">
        <v>274</v>
      </c>
      <c r="F849" s="47" t="s">
        <v>328</v>
      </c>
      <c r="G849" s="47">
        <v>1</v>
      </c>
      <c r="H849" s="47" t="s">
        <v>62</v>
      </c>
      <c r="L849" s="15" t="s">
        <v>275</v>
      </c>
      <c r="M849" s="15" t="s">
        <v>315</v>
      </c>
    </row>
    <row r="850" spans="2:13" ht="13.5" customHeight="1">
      <c r="B850" s="47">
        <v>666</v>
      </c>
      <c r="C850" s="47" t="s">
        <v>129</v>
      </c>
      <c r="F850" s="47" t="s">
        <v>1228</v>
      </c>
      <c r="G850" s="47" t="s">
        <v>1273</v>
      </c>
      <c r="H850" s="47" t="s">
        <v>530</v>
      </c>
      <c r="L850" s="47" t="s">
        <v>1276</v>
      </c>
      <c r="M850" s="47" t="s">
        <v>1279</v>
      </c>
    </row>
    <row r="851" spans="2:13" ht="13.5" customHeight="1">
      <c r="B851" s="47">
        <v>666</v>
      </c>
      <c r="C851" s="47" t="s">
        <v>129</v>
      </c>
      <c r="D851" s="47" t="s">
        <v>177</v>
      </c>
      <c r="E851" s="47" t="s">
        <v>274</v>
      </c>
      <c r="F851" s="47" t="s">
        <v>325</v>
      </c>
      <c r="G851" s="47">
        <v>1</v>
      </c>
      <c r="H851" s="47" t="s">
        <v>62</v>
      </c>
      <c r="L851" s="15" t="s">
        <v>275</v>
      </c>
      <c r="M851" s="15" t="s">
        <v>315</v>
      </c>
    </row>
    <row r="852" spans="2:13" ht="13.5" customHeight="1">
      <c r="B852" s="47">
        <v>667</v>
      </c>
      <c r="C852" s="47" t="s">
        <v>129</v>
      </c>
      <c r="F852" s="47" t="s">
        <v>1240</v>
      </c>
      <c r="G852" s="47">
        <v>1</v>
      </c>
      <c r="H852" s="47" t="s">
        <v>530</v>
      </c>
      <c r="L852" s="47" t="s">
        <v>1276</v>
      </c>
      <c r="M852" s="47" t="s">
        <v>1279</v>
      </c>
    </row>
    <row r="853" spans="2:13" ht="13.5" customHeight="1">
      <c r="B853" s="47">
        <v>667</v>
      </c>
      <c r="C853" s="47" t="s">
        <v>129</v>
      </c>
      <c r="D853" s="47" t="s">
        <v>177</v>
      </c>
      <c r="E853" s="47" t="s">
        <v>274</v>
      </c>
      <c r="F853" s="47" t="s">
        <v>318</v>
      </c>
      <c r="G853" s="47">
        <v>1</v>
      </c>
      <c r="H853" s="47" t="s">
        <v>62</v>
      </c>
      <c r="L853" s="15" t="s">
        <v>275</v>
      </c>
      <c r="M853" s="15" t="s">
        <v>315</v>
      </c>
    </row>
    <row r="854" spans="2:13" ht="13.5" customHeight="1">
      <c r="B854" s="47">
        <v>668</v>
      </c>
      <c r="C854" s="47" t="s">
        <v>129</v>
      </c>
      <c r="F854" s="47" t="s">
        <v>1240</v>
      </c>
      <c r="G854" s="47">
        <v>1</v>
      </c>
      <c r="H854" s="47" t="s">
        <v>530</v>
      </c>
      <c r="L854" s="47" t="s">
        <v>1276</v>
      </c>
      <c r="M854" s="47" t="s">
        <v>1279</v>
      </c>
    </row>
    <row r="855" spans="2:13" ht="13.5" customHeight="1">
      <c r="B855" s="47">
        <v>668</v>
      </c>
      <c r="C855" s="47" t="s">
        <v>129</v>
      </c>
      <c r="D855" s="47" t="s">
        <v>177</v>
      </c>
      <c r="E855" s="47" t="s">
        <v>274</v>
      </c>
      <c r="F855" s="47" t="s">
        <v>318</v>
      </c>
      <c r="G855" s="47">
        <v>1</v>
      </c>
      <c r="H855" s="47" t="s">
        <v>62</v>
      </c>
      <c r="L855" s="15" t="s">
        <v>275</v>
      </c>
      <c r="M855" s="15" t="s">
        <v>315</v>
      </c>
    </row>
    <row r="856" spans="2:13" ht="13.5" customHeight="1">
      <c r="B856" s="47">
        <v>669</v>
      </c>
      <c r="C856" s="47" t="s">
        <v>129</v>
      </c>
      <c r="F856" s="47" t="s">
        <v>1239</v>
      </c>
      <c r="G856" s="47">
        <v>1</v>
      </c>
      <c r="H856" s="47" t="s">
        <v>1275</v>
      </c>
      <c r="L856" s="47" t="s">
        <v>1276</v>
      </c>
      <c r="M856" s="47" t="s">
        <v>1279</v>
      </c>
    </row>
    <row r="857" spans="2:13" ht="13.5" customHeight="1">
      <c r="B857" s="47">
        <v>669</v>
      </c>
      <c r="C857" s="47" t="s">
        <v>129</v>
      </c>
      <c r="D857" s="47" t="s">
        <v>177</v>
      </c>
      <c r="E857" s="47" t="s">
        <v>274</v>
      </c>
      <c r="F857" s="47" t="s">
        <v>317</v>
      </c>
      <c r="G857" s="47">
        <v>1</v>
      </c>
      <c r="H857" s="47" t="s">
        <v>62</v>
      </c>
      <c r="L857" s="15" t="s">
        <v>275</v>
      </c>
      <c r="M857" s="15" t="s">
        <v>315</v>
      </c>
    </row>
    <row r="858" spans="2:13" ht="13.5" customHeight="1">
      <c r="B858" s="47">
        <v>670</v>
      </c>
      <c r="C858" s="47" t="s">
        <v>129</v>
      </c>
      <c r="F858" s="47" t="s">
        <v>1230</v>
      </c>
      <c r="G858" s="47">
        <v>1</v>
      </c>
      <c r="H858" s="47" t="s">
        <v>530</v>
      </c>
      <c r="L858" s="47" t="s">
        <v>1276</v>
      </c>
      <c r="M858" s="47" t="s">
        <v>1279</v>
      </c>
    </row>
    <row r="859" spans="2:13" ht="13.5" customHeight="1">
      <c r="B859" s="47">
        <v>670</v>
      </c>
      <c r="C859" s="47" t="s">
        <v>129</v>
      </c>
      <c r="D859" s="47" t="s">
        <v>177</v>
      </c>
      <c r="E859" s="47" t="s">
        <v>274</v>
      </c>
      <c r="F859" s="47" t="s">
        <v>247</v>
      </c>
      <c r="G859" s="47">
        <v>1</v>
      </c>
      <c r="H859" s="47" t="s">
        <v>62</v>
      </c>
      <c r="L859" s="15" t="s">
        <v>275</v>
      </c>
      <c r="M859" s="15" t="s">
        <v>315</v>
      </c>
    </row>
    <row r="860" spans="2:13" ht="13.5" customHeight="1">
      <c r="B860" s="47">
        <v>671</v>
      </c>
      <c r="C860" s="47" t="s">
        <v>129</v>
      </c>
      <c r="F860" s="47" t="s">
        <v>1230</v>
      </c>
      <c r="G860" s="47">
        <v>1</v>
      </c>
      <c r="H860" s="47" t="s">
        <v>530</v>
      </c>
      <c r="L860" s="47" t="s">
        <v>1276</v>
      </c>
      <c r="M860" s="47" t="s">
        <v>1279</v>
      </c>
    </row>
    <row r="861" spans="2:13" ht="13.5" customHeight="1">
      <c r="B861" s="47">
        <v>671</v>
      </c>
      <c r="C861" s="47" t="s">
        <v>129</v>
      </c>
      <c r="D861" s="47" t="s">
        <v>177</v>
      </c>
      <c r="E861" s="47" t="s">
        <v>274</v>
      </c>
      <c r="F861" s="47" t="s">
        <v>247</v>
      </c>
      <c r="G861" s="47">
        <v>1</v>
      </c>
      <c r="H861" s="47" t="s">
        <v>62</v>
      </c>
      <c r="L861" s="15" t="s">
        <v>275</v>
      </c>
      <c r="M861" s="15" t="s">
        <v>315</v>
      </c>
    </row>
    <row r="862" spans="2:13" ht="13.5" customHeight="1">
      <c r="B862" s="47">
        <v>672</v>
      </c>
      <c r="C862" s="47" t="s">
        <v>129</v>
      </c>
      <c r="F862" s="47" t="s">
        <v>1230</v>
      </c>
      <c r="G862" s="47">
        <v>1</v>
      </c>
      <c r="H862" s="47" t="s">
        <v>530</v>
      </c>
      <c r="L862" s="47" t="s">
        <v>1276</v>
      </c>
      <c r="M862" s="47" t="s">
        <v>1279</v>
      </c>
    </row>
    <row r="863" spans="2:13" ht="13.5" customHeight="1">
      <c r="B863" s="47">
        <v>672</v>
      </c>
      <c r="C863" s="47" t="s">
        <v>129</v>
      </c>
      <c r="D863" s="47" t="s">
        <v>177</v>
      </c>
      <c r="E863" s="47" t="s">
        <v>274</v>
      </c>
      <c r="F863" s="47" t="s">
        <v>247</v>
      </c>
      <c r="G863" s="47">
        <v>1</v>
      </c>
      <c r="H863" s="47" t="s">
        <v>62</v>
      </c>
      <c r="L863" s="15" t="s">
        <v>275</v>
      </c>
      <c r="M863" s="15" t="s">
        <v>315</v>
      </c>
    </row>
    <row r="864" spans="2:13" ht="13.5" customHeight="1">
      <c r="B864" s="47">
        <v>673</v>
      </c>
      <c r="C864" s="47" t="s">
        <v>129</v>
      </c>
      <c r="F864" s="47" t="s">
        <v>1224</v>
      </c>
      <c r="G864" s="47">
        <v>1</v>
      </c>
      <c r="H864" s="47" t="s">
        <v>530</v>
      </c>
      <c r="L864" s="47" t="s">
        <v>1276</v>
      </c>
      <c r="M864" s="47" t="s">
        <v>1279</v>
      </c>
    </row>
    <row r="865" spans="2:13" ht="13.5" customHeight="1">
      <c r="B865" s="47">
        <v>673</v>
      </c>
      <c r="C865" s="47" t="s">
        <v>129</v>
      </c>
      <c r="D865" s="47" t="s">
        <v>177</v>
      </c>
      <c r="E865" s="47" t="s">
        <v>274</v>
      </c>
      <c r="F865" s="47" t="s">
        <v>324</v>
      </c>
      <c r="G865" s="47">
        <v>1</v>
      </c>
      <c r="H865" s="47" t="s">
        <v>62</v>
      </c>
      <c r="L865" s="15" t="s">
        <v>275</v>
      </c>
      <c r="M865" s="15" t="s">
        <v>315</v>
      </c>
    </row>
    <row r="866" spans="2:13" ht="13.5" customHeight="1">
      <c r="B866" s="47">
        <v>674</v>
      </c>
      <c r="C866" s="47" t="s">
        <v>129</v>
      </c>
      <c r="F866" s="47" t="s">
        <v>1234</v>
      </c>
      <c r="G866" s="47">
        <v>1</v>
      </c>
      <c r="H866" s="47" t="s">
        <v>530</v>
      </c>
      <c r="L866" s="47" t="s">
        <v>1276</v>
      </c>
      <c r="M866" s="47" t="s">
        <v>1279</v>
      </c>
    </row>
    <row r="867" spans="2:13" ht="13.5" customHeight="1">
      <c r="B867" s="47">
        <v>674</v>
      </c>
      <c r="C867" s="47" t="s">
        <v>129</v>
      </c>
      <c r="D867" s="47" t="s">
        <v>177</v>
      </c>
      <c r="E867" s="47" t="s">
        <v>274</v>
      </c>
      <c r="F867" s="47" t="s">
        <v>313</v>
      </c>
      <c r="G867" s="47">
        <v>1</v>
      </c>
      <c r="H867" s="47" t="s">
        <v>62</v>
      </c>
      <c r="L867" s="15" t="s">
        <v>275</v>
      </c>
      <c r="M867" s="15" t="s">
        <v>315</v>
      </c>
    </row>
    <row r="868" spans="2:13" ht="13.5" customHeight="1">
      <c r="B868" s="47">
        <v>675</v>
      </c>
      <c r="C868" s="47" t="s">
        <v>129</v>
      </c>
      <c r="F868" s="47" t="s">
        <v>1245</v>
      </c>
      <c r="G868" s="47">
        <v>1</v>
      </c>
      <c r="H868" s="47" t="s">
        <v>530</v>
      </c>
      <c r="L868" s="47" t="s">
        <v>1276</v>
      </c>
      <c r="M868" s="47" t="s">
        <v>1279</v>
      </c>
    </row>
    <row r="869" spans="2:13" ht="13.5" customHeight="1">
      <c r="B869" s="47">
        <v>675</v>
      </c>
      <c r="C869" s="47" t="s">
        <v>129</v>
      </c>
      <c r="D869" s="47" t="s">
        <v>177</v>
      </c>
      <c r="E869" s="47" t="s">
        <v>274</v>
      </c>
      <c r="F869" s="47" t="s">
        <v>327</v>
      </c>
      <c r="G869" s="47">
        <v>1</v>
      </c>
      <c r="H869" s="47" t="s">
        <v>62</v>
      </c>
      <c r="L869" s="15" t="s">
        <v>275</v>
      </c>
      <c r="M869" s="15" t="s">
        <v>315</v>
      </c>
    </row>
    <row r="870" spans="2:13" ht="13.5" customHeight="1">
      <c r="B870" s="47">
        <v>676</v>
      </c>
      <c r="C870" s="47" t="s">
        <v>129</v>
      </c>
      <c r="F870" s="47" t="s">
        <v>1242</v>
      </c>
      <c r="G870" s="47">
        <v>1</v>
      </c>
      <c r="H870" s="47" t="s">
        <v>530</v>
      </c>
      <c r="L870" s="47" t="s">
        <v>1276</v>
      </c>
      <c r="M870" s="47" t="s">
        <v>1279</v>
      </c>
    </row>
    <row r="871" spans="2:13" ht="13.5" customHeight="1">
      <c r="B871" s="47">
        <v>676</v>
      </c>
      <c r="C871" s="47" t="s">
        <v>129</v>
      </c>
      <c r="D871" s="47" t="s">
        <v>177</v>
      </c>
      <c r="E871" s="47" t="s">
        <v>274</v>
      </c>
      <c r="F871" s="47" t="s">
        <v>321</v>
      </c>
      <c r="G871" s="47">
        <v>1</v>
      </c>
      <c r="H871" s="47" t="s">
        <v>62</v>
      </c>
      <c r="L871" s="15" t="s">
        <v>275</v>
      </c>
      <c r="M871" s="15" t="s">
        <v>315</v>
      </c>
    </row>
    <row r="872" spans="2:13" ht="13.5" customHeight="1">
      <c r="B872" s="47">
        <v>677</v>
      </c>
      <c r="C872" s="47" t="s">
        <v>129</v>
      </c>
      <c r="F872" s="47" t="s">
        <v>1228</v>
      </c>
      <c r="G872" s="47" t="s">
        <v>1273</v>
      </c>
      <c r="H872" s="47" t="s">
        <v>530</v>
      </c>
      <c r="L872" s="47" t="s">
        <v>1276</v>
      </c>
      <c r="M872" s="47" t="s">
        <v>1279</v>
      </c>
    </row>
    <row r="873" spans="2:13" ht="13.5" customHeight="1">
      <c r="B873" s="47">
        <v>677</v>
      </c>
      <c r="C873" s="47" t="s">
        <v>129</v>
      </c>
      <c r="D873" s="47" t="s">
        <v>177</v>
      </c>
      <c r="E873" s="47" t="s">
        <v>274</v>
      </c>
      <c r="F873" s="47" t="s">
        <v>325</v>
      </c>
      <c r="G873" s="47">
        <v>1</v>
      </c>
      <c r="H873" s="47" t="s">
        <v>62</v>
      </c>
      <c r="L873" s="15" t="s">
        <v>275</v>
      </c>
      <c r="M873" s="15" t="s">
        <v>315</v>
      </c>
    </row>
    <row r="874" spans="2:13" ht="13.5" customHeight="1">
      <c r="B874" s="47">
        <v>678</v>
      </c>
      <c r="C874" s="47" t="s">
        <v>129</v>
      </c>
      <c r="F874" s="47" t="s">
        <v>316</v>
      </c>
      <c r="G874" s="47">
        <v>1</v>
      </c>
      <c r="H874" s="47" t="s">
        <v>1274</v>
      </c>
      <c r="L874" s="47" t="s">
        <v>1277</v>
      </c>
      <c r="M874" s="47" t="s">
        <v>1280</v>
      </c>
    </row>
    <row r="875" spans="2:13" ht="13.5" customHeight="1">
      <c r="B875" s="47">
        <v>678</v>
      </c>
      <c r="C875" s="47" t="s">
        <v>129</v>
      </c>
      <c r="D875" s="47" t="s">
        <v>177</v>
      </c>
      <c r="E875" s="47" t="s">
        <v>244</v>
      </c>
      <c r="F875" s="47" t="s">
        <v>316</v>
      </c>
      <c r="G875" s="47">
        <v>1</v>
      </c>
      <c r="H875" s="47" t="s">
        <v>62</v>
      </c>
      <c r="L875" s="15" t="s">
        <v>330</v>
      </c>
      <c r="M875" s="15" t="s">
        <v>243</v>
      </c>
    </row>
    <row r="876" spans="2:13" ht="13.5" customHeight="1">
      <c r="B876" s="47">
        <v>679</v>
      </c>
      <c r="C876" s="47" t="s">
        <v>129</v>
      </c>
      <c r="F876" s="47" t="s">
        <v>1234</v>
      </c>
      <c r="G876" s="47">
        <v>1</v>
      </c>
      <c r="H876" s="47" t="s">
        <v>530</v>
      </c>
      <c r="L876" s="47" t="s">
        <v>1277</v>
      </c>
      <c r="M876" s="47" t="s">
        <v>1280</v>
      </c>
    </row>
    <row r="877" spans="2:13" ht="13.5" customHeight="1">
      <c r="B877" s="47">
        <v>679</v>
      </c>
      <c r="C877" s="47" t="s">
        <v>129</v>
      </c>
      <c r="D877" s="47" t="s">
        <v>177</v>
      </c>
      <c r="E877" s="47" t="s">
        <v>244</v>
      </c>
      <c r="F877" s="47" t="s">
        <v>329</v>
      </c>
      <c r="G877" s="47">
        <v>1</v>
      </c>
      <c r="H877" s="47" t="s">
        <v>62</v>
      </c>
      <c r="L877" s="15" t="s">
        <v>330</v>
      </c>
      <c r="M877" s="15" t="s">
        <v>243</v>
      </c>
    </row>
    <row r="878" spans="2:13" ht="13.5" customHeight="1">
      <c r="B878" s="47">
        <v>680</v>
      </c>
      <c r="C878" s="47" t="s">
        <v>129</v>
      </c>
      <c r="F878" s="47" t="s">
        <v>1230</v>
      </c>
      <c r="G878" s="47">
        <v>1</v>
      </c>
      <c r="H878" s="47" t="s">
        <v>530</v>
      </c>
      <c r="L878" s="47" t="s">
        <v>1277</v>
      </c>
      <c r="M878" s="47" t="s">
        <v>1280</v>
      </c>
    </row>
    <row r="879" spans="2:13" ht="13.5" customHeight="1">
      <c r="B879" s="47">
        <v>680</v>
      </c>
      <c r="C879" s="47" t="s">
        <v>129</v>
      </c>
      <c r="D879" s="47" t="s">
        <v>177</v>
      </c>
      <c r="E879" s="47" t="s">
        <v>244</v>
      </c>
      <c r="F879" s="47" t="s">
        <v>247</v>
      </c>
      <c r="G879" s="47">
        <v>1</v>
      </c>
      <c r="H879" s="47" t="s">
        <v>62</v>
      </c>
      <c r="L879" s="15" t="s">
        <v>330</v>
      </c>
      <c r="M879" s="15" t="s">
        <v>243</v>
      </c>
    </row>
    <row r="880" spans="2:13" ht="13.5" customHeight="1">
      <c r="B880" s="47">
        <v>681</v>
      </c>
      <c r="C880" s="47" t="s">
        <v>129</v>
      </c>
      <c r="F880" s="47" t="s">
        <v>1230</v>
      </c>
      <c r="G880" s="47">
        <v>1</v>
      </c>
      <c r="H880" s="47" t="s">
        <v>530</v>
      </c>
      <c r="L880" s="47" t="s">
        <v>1277</v>
      </c>
      <c r="M880" s="47" t="s">
        <v>1280</v>
      </c>
    </row>
    <row r="881" spans="2:13" ht="13.5" customHeight="1">
      <c r="B881" s="47">
        <v>681</v>
      </c>
      <c r="C881" s="47" t="s">
        <v>129</v>
      </c>
      <c r="D881" s="47" t="s">
        <v>177</v>
      </c>
      <c r="E881" s="47" t="s">
        <v>244</v>
      </c>
      <c r="F881" s="47" t="s">
        <v>247</v>
      </c>
      <c r="G881" s="47">
        <v>1</v>
      </c>
      <c r="H881" s="47" t="s">
        <v>62</v>
      </c>
      <c r="L881" s="15" t="s">
        <v>330</v>
      </c>
      <c r="M881" s="15" t="s">
        <v>243</v>
      </c>
    </row>
    <row r="882" spans="2:13" ht="13.5" customHeight="1">
      <c r="B882" s="47">
        <v>682</v>
      </c>
      <c r="C882" s="47" t="s">
        <v>129</v>
      </c>
      <c r="F882" s="47" t="s">
        <v>1230</v>
      </c>
      <c r="G882" s="47">
        <v>1</v>
      </c>
      <c r="H882" s="47" t="s">
        <v>530</v>
      </c>
      <c r="L882" s="47" t="s">
        <v>1277</v>
      </c>
      <c r="M882" s="47" t="s">
        <v>1280</v>
      </c>
    </row>
    <row r="883" spans="2:13" ht="13.5" customHeight="1">
      <c r="B883" s="47">
        <v>682</v>
      </c>
      <c r="C883" s="47" t="s">
        <v>129</v>
      </c>
      <c r="D883" s="47" t="s">
        <v>177</v>
      </c>
      <c r="E883" s="47" t="s">
        <v>244</v>
      </c>
      <c r="F883" s="47" t="s">
        <v>247</v>
      </c>
      <c r="G883" s="47">
        <v>1</v>
      </c>
      <c r="H883" s="47" t="s">
        <v>62</v>
      </c>
      <c r="L883" s="15" t="s">
        <v>330</v>
      </c>
      <c r="M883" s="15" t="s">
        <v>243</v>
      </c>
    </row>
    <row r="884" spans="2:13" ht="13.5" customHeight="1">
      <c r="B884" s="47">
        <v>683</v>
      </c>
      <c r="C884" s="47" t="s">
        <v>129</v>
      </c>
      <c r="F884" s="47" t="s">
        <v>1230</v>
      </c>
      <c r="G884" s="47">
        <v>1</v>
      </c>
      <c r="H884" s="47" t="s">
        <v>530</v>
      </c>
      <c r="L884" s="47" t="s">
        <v>1277</v>
      </c>
      <c r="M884" s="47" t="s">
        <v>1280</v>
      </c>
    </row>
    <row r="885" spans="2:13" ht="13.5" customHeight="1">
      <c r="B885" s="47">
        <v>683</v>
      </c>
      <c r="C885" s="47" t="s">
        <v>129</v>
      </c>
      <c r="D885" s="47" t="s">
        <v>177</v>
      </c>
      <c r="E885" s="47" t="s">
        <v>244</v>
      </c>
      <c r="F885" s="47" t="s">
        <v>247</v>
      </c>
      <c r="G885" s="47">
        <v>1</v>
      </c>
      <c r="H885" s="47" t="s">
        <v>62</v>
      </c>
      <c r="L885" s="15" t="s">
        <v>330</v>
      </c>
      <c r="M885" s="15" t="s">
        <v>243</v>
      </c>
    </row>
    <row r="886" spans="2:13" ht="13.5" customHeight="1">
      <c r="B886" s="47">
        <v>684</v>
      </c>
      <c r="C886" s="47" t="s">
        <v>129</v>
      </c>
      <c r="F886" s="47" t="s">
        <v>1230</v>
      </c>
      <c r="G886" s="47">
        <v>1</v>
      </c>
      <c r="H886" s="47" t="s">
        <v>530</v>
      </c>
      <c r="L886" s="47" t="s">
        <v>1277</v>
      </c>
      <c r="M886" s="47" t="s">
        <v>1280</v>
      </c>
    </row>
    <row r="887" spans="2:13" ht="13.5" customHeight="1">
      <c r="B887" s="47">
        <v>684</v>
      </c>
      <c r="C887" s="47" t="s">
        <v>129</v>
      </c>
      <c r="D887" s="47" t="s">
        <v>177</v>
      </c>
      <c r="E887" s="47" t="s">
        <v>244</v>
      </c>
      <c r="F887" s="47" t="s">
        <v>247</v>
      </c>
      <c r="G887" s="47">
        <v>1</v>
      </c>
      <c r="H887" s="47" t="s">
        <v>62</v>
      </c>
      <c r="L887" s="15" t="s">
        <v>330</v>
      </c>
      <c r="M887" s="15" t="s">
        <v>243</v>
      </c>
    </row>
    <row r="888" spans="2:13" ht="13.5" customHeight="1">
      <c r="B888" s="47">
        <v>685</v>
      </c>
      <c r="C888" s="47" t="s">
        <v>129</v>
      </c>
      <c r="F888" s="47" t="s">
        <v>1234</v>
      </c>
      <c r="G888" s="47">
        <v>1</v>
      </c>
      <c r="H888" s="47" t="s">
        <v>530</v>
      </c>
      <c r="L888" s="47" t="s">
        <v>1277</v>
      </c>
      <c r="M888" s="47" t="s">
        <v>1280</v>
      </c>
    </row>
    <row r="889" spans="2:13" ht="13.5" customHeight="1">
      <c r="B889" s="47">
        <v>685</v>
      </c>
      <c r="C889" s="47" t="s">
        <v>129</v>
      </c>
      <c r="D889" s="47" t="s">
        <v>177</v>
      </c>
      <c r="E889" s="47" t="s">
        <v>244</v>
      </c>
      <c r="F889" s="47" t="s">
        <v>329</v>
      </c>
      <c r="G889" s="47">
        <v>1</v>
      </c>
      <c r="H889" s="47" t="s">
        <v>62</v>
      </c>
      <c r="L889" s="15" t="s">
        <v>330</v>
      </c>
      <c r="M889" s="15" t="s">
        <v>243</v>
      </c>
    </row>
    <row r="890" spans="2:13" ht="13.5" customHeight="1">
      <c r="B890" s="47">
        <v>686</v>
      </c>
      <c r="C890" s="47" t="s">
        <v>129</v>
      </c>
      <c r="F890" s="47" t="s">
        <v>316</v>
      </c>
      <c r="G890" s="47">
        <v>1</v>
      </c>
      <c r="H890" s="47" t="s">
        <v>1274</v>
      </c>
      <c r="L890" s="47" t="s">
        <v>1278</v>
      </c>
      <c r="M890" s="47" t="s">
        <v>1280</v>
      </c>
    </row>
    <row r="891" spans="2:13" ht="13.5" customHeight="1">
      <c r="B891" s="47">
        <v>686</v>
      </c>
      <c r="C891" s="47" t="s">
        <v>129</v>
      </c>
      <c r="D891" s="47" t="s">
        <v>177</v>
      </c>
      <c r="E891" s="47" t="s">
        <v>244</v>
      </c>
      <c r="F891" s="47" t="s">
        <v>316</v>
      </c>
      <c r="G891" s="47">
        <v>1</v>
      </c>
      <c r="H891" s="47" t="s">
        <v>62</v>
      </c>
      <c r="L891" s="15" t="s">
        <v>331</v>
      </c>
      <c r="M891" s="15" t="s">
        <v>243</v>
      </c>
    </row>
    <row r="892" spans="2:13" ht="13.5" customHeight="1">
      <c r="B892" s="47">
        <v>687</v>
      </c>
      <c r="C892" s="47" t="s">
        <v>129</v>
      </c>
      <c r="F892" s="47" t="s">
        <v>1239</v>
      </c>
      <c r="G892" s="47">
        <v>1</v>
      </c>
      <c r="H892" s="47" t="s">
        <v>1275</v>
      </c>
      <c r="L892" s="47" t="s">
        <v>1278</v>
      </c>
      <c r="M892" s="47" t="s">
        <v>1280</v>
      </c>
    </row>
    <row r="893" spans="2:13" ht="13.5" customHeight="1">
      <c r="B893" s="47">
        <v>687</v>
      </c>
      <c r="C893" s="47" t="s">
        <v>129</v>
      </c>
      <c r="D893" s="47" t="s">
        <v>177</v>
      </c>
      <c r="E893" s="47" t="s">
        <v>244</v>
      </c>
      <c r="F893" s="47" t="s">
        <v>317</v>
      </c>
      <c r="G893" s="47">
        <v>1</v>
      </c>
      <c r="H893" s="47" t="s">
        <v>62</v>
      </c>
      <c r="L893" s="15" t="s">
        <v>331</v>
      </c>
      <c r="M893" s="15" t="s">
        <v>243</v>
      </c>
    </row>
    <row r="894" spans="2:13" ht="13.5" customHeight="1">
      <c r="B894" s="47">
        <v>688</v>
      </c>
      <c r="C894" s="47" t="s">
        <v>129</v>
      </c>
      <c r="F894" s="47" t="s">
        <v>1240</v>
      </c>
      <c r="G894" s="47">
        <v>1</v>
      </c>
      <c r="H894" s="47" t="s">
        <v>530</v>
      </c>
      <c r="L894" s="47" t="s">
        <v>1278</v>
      </c>
      <c r="M894" s="47" t="s">
        <v>1280</v>
      </c>
    </row>
    <row r="895" spans="2:13" ht="13.5" customHeight="1">
      <c r="B895" s="47">
        <v>688</v>
      </c>
      <c r="C895" s="47" t="s">
        <v>129</v>
      </c>
      <c r="D895" s="47" t="s">
        <v>177</v>
      </c>
      <c r="E895" s="47" t="s">
        <v>244</v>
      </c>
      <c r="F895" s="47" t="s">
        <v>318</v>
      </c>
      <c r="G895" s="47">
        <v>1</v>
      </c>
      <c r="H895" s="47" t="s">
        <v>62</v>
      </c>
      <c r="L895" s="15" t="s">
        <v>331</v>
      </c>
      <c r="M895" s="15" t="s">
        <v>243</v>
      </c>
    </row>
    <row r="896" spans="2:13" ht="13.5" customHeight="1">
      <c r="B896" s="47">
        <v>689</v>
      </c>
      <c r="C896" s="47" t="s">
        <v>129</v>
      </c>
      <c r="F896" s="47" t="s">
        <v>1223</v>
      </c>
      <c r="G896" s="47">
        <v>1</v>
      </c>
      <c r="H896" s="47" t="s">
        <v>1274</v>
      </c>
      <c r="L896" s="47" t="s">
        <v>1278</v>
      </c>
      <c r="M896" s="47" t="s">
        <v>1280</v>
      </c>
    </row>
    <row r="897" spans="2:13" ht="13.5" customHeight="1">
      <c r="B897" s="47">
        <v>689</v>
      </c>
      <c r="C897" s="47" t="s">
        <v>129</v>
      </c>
      <c r="D897" s="47" t="s">
        <v>177</v>
      </c>
      <c r="E897" s="47" t="s">
        <v>244</v>
      </c>
      <c r="F897" s="47" t="s">
        <v>242</v>
      </c>
      <c r="G897" s="47">
        <v>1</v>
      </c>
      <c r="H897" s="47" t="s">
        <v>62</v>
      </c>
      <c r="L897" s="15" t="s">
        <v>331</v>
      </c>
      <c r="M897" s="15" t="s">
        <v>243</v>
      </c>
    </row>
    <row r="898" spans="2:13" ht="13.5" customHeight="1">
      <c r="B898" s="47">
        <v>690</v>
      </c>
      <c r="C898" s="47" t="s">
        <v>129</v>
      </c>
      <c r="F898" s="47" t="s">
        <v>1242</v>
      </c>
      <c r="G898" s="47">
        <v>1</v>
      </c>
      <c r="H898" s="47" t="s">
        <v>530</v>
      </c>
      <c r="L898" s="47" t="s">
        <v>1278</v>
      </c>
      <c r="M898" s="47" t="s">
        <v>1280</v>
      </c>
    </row>
    <row r="899" spans="2:13" ht="13.5" customHeight="1">
      <c r="B899" s="47">
        <v>690</v>
      </c>
      <c r="C899" s="47" t="s">
        <v>129</v>
      </c>
      <c r="D899" s="47" t="s">
        <v>177</v>
      </c>
      <c r="E899" s="47" t="s">
        <v>244</v>
      </c>
      <c r="F899" s="47" t="s">
        <v>321</v>
      </c>
      <c r="G899" s="47">
        <v>1</v>
      </c>
      <c r="H899" s="47" t="s">
        <v>62</v>
      </c>
      <c r="L899" s="15" t="s">
        <v>331</v>
      </c>
      <c r="M899" s="15" t="s">
        <v>243</v>
      </c>
    </row>
    <row r="900" spans="2:13" ht="13.5" customHeight="1">
      <c r="B900" s="47">
        <v>691</v>
      </c>
      <c r="C900" s="47" t="s">
        <v>129</v>
      </c>
      <c r="F900" s="47" t="s">
        <v>1223</v>
      </c>
      <c r="G900" s="47">
        <v>1</v>
      </c>
      <c r="H900" s="47" t="s">
        <v>1274</v>
      </c>
      <c r="L900" s="47" t="s">
        <v>1278</v>
      </c>
      <c r="M900" s="47" t="s">
        <v>1280</v>
      </c>
    </row>
    <row r="901" spans="2:13" ht="13.5" customHeight="1">
      <c r="B901" s="47">
        <v>691</v>
      </c>
      <c r="C901" s="47" t="s">
        <v>129</v>
      </c>
      <c r="D901" s="47" t="s">
        <v>177</v>
      </c>
      <c r="E901" s="47" t="s">
        <v>244</v>
      </c>
      <c r="F901" s="47" t="s">
        <v>242</v>
      </c>
      <c r="G901" s="47">
        <v>1</v>
      </c>
      <c r="H901" s="47" t="s">
        <v>62</v>
      </c>
      <c r="L901" s="15" t="s">
        <v>331</v>
      </c>
      <c r="M901" s="15" t="s">
        <v>243</v>
      </c>
    </row>
    <row r="902" spans="2:13" ht="13.5" customHeight="1">
      <c r="B902" s="47">
        <v>692</v>
      </c>
      <c r="C902" s="47" t="s">
        <v>129</v>
      </c>
      <c r="F902" s="47" t="s">
        <v>1244</v>
      </c>
      <c r="G902" s="47">
        <v>1</v>
      </c>
      <c r="H902" s="47" t="s">
        <v>530</v>
      </c>
      <c r="L902" s="47" t="s">
        <v>1278</v>
      </c>
      <c r="M902" s="47" t="s">
        <v>1280</v>
      </c>
    </row>
    <row r="903" spans="2:13" ht="13.5" customHeight="1">
      <c r="B903" s="47">
        <v>692</v>
      </c>
      <c r="C903" s="47" t="s">
        <v>129</v>
      </c>
      <c r="D903" s="47" t="s">
        <v>177</v>
      </c>
      <c r="E903" s="47" t="s">
        <v>244</v>
      </c>
      <c r="F903" s="47" t="s">
        <v>328</v>
      </c>
      <c r="G903" s="47">
        <v>1</v>
      </c>
      <c r="H903" s="47" t="s">
        <v>62</v>
      </c>
      <c r="L903" s="15" t="s">
        <v>331</v>
      </c>
      <c r="M903" s="15" t="s">
        <v>243</v>
      </c>
    </row>
    <row r="904" spans="2:13" ht="13.5" customHeight="1">
      <c r="B904" s="47">
        <v>693</v>
      </c>
      <c r="C904" s="47" t="s">
        <v>129</v>
      </c>
      <c r="F904" s="47" t="s">
        <v>1223</v>
      </c>
      <c r="G904" s="47">
        <v>1</v>
      </c>
      <c r="H904" s="47" t="s">
        <v>1274</v>
      </c>
      <c r="L904" s="47" t="s">
        <v>1278</v>
      </c>
      <c r="M904" s="47" t="s">
        <v>1280</v>
      </c>
    </row>
    <row r="905" spans="2:13" ht="13.5" customHeight="1">
      <c r="B905" s="47">
        <v>693</v>
      </c>
      <c r="C905" s="47" t="s">
        <v>129</v>
      </c>
      <c r="D905" s="47" t="s">
        <v>177</v>
      </c>
      <c r="E905" s="47" t="s">
        <v>244</v>
      </c>
      <c r="F905" s="47" t="s">
        <v>242</v>
      </c>
      <c r="G905" s="47">
        <v>1</v>
      </c>
      <c r="H905" s="47" t="s">
        <v>62</v>
      </c>
      <c r="L905" s="15" t="s">
        <v>331</v>
      </c>
      <c r="M905" s="15" t="s">
        <v>243</v>
      </c>
    </row>
    <row r="906" spans="2:13" ht="13.5" customHeight="1">
      <c r="B906" s="47">
        <v>694</v>
      </c>
      <c r="C906" s="47" t="s">
        <v>129</v>
      </c>
      <c r="F906" s="47" t="s">
        <v>1224</v>
      </c>
      <c r="G906" s="47">
        <v>1</v>
      </c>
      <c r="H906" s="47" t="s">
        <v>530</v>
      </c>
      <c r="L906" s="47" t="s">
        <v>1278</v>
      </c>
      <c r="M906" s="47" t="s">
        <v>1280</v>
      </c>
    </row>
    <row r="907" spans="2:13" ht="13.5" customHeight="1">
      <c r="B907" s="47">
        <v>694</v>
      </c>
      <c r="C907" s="47" t="s">
        <v>129</v>
      </c>
      <c r="D907" s="47" t="s">
        <v>177</v>
      </c>
      <c r="E907" s="47" t="s">
        <v>244</v>
      </c>
      <c r="F907" s="47" t="s">
        <v>324</v>
      </c>
      <c r="G907" s="47">
        <v>1</v>
      </c>
      <c r="H907" s="47" t="s">
        <v>62</v>
      </c>
      <c r="L907" s="15" t="s">
        <v>331</v>
      </c>
      <c r="M907" s="15" t="s">
        <v>243</v>
      </c>
    </row>
    <row r="908" spans="2:13" ht="13.5" customHeight="1">
      <c r="B908" s="47">
        <v>695</v>
      </c>
      <c r="C908" s="47" t="s">
        <v>129</v>
      </c>
      <c r="F908" s="47" t="s">
        <v>1245</v>
      </c>
      <c r="G908" s="47">
        <v>1</v>
      </c>
      <c r="H908" s="47" t="s">
        <v>530</v>
      </c>
      <c r="L908" s="47" t="s">
        <v>1278</v>
      </c>
      <c r="M908" s="47" t="s">
        <v>1280</v>
      </c>
    </row>
    <row r="909" spans="2:13" ht="13.5" customHeight="1">
      <c r="B909" s="47">
        <v>695</v>
      </c>
      <c r="C909" s="47" t="s">
        <v>129</v>
      </c>
      <c r="D909" s="47" t="s">
        <v>177</v>
      </c>
      <c r="E909" s="47" t="s">
        <v>244</v>
      </c>
      <c r="F909" s="47" t="s">
        <v>327</v>
      </c>
      <c r="G909" s="47">
        <v>1</v>
      </c>
      <c r="H909" s="47" t="s">
        <v>62</v>
      </c>
      <c r="L909" s="15" t="s">
        <v>331</v>
      </c>
      <c r="M909" s="15" t="s">
        <v>243</v>
      </c>
    </row>
    <row r="910" spans="2:13" ht="13.5" customHeight="1">
      <c r="B910" s="47">
        <v>795</v>
      </c>
      <c r="C910" s="47" t="s">
        <v>142</v>
      </c>
      <c r="D910" s="47" t="s">
        <v>172</v>
      </c>
      <c r="E910" s="47" t="s">
        <v>1102</v>
      </c>
      <c r="H910" s="47" t="s">
        <v>35</v>
      </c>
      <c r="I910" s="16" t="s">
        <v>143</v>
      </c>
      <c r="L910" s="15"/>
      <c r="M910" s="15" t="s">
        <v>174</v>
      </c>
    </row>
    <row r="911" spans="2:13" ht="13.5" customHeight="1">
      <c r="B911" s="47">
        <v>796</v>
      </c>
      <c r="C911" s="47" t="s">
        <v>144</v>
      </c>
      <c r="D911" s="47" t="s">
        <v>172</v>
      </c>
      <c r="E911" s="47" t="s">
        <v>1102</v>
      </c>
      <c r="H911" s="47" t="s">
        <v>35</v>
      </c>
      <c r="I911" s="47" t="s">
        <v>30</v>
      </c>
      <c r="L911" s="15"/>
      <c r="M911" s="15" t="s">
        <v>174</v>
      </c>
    </row>
    <row r="912" spans="2:13" ht="13.5" customHeight="1">
      <c r="B912" s="47">
        <v>797</v>
      </c>
      <c r="C912" s="47" t="s">
        <v>130</v>
      </c>
      <c r="D912" s="47" t="s">
        <v>177</v>
      </c>
      <c r="E912" s="47" t="s">
        <v>178</v>
      </c>
      <c r="F912" s="47" t="s">
        <v>191</v>
      </c>
      <c r="G912" s="47">
        <v>500</v>
      </c>
      <c r="H912" s="47" t="s">
        <v>46</v>
      </c>
      <c r="L912" s="41" t="s">
        <v>180</v>
      </c>
      <c r="M912" s="41" t="s">
        <v>181</v>
      </c>
    </row>
    <row r="913" spans="2:14" ht="13.5" customHeight="1">
      <c r="B913" s="47">
        <v>798</v>
      </c>
      <c r="C913" s="47" t="s">
        <v>130</v>
      </c>
      <c r="D913" s="47" t="s">
        <v>177</v>
      </c>
      <c r="E913" s="47" t="s">
        <v>178</v>
      </c>
      <c r="F913" s="47" t="s">
        <v>325</v>
      </c>
      <c r="G913" s="47">
        <v>9</v>
      </c>
      <c r="H913" s="47" t="s">
        <v>46</v>
      </c>
      <c r="L913" s="41" t="s">
        <v>180</v>
      </c>
      <c r="M913" s="41" t="s">
        <v>183</v>
      </c>
      <c r="N913" s="47" t="s">
        <v>332</v>
      </c>
    </row>
    <row r="914" spans="2:14" ht="13.5" customHeight="1">
      <c r="B914" s="47">
        <v>799</v>
      </c>
      <c r="C914" s="47" t="s">
        <v>130</v>
      </c>
      <c r="D914" s="47" t="s">
        <v>177</v>
      </c>
      <c r="E914" s="47" t="s">
        <v>178</v>
      </c>
      <c r="F914" s="47" t="s">
        <v>206</v>
      </c>
      <c r="G914" s="47">
        <v>10</v>
      </c>
      <c r="H914" s="47" t="s">
        <v>46</v>
      </c>
      <c r="L914" s="41" t="s">
        <v>180</v>
      </c>
      <c r="M914" s="41" t="s">
        <v>183</v>
      </c>
      <c r="N914" s="47" t="s">
        <v>333</v>
      </c>
    </row>
    <row r="915" spans="2:14" ht="13.5" customHeight="1">
      <c r="B915" s="47">
        <v>800</v>
      </c>
      <c r="C915" s="47" t="s">
        <v>130</v>
      </c>
      <c r="D915" s="47" t="s">
        <v>177</v>
      </c>
      <c r="E915" s="47" t="s">
        <v>178</v>
      </c>
      <c r="F915" s="47" t="s">
        <v>334</v>
      </c>
      <c r="G915" s="47">
        <v>5</v>
      </c>
      <c r="H915" s="47" t="s">
        <v>46</v>
      </c>
      <c r="L915" s="41" t="s">
        <v>180</v>
      </c>
      <c r="M915" s="41" t="s">
        <v>335</v>
      </c>
    </row>
    <row r="916" spans="2:14" ht="13.5" customHeight="1">
      <c r="B916" s="47">
        <v>801</v>
      </c>
      <c r="C916" s="47" t="s">
        <v>138</v>
      </c>
      <c r="D916" s="47" t="s">
        <v>336</v>
      </c>
      <c r="E916" s="47" t="s">
        <v>337</v>
      </c>
      <c r="H916" s="47" t="s">
        <v>287</v>
      </c>
      <c r="I916" s="47" t="s">
        <v>338</v>
      </c>
      <c r="L916" s="15"/>
      <c r="M916" s="15"/>
      <c r="N916" s="47" t="s">
        <v>339</v>
      </c>
    </row>
    <row r="917" spans="2:14" ht="13.5" customHeight="1">
      <c r="B917" s="47">
        <v>802</v>
      </c>
      <c r="C917" s="47" t="s">
        <v>138</v>
      </c>
      <c r="D917" s="47" t="s">
        <v>336</v>
      </c>
      <c r="E917" s="47" t="s">
        <v>340</v>
      </c>
      <c r="H917" s="47" t="s">
        <v>287</v>
      </c>
      <c r="I917" s="47" t="s">
        <v>338</v>
      </c>
      <c r="L917" s="15"/>
      <c r="M917" s="15"/>
    </row>
    <row r="918" spans="2:14" ht="13.5" customHeight="1">
      <c r="B918" s="47">
        <v>803</v>
      </c>
      <c r="C918" s="47" t="s">
        <v>138</v>
      </c>
      <c r="D918" s="47" t="s">
        <v>336</v>
      </c>
      <c r="E918" s="47" t="s">
        <v>341</v>
      </c>
      <c r="H918" s="47" t="s">
        <v>287</v>
      </c>
      <c r="I918" s="47" t="s">
        <v>338</v>
      </c>
      <c r="L918" s="15"/>
      <c r="M918" s="15"/>
    </row>
    <row r="919" spans="2:14" ht="13.5" customHeight="1">
      <c r="B919" s="47">
        <v>804</v>
      </c>
      <c r="C919" s="47" t="s">
        <v>138</v>
      </c>
      <c r="D919" s="47" t="s">
        <v>336</v>
      </c>
      <c r="E919" s="47" t="s">
        <v>1094</v>
      </c>
      <c r="H919" s="47" t="s">
        <v>287</v>
      </c>
      <c r="I919" s="47" t="s">
        <v>338</v>
      </c>
      <c r="L919" s="15"/>
      <c r="M919" s="15"/>
    </row>
    <row r="920" spans="2:14" ht="13.5" customHeight="1">
      <c r="B920" s="47">
        <v>805</v>
      </c>
      <c r="C920" s="47" t="s">
        <v>138</v>
      </c>
      <c r="D920" s="47" t="s">
        <v>336</v>
      </c>
      <c r="E920" s="47" t="s">
        <v>1101</v>
      </c>
      <c r="H920" s="47" t="s">
        <v>287</v>
      </c>
      <c r="I920" s="47" t="s">
        <v>338</v>
      </c>
      <c r="L920" s="15"/>
      <c r="M920" s="15"/>
    </row>
    <row r="921" spans="2:14" ht="13.5" customHeight="1">
      <c r="B921" s="47">
        <v>806</v>
      </c>
      <c r="C921" s="47" t="s">
        <v>138</v>
      </c>
      <c r="D921" s="47" t="s">
        <v>336</v>
      </c>
      <c r="E921" s="47" t="s">
        <v>342</v>
      </c>
      <c r="H921" s="47" t="s">
        <v>287</v>
      </c>
      <c r="I921" s="47" t="s">
        <v>338</v>
      </c>
      <c r="L921" s="15"/>
      <c r="M921" s="15"/>
    </row>
    <row r="922" spans="2:14" ht="13.5" customHeight="1">
      <c r="B922" s="47">
        <v>807</v>
      </c>
      <c r="C922" s="47" t="s">
        <v>138</v>
      </c>
      <c r="D922" s="47" t="s">
        <v>336</v>
      </c>
      <c r="E922" s="47" t="s">
        <v>1099</v>
      </c>
      <c r="H922" s="47" t="s">
        <v>287</v>
      </c>
      <c r="I922" s="47" t="s">
        <v>338</v>
      </c>
      <c r="L922" s="15"/>
      <c r="M922" s="15"/>
    </row>
    <row r="923" spans="2:14" ht="13.5" customHeight="1">
      <c r="B923" s="47">
        <v>808</v>
      </c>
      <c r="C923" s="47" t="s">
        <v>138</v>
      </c>
      <c r="D923" s="47" t="s">
        <v>336</v>
      </c>
      <c r="E923" s="47" t="s">
        <v>1100</v>
      </c>
      <c r="H923" s="47" t="s">
        <v>287</v>
      </c>
      <c r="I923" s="47" t="s">
        <v>338</v>
      </c>
      <c r="L923" s="15"/>
      <c r="M923" s="15"/>
    </row>
    <row r="924" spans="2:14" ht="13.5" customHeight="1">
      <c r="B924" s="47">
        <v>809</v>
      </c>
      <c r="C924" s="47" t="s">
        <v>138</v>
      </c>
      <c r="D924" s="47" t="s">
        <v>336</v>
      </c>
      <c r="E924" s="47" t="s">
        <v>343</v>
      </c>
      <c r="H924" s="47" t="s">
        <v>287</v>
      </c>
      <c r="I924" s="47" t="s">
        <v>338</v>
      </c>
      <c r="L924" s="15"/>
      <c r="M924" s="15" t="s">
        <v>292</v>
      </c>
    </row>
    <row r="925" spans="2:14" ht="13.5" customHeight="1">
      <c r="B925" s="47">
        <v>810</v>
      </c>
      <c r="C925" s="47" t="s">
        <v>138</v>
      </c>
      <c r="D925" s="47" t="s">
        <v>336</v>
      </c>
      <c r="E925" s="47" t="s">
        <v>344</v>
      </c>
      <c r="H925" s="47" t="s">
        <v>287</v>
      </c>
      <c r="I925" s="47" t="s">
        <v>338</v>
      </c>
      <c r="L925" s="15"/>
      <c r="M925" s="15" t="s">
        <v>292</v>
      </c>
    </row>
    <row r="926" spans="2:14" ht="13.5" customHeight="1">
      <c r="B926" s="47">
        <v>811</v>
      </c>
      <c r="C926" s="47" t="s">
        <v>138</v>
      </c>
      <c r="D926" s="47" t="s">
        <v>336</v>
      </c>
      <c r="E926" s="47" t="s">
        <v>345</v>
      </c>
      <c r="H926" s="47" t="s">
        <v>287</v>
      </c>
      <c r="I926" s="47" t="s">
        <v>338</v>
      </c>
      <c r="L926" s="15"/>
      <c r="M926" s="15" t="s">
        <v>292</v>
      </c>
    </row>
    <row r="927" spans="2:14" ht="13.5" customHeight="1">
      <c r="B927" s="47">
        <v>812</v>
      </c>
      <c r="C927" s="47" t="s">
        <v>138</v>
      </c>
      <c r="D927" s="47" t="s">
        <v>336</v>
      </c>
      <c r="E927" s="47" t="s">
        <v>346</v>
      </c>
      <c r="H927" s="47" t="s">
        <v>287</v>
      </c>
      <c r="I927" s="47" t="s">
        <v>338</v>
      </c>
      <c r="L927" s="15"/>
      <c r="M927" s="15" t="s">
        <v>292</v>
      </c>
    </row>
    <row r="928" spans="2:14" ht="13.5" customHeight="1">
      <c r="B928" s="47">
        <v>813</v>
      </c>
      <c r="C928" s="47" t="s">
        <v>138</v>
      </c>
      <c r="D928" s="47" t="s">
        <v>336</v>
      </c>
      <c r="E928" s="47" t="s">
        <v>347</v>
      </c>
      <c r="H928" s="47" t="s">
        <v>287</v>
      </c>
      <c r="I928" s="47" t="s">
        <v>338</v>
      </c>
      <c r="L928" s="15"/>
      <c r="M928" s="15" t="s">
        <v>292</v>
      </c>
    </row>
    <row r="929" spans="2:14" ht="13.5" customHeight="1">
      <c r="B929" s="47">
        <v>814</v>
      </c>
      <c r="C929" s="47" t="s">
        <v>138</v>
      </c>
      <c r="D929" s="47" t="s">
        <v>336</v>
      </c>
      <c r="E929" s="47" t="s">
        <v>348</v>
      </c>
      <c r="H929" s="47" t="s">
        <v>287</v>
      </c>
      <c r="I929" s="47" t="s">
        <v>338</v>
      </c>
      <c r="L929" s="15"/>
      <c r="M929" s="15" t="s">
        <v>292</v>
      </c>
    </row>
    <row r="930" spans="2:14" ht="13.5" customHeight="1">
      <c r="B930" s="47">
        <v>815</v>
      </c>
      <c r="C930" s="47" t="s">
        <v>138</v>
      </c>
      <c r="D930" s="47" t="s">
        <v>336</v>
      </c>
      <c r="E930" s="47" t="s">
        <v>349</v>
      </c>
      <c r="H930" s="47" t="s">
        <v>287</v>
      </c>
      <c r="I930" s="47" t="s">
        <v>338</v>
      </c>
      <c r="L930" s="15"/>
      <c r="M930" s="15" t="s">
        <v>292</v>
      </c>
    </row>
    <row r="931" spans="2:14" ht="13.5" customHeight="1">
      <c r="B931" s="47">
        <v>816</v>
      </c>
      <c r="C931" s="47" t="s">
        <v>138</v>
      </c>
      <c r="D931" s="47" t="s">
        <v>336</v>
      </c>
      <c r="E931" s="47" t="s">
        <v>350</v>
      </c>
      <c r="H931" s="47" t="s">
        <v>287</v>
      </c>
      <c r="I931" s="47" t="s">
        <v>338</v>
      </c>
      <c r="L931" s="15"/>
      <c r="M931" s="15" t="s">
        <v>292</v>
      </c>
    </row>
    <row r="932" spans="2:14" ht="13.5" customHeight="1">
      <c r="B932" s="47">
        <v>817</v>
      </c>
      <c r="C932" s="47" t="s">
        <v>138</v>
      </c>
      <c r="D932" s="47" t="s">
        <v>336</v>
      </c>
      <c r="E932" s="47" t="s">
        <v>351</v>
      </c>
      <c r="H932" s="47" t="s">
        <v>287</v>
      </c>
      <c r="I932" s="47" t="s">
        <v>338</v>
      </c>
      <c r="L932" s="15"/>
      <c r="M932" s="15" t="s">
        <v>292</v>
      </c>
    </row>
    <row r="933" spans="2:14" ht="13.5" customHeight="1">
      <c r="B933" s="47">
        <v>818</v>
      </c>
      <c r="C933" s="47" t="s">
        <v>138</v>
      </c>
      <c r="D933" s="47" t="s">
        <v>336</v>
      </c>
      <c r="E933" s="47" t="s">
        <v>352</v>
      </c>
      <c r="H933" s="47" t="s">
        <v>287</v>
      </c>
      <c r="I933" s="47" t="s">
        <v>338</v>
      </c>
      <c r="L933" s="15"/>
      <c r="M933" s="15" t="s">
        <v>292</v>
      </c>
    </row>
    <row r="934" spans="2:14" ht="13.5" customHeight="1">
      <c r="B934" s="47">
        <v>819</v>
      </c>
      <c r="C934" s="47" t="s">
        <v>138</v>
      </c>
      <c r="D934" s="47" t="s">
        <v>336</v>
      </c>
      <c r="E934" s="47" t="s">
        <v>353</v>
      </c>
      <c r="H934" s="47" t="s">
        <v>287</v>
      </c>
      <c r="I934" s="47" t="s">
        <v>338</v>
      </c>
      <c r="L934" s="15"/>
      <c r="M934" s="15" t="s">
        <v>292</v>
      </c>
      <c r="N934" s="47" t="s">
        <v>354</v>
      </c>
    </row>
    <row r="935" spans="2:14" ht="13.5" customHeight="1">
      <c r="B935" s="47">
        <v>820</v>
      </c>
      <c r="C935" s="47" t="s">
        <v>138</v>
      </c>
      <c r="D935" s="47" t="s">
        <v>336</v>
      </c>
      <c r="E935" s="47" t="s">
        <v>355</v>
      </c>
      <c r="H935" s="47" t="s">
        <v>287</v>
      </c>
      <c r="I935" s="47" t="s">
        <v>338</v>
      </c>
      <c r="L935" s="15"/>
      <c r="M935" s="15" t="s">
        <v>292</v>
      </c>
      <c r="N935" s="47" t="s">
        <v>354</v>
      </c>
    </row>
    <row r="936" spans="2:14" ht="13.5" customHeight="1">
      <c r="B936" s="47">
        <v>821</v>
      </c>
      <c r="C936" s="47" t="s">
        <v>138</v>
      </c>
      <c r="D936" s="47" t="s">
        <v>336</v>
      </c>
      <c r="E936" s="47" t="s">
        <v>356</v>
      </c>
      <c r="H936" s="47" t="s">
        <v>287</v>
      </c>
      <c r="I936" s="47" t="s">
        <v>338</v>
      </c>
      <c r="L936" s="15"/>
      <c r="M936" s="15" t="s">
        <v>292</v>
      </c>
    </row>
    <row r="937" spans="2:14" ht="13.5" customHeight="1">
      <c r="B937" s="47">
        <v>822</v>
      </c>
      <c r="C937" s="47" t="s">
        <v>138</v>
      </c>
      <c r="D937" s="47" t="s">
        <v>336</v>
      </c>
      <c r="E937" s="47" t="s">
        <v>357</v>
      </c>
      <c r="H937" s="47" t="s">
        <v>287</v>
      </c>
      <c r="I937" s="47" t="s">
        <v>338</v>
      </c>
      <c r="L937" s="15"/>
      <c r="M937" s="15" t="s">
        <v>292</v>
      </c>
    </row>
    <row r="938" spans="2:14" ht="13.5" customHeight="1">
      <c r="B938" s="47">
        <v>823</v>
      </c>
      <c r="C938" s="47" t="s">
        <v>138</v>
      </c>
      <c r="D938" s="47" t="s">
        <v>336</v>
      </c>
      <c r="E938" s="47" t="s">
        <v>358</v>
      </c>
      <c r="H938" s="47" t="s">
        <v>287</v>
      </c>
      <c r="I938" s="47" t="s">
        <v>338</v>
      </c>
      <c r="L938" s="15"/>
      <c r="M938" s="15" t="s">
        <v>292</v>
      </c>
    </row>
    <row r="939" spans="2:14" ht="13.5" customHeight="1">
      <c r="B939" s="47">
        <v>824</v>
      </c>
      <c r="C939" s="47" t="s">
        <v>138</v>
      </c>
      <c r="D939" s="47" t="s">
        <v>336</v>
      </c>
      <c r="E939" s="47" t="s">
        <v>359</v>
      </c>
      <c r="H939" s="47" t="s">
        <v>287</v>
      </c>
      <c r="I939" s="47" t="s">
        <v>338</v>
      </c>
      <c r="L939" s="15"/>
      <c r="M939" s="15" t="s">
        <v>292</v>
      </c>
    </row>
    <row r="940" spans="2:14" ht="13.5" customHeight="1">
      <c r="B940" s="47">
        <v>825</v>
      </c>
      <c r="C940" s="47" t="s">
        <v>138</v>
      </c>
      <c r="D940" s="47" t="s">
        <v>336</v>
      </c>
      <c r="E940" s="47" t="s">
        <v>360</v>
      </c>
      <c r="H940" s="47" t="s">
        <v>287</v>
      </c>
      <c r="I940" s="47" t="s">
        <v>338</v>
      </c>
      <c r="L940" s="15"/>
      <c r="M940" s="15" t="s">
        <v>292</v>
      </c>
    </row>
    <row r="941" spans="2:14" ht="13.5" customHeight="1">
      <c r="B941" s="47">
        <v>826</v>
      </c>
      <c r="C941" s="47" t="s">
        <v>138</v>
      </c>
      <c r="D941" s="47" t="s">
        <v>336</v>
      </c>
      <c r="E941" s="47" t="s">
        <v>361</v>
      </c>
      <c r="H941" s="47" t="s">
        <v>287</v>
      </c>
      <c r="I941" s="47" t="s">
        <v>338</v>
      </c>
      <c r="L941" s="15"/>
      <c r="M941" s="15" t="s">
        <v>292</v>
      </c>
    </row>
    <row r="942" spans="2:14" ht="13.5" customHeight="1">
      <c r="B942" s="47">
        <v>827</v>
      </c>
      <c r="C942" s="47" t="s">
        <v>138</v>
      </c>
      <c r="D942" s="47" t="s">
        <v>336</v>
      </c>
      <c r="E942" s="47" t="s">
        <v>362</v>
      </c>
      <c r="H942" s="47" t="s">
        <v>287</v>
      </c>
      <c r="I942" s="47" t="s">
        <v>338</v>
      </c>
      <c r="L942" s="15"/>
      <c r="M942" s="15" t="s">
        <v>292</v>
      </c>
    </row>
    <row r="943" spans="2:14" ht="13.5" customHeight="1">
      <c r="B943" s="47">
        <v>828</v>
      </c>
      <c r="C943" s="47" t="s">
        <v>138</v>
      </c>
      <c r="D943" s="47" t="s">
        <v>336</v>
      </c>
      <c r="E943" s="47" t="s">
        <v>363</v>
      </c>
      <c r="H943" s="47" t="s">
        <v>287</v>
      </c>
      <c r="I943" s="47" t="s">
        <v>338</v>
      </c>
      <c r="L943" s="15"/>
      <c r="M943" s="15" t="s">
        <v>292</v>
      </c>
    </row>
    <row r="944" spans="2:14" ht="13.5" customHeight="1">
      <c r="B944" s="47">
        <v>829</v>
      </c>
      <c r="C944" s="47" t="s">
        <v>138</v>
      </c>
      <c r="D944" s="47" t="s">
        <v>336</v>
      </c>
      <c r="E944" s="47" t="s">
        <v>364</v>
      </c>
      <c r="H944" s="47" t="s">
        <v>287</v>
      </c>
      <c r="I944" s="47" t="s">
        <v>338</v>
      </c>
      <c r="L944" s="15"/>
      <c r="M944" s="15" t="s">
        <v>292</v>
      </c>
    </row>
    <row r="945" spans="2:14" ht="13.5" customHeight="1">
      <c r="B945" s="47">
        <v>830</v>
      </c>
      <c r="C945" s="47" t="s">
        <v>138</v>
      </c>
      <c r="D945" s="47" t="s">
        <v>336</v>
      </c>
      <c r="E945" s="47" t="s">
        <v>365</v>
      </c>
      <c r="H945" s="47" t="s">
        <v>287</v>
      </c>
      <c r="I945" s="47" t="s">
        <v>338</v>
      </c>
      <c r="L945" s="15"/>
      <c r="M945" s="15" t="s">
        <v>292</v>
      </c>
    </row>
    <row r="946" spans="2:14" ht="13.5" customHeight="1">
      <c r="B946" s="47">
        <v>831</v>
      </c>
      <c r="C946" s="47" t="s">
        <v>138</v>
      </c>
      <c r="D946" s="47" t="s">
        <v>336</v>
      </c>
      <c r="E946" s="47" t="s">
        <v>366</v>
      </c>
      <c r="H946" s="47" t="s">
        <v>287</v>
      </c>
      <c r="I946" s="47" t="s">
        <v>338</v>
      </c>
      <c r="L946" s="15"/>
      <c r="M946" s="15" t="s">
        <v>292</v>
      </c>
      <c r="N946" s="47" t="s">
        <v>354</v>
      </c>
    </row>
    <row r="947" spans="2:14" ht="13.5" customHeight="1">
      <c r="B947" s="47">
        <v>832</v>
      </c>
      <c r="C947" s="47" t="s">
        <v>138</v>
      </c>
      <c r="D947" s="47" t="s">
        <v>336</v>
      </c>
      <c r="E947" s="47" t="s">
        <v>367</v>
      </c>
      <c r="H947" s="47" t="s">
        <v>287</v>
      </c>
      <c r="I947" s="47" t="s">
        <v>338</v>
      </c>
      <c r="L947" s="15"/>
      <c r="M947" s="15" t="s">
        <v>292</v>
      </c>
      <c r="N947" s="47" t="s">
        <v>354</v>
      </c>
    </row>
    <row r="948" spans="2:14" ht="13.5" customHeight="1">
      <c r="B948" s="47">
        <v>833</v>
      </c>
      <c r="C948" s="47" t="s">
        <v>138</v>
      </c>
      <c r="D948" s="47" t="s">
        <v>336</v>
      </c>
      <c r="E948" s="47" t="s">
        <v>368</v>
      </c>
      <c r="H948" s="47" t="s">
        <v>287</v>
      </c>
      <c r="I948" s="47" t="s">
        <v>338</v>
      </c>
      <c r="L948" s="15"/>
      <c r="M948" s="15" t="s">
        <v>292</v>
      </c>
      <c r="N948" s="47" t="s">
        <v>354</v>
      </c>
    </row>
    <row r="949" spans="2:14" ht="13.5" customHeight="1">
      <c r="B949" s="47">
        <v>834</v>
      </c>
      <c r="C949" s="47" t="s">
        <v>138</v>
      </c>
      <c r="D949" s="47" t="s">
        <v>336</v>
      </c>
      <c r="E949" s="47" t="s">
        <v>1096</v>
      </c>
      <c r="H949" s="47" t="s">
        <v>287</v>
      </c>
      <c r="I949" s="47" t="s">
        <v>338</v>
      </c>
      <c r="L949" s="15"/>
      <c r="M949" s="15" t="s">
        <v>369</v>
      </c>
    </row>
    <row r="950" spans="2:14" ht="13.5" customHeight="1">
      <c r="B950" s="47">
        <v>835</v>
      </c>
      <c r="C950" s="47" t="s">
        <v>138</v>
      </c>
      <c r="D950" s="47" t="s">
        <v>336</v>
      </c>
      <c r="E950" s="47" t="s">
        <v>370</v>
      </c>
      <c r="H950" s="47" t="s">
        <v>287</v>
      </c>
      <c r="I950" s="47" t="s">
        <v>338</v>
      </c>
      <c r="L950" s="15"/>
      <c r="M950" s="15" t="s">
        <v>371</v>
      </c>
    </row>
    <row r="951" spans="2:14" ht="13.5" customHeight="1">
      <c r="B951" s="47">
        <v>836</v>
      </c>
      <c r="C951" s="47" t="s">
        <v>138</v>
      </c>
      <c r="D951" s="47" t="s">
        <v>336</v>
      </c>
      <c r="E951" s="47" t="s">
        <v>372</v>
      </c>
      <c r="H951" s="47" t="s">
        <v>287</v>
      </c>
      <c r="I951" s="47" t="s">
        <v>338</v>
      </c>
      <c r="L951" s="15"/>
      <c r="M951" s="15" t="s">
        <v>371</v>
      </c>
    </row>
    <row r="952" spans="2:14" ht="13.5" customHeight="1">
      <c r="B952" s="47">
        <v>837</v>
      </c>
      <c r="C952" s="47" t="s">
        <v>138</v>
      </c>
      <c r="D952" s="47" t="s">
        <v>336</v>
      </c>
      <c r="E952" s="47" t="s">
        <v>373</v>
      </c>
      <c r="H952" s="47" t="s">
        <v>287</v>
      </c>
      <c r="I952" s="47" t="s">
        <v>338</v>
      </c>
      <c r="L952" s="15"/>
      <c r="M952" s="15" t="s">
        <v>371</v>
      </c>
    </row>
    <row r="953" spans="2:14" ht="13.5" customHeight="1">
      <c r="B953" s="47">
        <v>838</v>
      </c>
      <c r="C953" s="47" t="s">
        <v>138</v>
      </c>
      <c r="D953" s="47" t="s">
        <v>336</v>
      </c>
      <c r="E953" s="47" t="s">
        <v>374</v>
      </c>
      <c r="H953" s="47" t="s">
        <v>287</v>
      </c>
      <c r="I953" s="47" t="s">
        <v>338</v>
      </c>
      <c r="L953" s="15"/>
      <c r="M953" s="15" t="s">
        <v>371</v>
      </c>
    </row>
    <row r="954" spans="2:14" ht="13.5" customHeight="1">
      <c r="B954" s="47">
        <v>839</v>
      </c>
      <c r="C954" s="47" t="s">
        <v>138</v>
      </c>
      <c r="D954" s="47" t="s">
        <v>336</v>
      </c>
      <c r="E954" s="47" t="s">
        <v>375</v>
      </c>
      <c r="H954" s="47" t="s">
        <v>287</v>
      </c>
      <c r="I954" s="47" t="s">
        <v>338</v>
      </c>
      <c r="L954" s="15"/>
      <c r="M954" s="15" t="s">
        <v>371</v>
      </c>
    </row>
    <row r="955" spans="2:14" ht="13.5" customHeight="1">
      <c r="B955" s="47">
        <v>840</v>
      </c>
      <c r="C955" s="47" t="s">
        <v>138</v>
      </c>
      <c r="D955" s="47" t="s">
        <v>336</v>
      </c>
      <c r="E955" s="47" t="s">
        <v>376</v>
      </c>
      <c r="H955" s="47" t="s">
        <v>287</v>
      </c>
      <c r="I955" s="47" t="s">
        <v>338</v>
      </c>
      <c r="L955" s="15"/>
      <c r="M955" s="15" t="s">
        <v>371</v>
      </c>
    </row>
    <row r="956" spans="2:14" ht="13.5" customHeight="1">
      <c r="B956" s="47">
        <v>841</v>
      </c>
      <c r="C956" s="47" t="s">
        <v>138</v>
      </c>
      <c r="D956" s="47" t="s">
        <v>336</v>
      </c>
      <c r="E956" s="47" t="s">
        <v>377</v>
      </c>
      <c r="H956" s="47" t="s">
        <v>287</v>
      </c>
      <c r="I956" s="47" t="s">
        <v>338</v>
      </c>
      <c r="L956" s="15"/>
      <c r="M956" s="15" t="s">
        <v>371</v>
      </c>
    </row>
    <row r="957" spans="2:14" ht="13.5" customHeight="1">
      <c r="B957" s="47">
        <v>842</v>
      </c>
      <c r="C957" s="47" t="s">
        <v>138</v>
      </c>
      <c r="D957" s="47" t="s">
        <v>336</v>
      </c>
      <c r="E957" s="47" t="s">
        <v>378</v>
      </c>
      <c r="H957" s="47" t="s">
        <v>287</v>
      </c>
      <c r="I957" s="47" t="s">
        <v>338</v>
      </c>
      <c r="L957" s="15"/>
      <c r="M957" s="15" t="s">
        <v>371</v>
      </c>
    </row>
    <row r="958" spans="2:14" ht="13.5" customHeight="1">
      <c r="B958" s="47">
        <v>843</v>
      </c>
      <c r="C958" s="47" t="s">
        <v>138</v>
      </c>
      <c r="D958" s="47" t="s">
        <v>336</v>
      </c>
      <c r="E958" s="47" t="s">
        <v>379</v>
      </c>
      <c r="H958" s="47" t="s">
        <v>287</v>
      </c>
      <c r="I958" s="47" t="s">
        <v>338</v>
      </c>
      <c r="L958" s="15"/>
      <c r="M958" s="15" t="s">
        <v>371</v>
      </c>
    </row>
    <row r="959" spans="2:14" ht="13.5" customHeight="1">
      <c r="B959" s="47">
        <v>844</v>
      </c>
      <c r="C959" s="47" t="s">
        <v>138</v>
      </c>
      <c r="D959" s="47" t="s">
        <v>336</v>
      </c>
      <c r="E959" s="47" t="s">
        <v>380</v>
      </c>
      <c r="H959" s="47" t="s">
        <v>287</v>
      </c>
      <c r="I959" s="47" t="s">
        <v>338</v>
      </c>
      <c r="L959" s="15"/>
      <c r="M959" s="15" t="s">
        <v>371</v>
      </c>
    </row>
    <row r="960" spans="2:14" ht="13.5" customHeight="1">
      <c r="B960" s="47">
        <v>845</v>
      </c>
      <c r="C960" s="47" t="s">
        <v>138</v>
      </c>
      <c r="D960" s="47" t="s">
        <v>336</v>
      </c>
      <c r="E960" s="47" t="s">
        <v>381</v>
      </c>
      <c r="H960" s="47" t="s">
        <v>287</v>
      </c>
      <c r="I960" s="47" t="s">
        <v>338</v>
      </c>
      <c r="L960" s="15"/>
      <c r="M960" s="15" t="s">
        <v>371</v>
      </c>
    </row>
    <row r="961" spans="2:14" ht="13.5" customHeight="1">
      <c r="B961" s="47">
        <v>846</v>
      </c>
      <c r="C961" s="47" t="s">
        <v>138</v>
      </c>
      <c r="D961" s="47" t="s">
        <v>336</v>
      </c>
      <c r="E961" s="47" t="s">
        <v>382</v>
      </c>
      <c r="H961" s="47" t="s">
        <v>287</v>
      </c>
      <c r="I961" s="47" t="s">
        <v>338</v>
      </c>
      <c r="L961" s="15"/>
      <c r="M961" s="15" t="s">
        <v>371</v>
      </c>
    </row>
    <row r="962" spans="2:14" ht="13.5" customHeight="1">
      <c r="B962" s="47">
        <v>847</v>
      </c>
      <c r="C962" s="47" t="s">
        <v>138</v>
      </c>
      <c r="D962" s="47" t="s">
        <v>336</v>
      </c>
      <c r="E962" s="47" t="s">
        <v>370</v>
      </c>
      <c r="H962" s="47" t="s">
        <v>287</v>
      </c>
      <c r="I962" s="47" t="s">
        <v>338</v>
      </c>
      <c r="L962" s="15"/>
      <c r="M962" s="15" t="s">
        <v>371</v>
      </c>
      <c r="N962" s="47" t="s">
        <v>354</v>
      </c>
    </row>
    <row r="963" spans="2:14" ht="13.5" customHeight="1">
      <c r="B963" s="47">
        <v>848</v>
      </c>
      <c r="C963" s="47" t="s">
        <v>138</v>
      </c>
      <c r="D963" s="47" t="s">
        <v>336</v>
      </c>
      <c r="E963" s="47" t="s">
        <v>372</v>
      </c>
      <c r="H963" s="47" t="s">
        <v>287</v>
      </c>
      <c r="I963" s="47" t="s">
        <v>338</v>
      </c>
      <c r="L963" s="15"/>
      <c r="M963" s="15" t="s">
        <v>371</v>
      </c>
      <c r="N963" s="47" t="s">
        <v>354</v>
      </c>
    </row>
    <row r="964" spans="2:14" ht="13.5" customHeight="1">
      <c r="B964" s="47">
        <v>849</v>
      </c>
      <c r="C964" s="47" t="s">
        <v>138</v>
      </c>
      <c r="D964" s="47" t="s">
        <v>336</v>
      </c>
      <c r="E964" s="47" t="s">
        <v>383</v>
      </c>
      <c r="H964" s="47" t="s">
        <v>287</v>
      </c>
      <c r="I964" s="47" t="s">
        <v>338</v>
      </c>
      <c r="L964" s="15"/>
      <c r="M964" s="15" t="s">
        <v>371</v>
      </c>
      <c r="N964" s="47" t="s">
        <v>354</v>
      </c>
    </row>
    <row r="965" spans="2:14" ht="13.5" customHeight="1">
      <c r="B965" s="47">
        <v>850</v>
      </c>
      <c r="C965" s="47" t="s">
        <v>138</v>
      </c>
      <c r="D965" s="47" t="s">
        <v>336</v>
      </c>
      <c r="E965" s="47" t="s">
        <v>384</v>
      </c>
      <c r="H965" s="47" t="s">
        <v>287</v>
      </c>
      <c r="I965" s="47" t="s">
        <v>338</v>
      </c>
      <c r="L965" s="15"/>
      <c r="M965" s="15" t="s">
        <v>371</v>
      </c>
      <c r="N965" s="47" t="s">
        <v>385</v>
      </c>
    </row>
    <row r="966" spans="2:14" ht="13.5" customHeight="1">
      <c r="B966" s="47">
        <v>851</v>
      </c>
      <c r="C966" s="47" t="s">
        <v>138</v>
      </c>
      <c r="D966" s="47" t="s">
        <v>336</v>
      </c>
      <c r="E966" s="47" t="s">
        <v>386</v>
      </c>
      <c r="H966" s="47" t="s">
        <v>287</v>
      </c>
      <c r="I966" s="47" t="s">
        <v>338</v>
      </c>
      <c r="L966" s="15"/>
      <c r="M966" s="15" t="s">
        <v>387</v>
      </c>
    </row>
    <row r="967" spans="2:14" ht="13.5" customHeight="1">
      <c r="B967" s="47">
        <v>852</v>
      </c>
      <c r="C967" s="47" t="s">
        <v>138</v>
      </c>
      <c r="D967" s="47" t="s">
        <v>336</v>
      </c>
      <c r="E967" s="47" t="s">
        <v>388</v>
      </c>
      <c r="H967" s="47" t="s">
        <v>287</v>
      </c>
      <c r="I967" s="47" t="s">
        <v>338</v>
      </c>
      <c r="L967" s="15"/>
      <c r="M967" s="15" t="s">
        <v>387</v>
      </c>
    </row>
    <row r="968" spans="2:14" ht="13.5" customHeight="1">
      <c r="B968" s="47">
        <v>853</v>
      </c>
      <c r="C968" s="47" t="s">
        <v>138</v>
      </c>
      <c r="D968" s="47" t="s">
        <v>336</v>
      </c>
      <c r="E968" s="47" t="s">
        <v>389</v>
      </c>
      <c r="H968" s="47" t="s">
        <v>287</v>
      </c>
      <c r="I968" s="47" t="s">
        <v>338</v>
      </c>
      <c r="L968" s="15"/>
      <c r="M968" s="15" t="s">
        <v>387</v>
      </c>
    </row>
    <row r="969" spans="2:14" ht="13.5" customHeight="1">
      <c r="B969" s="47">
        <v>854</v>
      </c>
      <c r="C969" s="47" t="s">
        <v>138</v>
      </c>
      <c r="D969" s="47" t="s">
        <v>336</v>
      </c>
      <c r="E969" s="47" t="s">
        <v>390</v>
      </c>
      <c r="H969" s="47" t="s">
        <v>287</v>
      </c>
      <c r="I969" s="47" t="s">
        <v>338</v>
      </c>
      <c r="L969" s="15"/>
      <c r="M969" s="15" t="s">
        <v>387</v>
      </c>
    </row>
    <row r="970" spans="2:14" ht="13.5" customHeight="1">
      <c r="B970" s="47">
        <v>855</v>
      </c>
      <c r="C970" s="47" t="s">
        <v>138</v>
      </c>
      <c r="D970" s="47" t="s">
        <v>336</v>
      </c>
      <c r="E970" s="47" t="s">
        <v>391</v>
      </c>
      <c r="H970" s="47" t="s">
        <v>287</v>
      </c>
      <c r="I970" s="47" t="s">
        <v>338</v>
      </c>
      <c r="L970" s="15"/>
      <c r="M970" s="15" t="s">
        <v>387</v>
      </c>
    </row>
    <row r="971" spans="2:14" ht="13.5" customHeight="1">
      <c r="B971" s="47">
        <v>856</v>
      </c>
      <c r="C971" s="47" t="s">
        <v>138</v>
      </c>
      <c r="D971" s="47" t="s">
        <v>336</v>
      </c>
      <c r="E971" s="47" t="s">
        <v>392</v>
      </c>
      <c r="H971" s="47" t="s">
        <v>287</v>
      </c>
      <c r="I971" s="47" t="s">
        <v>338</v>
      </c>
      <c r="L971" s="15"/>
      <c r="M971" s="15" t="s">
        <v>387</v>
      </c>
    </row>
    <row r="972" spans="2:14" ht="13.5" customHeight="1">
      <c r="B972" s="47">
        <v>857</v>
      </c>
      <c r="C972" s="47" t="s">
        <v>138</v>
      </c>
      <c r="D972" s="47" t="s">
        <v>336</v>
      </c>
      <c r="E972" s="47" t="s">
        <v>393</v>
      </c>
      <c r="H972" s="47" t="s">
        <v>287</v>
      </c>
      <c r="I972" s="47" t="s">
        <v>338</v>
      </c>
      <c r="L972" s="15"/>
      <c r="M972" s="15" t="s">
        <v>387</v>
      </c>
    </row>
    <row r="973" spans="2:14" ht="13.5" customHeight="1">
      <c r="B973" s="47">
        <v>858</v>
      </c>
      <c r="C973" s="47" t="s">
        <v>138</v>
      </c>
      <c r="D973" s="47" t="s">
        <v>336</v>
      </c>
      <c r="E973" s="47" t="s">
        <v>394</v>
      </c>
      <c r="H973" s="47" t="s">
        <v>287</v>
      </c>
      <c r="I973" s="47" t="s">
        <v>338</v>
      </c>
      <c r="L973" s="15"/>
      <c r="M973" s="15" t="s">
        <v>387</v>
      </c>
    </row>
    <row r="974" spans="2:14" ht="13.5" customHeight="1">
      <c r="B974" s="47">
        <v>859</v>
      </c>
      <c r="C974" s="47" t="s">
        <v>138</v>
      </c>
      <c r="D974" s="47" t="s">
        <v>336</v>
      </c>
      <c r="E974" s="47" t="s">
        <v>395</v>
      </c>
      <c r="H974" s="47" t="s">
        <v>287</v>
      </c>
      <c r="I974" s="47" t="s">
        <v>338</v>
      </c>
      <c r="L974" s="15"/>
      <c r="M974" s="15" t="s">
        <v>387</v>
      </c>
    </row>
    <row r="975" spans="2:14" ht="13.5" customHeight="1">
      <c r="B975" s="47">
        <v>860</v>
      </c>
      <c r="C975" s="47" t="s">
        <v>138</v>
      </c>
      <c r="D975" s="47" t="s">
        <v>336</v>
      </c>
      <c r="E975" s="47" t="s">
        <v>396</v>
      </c>
      <c r="H975" s="47" t="s">
        <v>287</v>
      </c>
      <c r="I975" s="47" t="s">
        <v>338</v>
      </c>
      <c r="L975" s="15"/>
      <c r="M975" s="15" t="s">
        <v>387</v>
      </c>
    </row>
    <row r="976" spans="2:14" ht="13.5" customHeight="1">
      <c r="B976" s="47">
        <v>861</v>
      </c>
      <c r="C976" s="47" t="s">
        <v>138</v>
      </c>
      <c r="D976" s="47" t="s">
        <v>336</v>
      </c>
      <c r="E976" s="47" t="s">
        <v>397</v>
      </c>
      <c r="H976" s="47" t="s">
        <v>287</v>
      </c>
      <c r="I976" s="47" t="s">
        <v>338</v>
      </c>
      <c r="L976" s="15"/>
      <c r="M976" s="15" t="s">
        <v>387</v>
      </c>
    </row>
    <row r="977" spans="2:14" ht="13.5" customHeight="1">
      <c r="B977" s="47">
        <v>862</v>
      </c>
      <c r="C977" s="47" t="s">
        <v>138</v>
      </c>
      <c r="D977" s="47" t="s">
        <v>336</v>
      </c>
      <c r="E977" s="47" t="s">
        <v>398</v>
      </c>
      <c r="H977" s="47" t="s">
        <v>287</v>
      </c>
      <c r="I977" s="47" t="s">
        <v>338</v>
      </c>
      <c r="L977" s="15"/>
      <c r="M977" s="15" t="s">
        <v>387</v>
      </c>
    </row>
    <row r="978" spans="2:14" ht="13.5" customHeight="1">
      <c r="B978" s="47">
        <v>863</v>
      </c>
      <c r="C978" s="47" t="s">
        <v>138</v>
      </c>
      <c r="D978" s="47" t="s">
        <v>336</v>
      </c>
      <c r="E978" s="47" t="s">
        <v>386</v>
      </c>
      <c r="H978" s="47" t="s">
        <v>287</v>
      </c>
      <c r="I978" s="47" t="s">
        <v>338</v>
      </c>
      <c r="L978" s="15"/>
      <c r="M978" s="15" t="s">
        <v>387</v>
      </c>
      <c r="N978" s="47" t="s">
        <v>354</v>
      </c>
    </row>
    <row r="979" spans="2:14" ht="13.5" customHeight="1">
      <c r="B979" s="47">
        <v>864</v>
      </c>
      <c r="C979" s="47" t="s">
        <v>138</v>
      </c>
      <c r="D979" s="47" t="s">
        <v>336</v>
      </c>
      <c r="E979" s="47" t="s">
        <v>388</v>
      </c>
      <c r="H979" s="47" t="s">
        <v>287</v>
      </c>
      <c r="I979" s="47" t="s">
        <v>338</v>
      </c>
      <c r="L979" s="15"/>
      <c r="M979" s="15" t="s">
        <v>387</v>
      </c>
      <c r="N979" s="47" t="s">
        <v>354</v>
      </c>
    </row>
    <row r="980" spans="2:14" ht="13.5" customHeight="1">
      <c r="B980" s="47">
        <v>865</v>
      </c>
      <c r="C980" s="47" t="s">
        <v>138</v>
      </c>
      <c r="D980" s="47" t="s">
        <v>336</v>
      </c>
      <c r="E980" s="47" t="s">
        <v>399</v>
      </c>
      <c r="H980" s="47" t="s">
        <v>287</v>
      </c>
      <c r="I980" s="47" t="s">
        <v>338</v>
      </c>
      <c r="L980" s="15"/>
      <c r="M980" s="15" t="s">
        <v>387</v>
      </c>
      <c r="N980" s="47" t="s">
        <v>354</v>
      </c>
    </row>
    <row r="981" spans="2:14" ht="13.5" customHeight="1">
      <c r="B981" s="47">
        <v>866</v>
      </c>
      <c r="C981" s="47" t="s">
        <v>138</v>
      </c>
      <c r="D981" s="47" t="s">
        <v>336</v>
      </c>
      <c r="E981" s="47" t="s">
        <v>400</v>
      </c>
      <c r="H981" s="47" t="s">
        <v>287</v>
      </c>
      <c r="I981" s="47" t="s">
        <v>338</v>
      </c>
      <c r="L981" s="15"/>
      <c r="M981" s="15" t="s">
        <v>387</v>
      </c>
      <c r="N981" s="47" t="s">
        <v>385</v>
      </c>
    </row>
    <row r="982" spans="2:14" ht="13.5" customHeight="1">
      <c r="B982" s="47">
        <v>867</v>
      </c>
      <c r="C982" s="47" t="s">
        <v>138</v>
      </c>
      <c r="D982" s="47" t="s">
        <v>336</v>
      </c>
      <c r="E982" s="47" t="s">
        <v>1095</v>
      </c>
      <c r="H982" s="47" t="s">
        <v>287</v>
      </c>
      <c r="I982" s="47" t="s">
        <v>338</v>
      </c>
      <c r="L982" s="15"/>
      <c r="M982" s="15" t="s">
        <v>369</v>
      </c>
      <c r="N982" s="47" t="s">
        <v>401</v>
      </c>
    </row>
    <row r="983" spans="2:14" ht="13.5" customHeight="1">
      <c r="B983" s="47">
        <v>868</v>
      </c>
      <c r="C983" s="47" t="s">
        <v>138</v>
      </c>
      <c r="D983" s="47" t="s">
        <v>336</v>
      </c>
      <c r="E983" s="47" t="s">
        <v>402</v>
      </c>
      <c r="H983" s="47" t="s">
        <v>287</v>
      </c>
      <c r="I983" s="47" t="s">
        <v>338</v>
      </c>
      <c r="L983" s="15" t="s">
        <v>403</v>
      </c>
      <c r="M983" s="15" t="s">
        <v>404</v>
      </c>
    </row>
    <row r="984" spans="2:14" ht="13.5" customHeight="1">
      <c r="B984" s="47">
        <v>869</v>
      </c>
      <c r="C984" s="47" t="s">
        <v>138</v>
      </c>
      <c r="D984" s="47" t="s">
        <v>336</v>
      </c>
      <c r="E984" s="47" t="s">
        <v>405</v>
      </c>
      <c r="H984" s="47" t="s">
        <v>287</v>
      </c>
      <c r="I984" s="47" t="s">
        <v>338</v>
      </c>
      <c r="L984" s="15" t="s">
        <v>403</v>
      </c>
      <c r="M984" s="15" t="s">
        <v>404</v>
      </c>
    </row>
    <row r="985" spans="2:14" ht="13.5" customHeight="1">
      <c r="B985" s="47">
        <v>870</v>
      </c>
      <c r="C985" s="47" t="s">
        <v>138</v>
      </c>
      <c r="D985" s="47" t="s">
        <v>336</v>
      </c>
      <c r="E985" s="47" t="s">
        <v>406</v>
      </c>
      <c r="H985" s="47" t="s">
        <v>287</v>
      </c>
      <c r="I985" s="47" t="s">
        <v>338</v>
      </c>
      <c r="L985" s="15" t="s">
        <v>403</v>
      </c>
      <c r="M985" s="15" t="s">
        <v>404</v>
      </c>
    </row>
    <row r="986" spans="2:14" ht="13.5" customHeight="1">
      <c r="B986" s="47">
        <v>871</v>
      </c>
      <c r="C986" s="47" t="s">
        <v>138</v>
      </c>
      <c r="D986" s="47" t="s">
        <v>336</v>
      </c>
      <c r="E986" s="47" t="s">
        <v>407</v>
      </c>
      <c r="H986" s="47" t="s">
        <v>287</v>
      </c>
      <c r="I986" s="47" t="s">
        <v>338</v>
      </c>
      <c r="L986" s="15" t="s">
        <v>403</v>
      </c>
      <c r="M986" s="15" t="s">
        <v>404</v>
      </c>
      <c r="N986" s="47" t="s">
        <v>408</v>
      </c>
    </row>
    <row r="987" spans="2:14" ht="13.5" customHeight="1">
      <c r="B987" s="47">
        <v>872</v>
      </c>
      <c r="C987" s="47" t="s">
        <v>138</v>
      </c>
      <c r="D987" s="47" t="s">
        <v>336</v>
      </c>
      <c r="E987" s="47" t="s">
        <v>409</v>
      </c>
      <c r="H987" s="47" t="s">
        <v>287</v>
      </c>
      <c r="I987" s="47" t="s">
        <v>338</v>
      </c>
      <c r="L987" s="15" t="s">
        <v>403</v>
      </c>
      <c r="M987" s="15" t="s">
        <v>404</v>
      </c>
    </row>
    <row r="988" spans="2:14" ht="13.5" customHeight="1">
      <c r="B988" s="47">
        <v>873</v>
      </c>
      <c r="C988" s="47" t="s">
        <v>138</v>
      </c>
      <c r="D988" s="47" t="s">
        <v>336</v>
      </c>
      <c r="E988" s="47" t="s">
        <v>410</v>
      </c>
      <c r="H988" s="47" t="s">
        <v>287</v>
      </c>
      <c r="I988" s="47" t="s">
        <v>338</v>
      </c>
      <c r="L988" s="15" t="s">
        <v>403</v>
      </c>
      <c r="M988" s="15" t="s">
        <v>404</v>
      </c>
    </row>
    <row r="989" spans="2:14" ht="13.5" customHeight="1">
      <c r="B989" s="47">
        <v>874</v>
      </c>
      <c r="C989" s="47" t="s">
        <v>138</v>
      </c>
      <c r="D989" s="47" t="s">
        <v>336</v>
      </c>
      <c r="E989" s="47" t="s">
        <v>411</v>
      </c>
      <c r="H989" s="47" t="s">
        <v>287</v>
      </c>
      <c r="I989" s="47" t="s">
        <v>338</v>
      </c>
      <c r="L989" s="15" t="s">
        <v>403</v>
      </c>
      <c r="M989" s="15" t="s">
        <v>404</v>
      </c>
    </row>
    <row r="990" spans="2:14" ht="13.5" customHeight="1">
      <c r="B990" s="47">
        <v>875</v>
      </c>
      <c r="C990" s="47" t="s">
        <v>138</v>
      </c>
      <c r="D990" s="47" t="s">
        <v>336</v>
      </c>
      <c r="E990" s="47" t="s">
        <v>412</v>
      </c>
      <c r="H990" s="47" t="s">
        <v>287</v>
      </c>
      <c r="I990" s="47" t="s">
        <v>338</v>
      </c>
      <c r="L990" s="15" t="s">
        <v>403</v>
      </c>
      <c r="M990" s="15" t="s">
        <v>404</v>
      </c>
    </row>
    <row r="991" spans="2:14" ht="13.5" customHeight="1">
      <c r="B991" s="47">
        <v>876</v>
      </c>
      <c r="C991" s="47" t="s">
        <v>138</v>
      </c>
      <c r="D991" s="47" t="s">
        <v>336</v>
      </c>
      <c r="E991" s="47" t="s">
        <v>413</v>
      </c>
      <c r="H991" s="47" t="s">
        <v>287</v>
      </c>
      <c r="I991" s="47" t="s">
        <v>338</v>
      </c>
      <c r="L991" s="15" t="s">
        <v>403</v>
      </c>
      <c r="M991" s="15" t="s">
        <v>404</v>
      </c>
      <c r="N991" s="47" t="s">
        <v>354</v>
      </c>
    </row>
    <row r="992" spans="2:14" ht="13.5" customHeight="1">
      <c r="B992" s="47">
        <v>877</v>
      </c>
      <c r="C992" s="47" t="s">
        <v>138</v>
      </c>
      <c r="D992" s="47" t="s">
        <v>336</v>
      </c>
      <c r="E992" s="47" t="s">
        <v>414</v>
      </c>
      <c r="H992" s="47" t="s">
        <v>287</v>
      </c>
      <c r="I992" s="47" t="s">
        <v>338</v>
      </c>
      <c r="L992" s="15" t="s">
        <v>403</v>
      </c>
      <c r="M992" s="15" t="s">
        <v>404</v>
      </c>
      <c r="N992" s="47" t="s">
        <v>354</v>
      </c>
    </row>
    <row r="993" spans="2:14" ht="13.5" customHeight="1">
      <c r="B993" s="47">
        <v>878</v>
      </c>
      <c r="C993" s="47" t="s">
        <v>138</v>
      </c>
      <c r="D993" s="47" t="s">
        <v>336</v>
      </c>
      <c r="E993" s="47" t="s">
        <v>415</v>
      </c>
      <c r="H993" s="47" t="s">
        <v>287</v>
      </c>
      <c r="I993" s="47" t="s">
        <v>338</v>
      </c>
      <c r="L993" s="15" t="s">
        <v>403</v>
      </c>
      <c r="M993" s="15" t="s">
        <v>404</v>
      </c>
      <c r="N993" s="47" t="s">
        <v>354</v>
      </c>
    </row>
    <row r="994" spans="2:14" ht="13.5" customHeight="1">
      <c r="B994" s="47">
        <v>879</v>
      </c>
      <c r="C994" s="47" t="s">
        <v>138</v>
      </c>
      <c r="D994" s="47" t="s">
        <v>336</v>
      </c>
      <c r="E994" s="47" t="s">
        <v>416</v>
      </c>
      <c r="H994" s="47" t="s">
        <v>287</v>
      </c>
      <c r="I994" s="47" t="s">
        <v>338</v>
      </c>
      <c r="L994" s="15"/>
      <c r="M994" s="15" t="s">
        <v>417</v>
      </c>
    </row>
    <row r="995" spans="2:14" ht="13.5" customHeight="1">
      <c r="B995" s="47">
        <v>880</v>
      </c>
      <c r="C995" s="47" t="s">
        <v>138</v>
      </c>
      <c r="D995" s="47" t="s">
        <v>336</v>
      </c>
      <c r="E995" s="47" t="s">
        <v>418</v>
      </c>
      <c r="H995" s="47" t="s">
        <v>287</v>
      </c>
      <c r="I995" s="47" t="s">
        <v>338</v>
      </c>
      <c r="L995" s="15"/>
      <c r="M995" s="15" t="s">
        <v>417</v>
      </c>
    </row>
    <row r="996" spans="2:14" ht="13.5" customHeight="1">
      <c r="B996" s="47">
        <v>881</v>
      </c>
      <c r="C996" s="47" t="s">
        <v>138</v>
      </c>
      <c r="D996" s="47" t="s">
        <v>336</v>
      </c>
      <c r="E996" s="47" t="s">
        <v>419</v>
      </c>
      <c r="H996" s="47" t="s">
        <v>287</v>
      </c>
      <c r="I996" s="47" t="s">
        <v>338</v>
      </c>
      <c r="L996" s="15"/>
      <c r="M996" s="15" t="s">
        <v>417</v>
      </c>
    </row>
    <row r="997" spans="2:14" ht="13.5" customHeight="1">
      <c r="B997" s="47">
        <v>882</v>
      </c>
      <c r="C997" s="47" t="s">
        <v>138</v>
      </c>
      <c r="D997" s="47" t="s">
        <v>336</v>
      </c>
      <c r="E997" s="47" t="s">
        <v>420</v>
      </c>
      <c r="H997" s="47" t="s">
        <v>287</v>
      </c>
      <c r="I997" s="47" t="s">
        <v>338</v>
      </c>
      <c r="L997" s="15"/>
      <c r="M997" s="15" t="s">
        <v>417</v>
      </c>
    </row>
    <row r="998" spans="2:14" ht="13.5" customHeight="1">
      <c r="B998" s="47">
        <v>883</v>
      </c>
      <c r="C998" s="47" t="s">
        <v>138</v>
      </c>
      <c r="D998" s="47" t="s">
        <v>336</v>
      </c>
      <c r="E998" s="47" t="s">
        <v>421</v>
      </c>
      <c r="H998" s="47" t="s">
        <v>287</v>
      </c>
      <c r="I998" s="47" t="s">
        <v>338</v>
      </c>
      <c r="L998" s="15"/>
      <c r="M998" s="15" t="s">
        <v>417</v>
      </c>
    </row>
    <row r="999" spans="2:14" ht="13.5" customHeight="1">
      <c r="B999" s="47">
        <v>884</v>
      </c>
      <c r="C999" s="47" t="s">
        <v>138</v>
      </c>
      <c r="D999" s="47" t="s">
        <v>336</v>
      </c>
      <c r="E999" s="47" t="s">
        <v>422</v>
      </c>
      <c r="H999" s="47" t="s">
        <v>287</v>
      </c>
      <c r="I999" s="47" t="s">
        <v>338</v>
      </c>
      <c r="L999" s="15"/>
      <c r="M999" s="15" t="s">
        <v>417</v>
      </c>
    </row>
    <row r="1000" spans="2:14" ht="13.5" customHeight="1">
      <c r="B1000" s="47">
        <v>885</v>
      </c>
      <c r="C1000" s="47" t="s">
        <v>138</v>
      </c>
      <c r="D1000" s="47" t="s">
        <v>336</v>
      </c>
      <c r="E1000" s="47" t="s">
        <v>423</v>
      </c>
      <c r="H1000" s="47" t="s">
        <v>287</v>
      </c>
      <c r="I1000" s="47" t="s">
        <v>338</v>
      </c>
      <c r="L1000" s="15"/>
      <c r="M1000" s="15" t="s">
        <v>417</v>
      </c>
    </row>
    <row r="1001" spans="2:14" ht="13.5" customHeight="1">
      <c r="B1001" s="47">
        <v>886</v>
      </c>
      <c r="C1001" s="47" t="s">
        <v>138</v>
      </c>
      <c r="D1001" s="47" t="s">
        <v>336</v>
      </c>
      <c r="E1001" s="47" t="s">
        <v>424</v>
      </c>
      <c r="H1001" s="47" t="s">
        <v>287</v>
      </c>
      <c r="I1001" s="47" t="s">
        <v>338</v>
      </c>
      <c r="L1001" s="15"/>
      <c r="M1001" s="15" t="s">
        <v>417</v>
      </c>
    </row>
    <row r="1002" spans="2:14" ht="13.5" customHeight="1">
      <c r="B1002" s="47">
        <v>887</v>
      </c>
      <c r="C1002" s="47" t="s">
        <v>138</v>
      </c>
      <c r="D1002" s="47" t="s">
        <v>336</v>
      </c>
      <c r="E1002" s="47" t="s">
        <v>425</v>
      </c>
      <c r="H1002" s="47" t="s">
        <v>287</v>
      </c>
      <c r="I1002" s="47" t="s">
        <v>338</v>
      </c>
      <c r="L1002" s="15"/>
      <c r="M1002" s="15" t="s">
        <v>417</v>
      </c>
    </row>
    <row r="1003" spans="2:14" ht="13.5" customHeight="1">
      <c r="B1003" s="47">
        <v>888</v>
      </c>
      <c r="C1003" s="47" t="s">
        <v>138</v>
      </c>
      <c r="D1003" s="47" t="s">
        <v>336</v>
      </c>
      <c r="E1003" s="47" t="s">
        <v>426</v>
      </c>
      <c r="H1003" s="47" t="s">
        <v>287</v>
      </c>
      <c r="I1003" s="47" t="s">
        <v>338</v>
      </c>
      <c r="L1003" s="15"/>
      <c r="M1003" s="15" t="s">
        <v>417</v>
      </c>
    </row>
    <row r="1004" spans="2:14" ht="13.5" customHeight="1">
      <c r="B1004" s="47">
        <v>889</v>
      </c>
      <c r="C1004" s="47" t="s">
        <v>138</v>
      </c>
      <c r="D1004" s="47" t="s">
        <v>336</v>
      </c>
      <c r="E1004" s="47" t="s">
        <v>427</v>
      </c>
      <c r="H1004" s="47" t="s">
        <v>287</v>
      </c>
      <c r="I1004" s="47" t="s">
        <v>338</v>
      </c>
      <c r="L1004" s="15"/>
      <c r="M1004" s="15" t="s">
        <v>417</v>
      </c>
    </row>
    <row r="1005" spans="2:14" ht="13.5" customHeight="1">
      <c r="B1005" s="47">
        <v>890</v>
      </c>
      <c r="C1005" s="47" t="s">
        <v>138</v>
      </c>
      <c r="D1005" s="47" t="s">
        <v>336</v>
      </c>
      <c r="E1005" s="47" t="s">
        <v>428</v>
      </c>
      <c r="H1005" s="47" t="s">
        <v>287</v>
      </c>
      <c r="I1005" s="47" t="s">
        <v>338</v>
      </c>
      <c r="L1005" s="15"/>
      <c r="M1005" s="15" t="s">
        <v>417</v>
      </c>
    </row>
    <row r="1006" spans="2:14" ht="13.5" customHeight="1">
      <c r="B1006" s="47">
        <v>891</v>
      </c>
      <c r="C1006" s="47" t="s">
        <v>138</v>
      </c>
      <c r="D1006" s="47" t="s">
        <v>336</v>
      </c>
      <c r="E1006" s="47" t="s">
        <v>429</v>
      </c>
      <c r="H1006" s="47" t="s">
        <v>287</v>
      </c>
      <c r="I1006" s="47" t="s">
        <v>338</v>
      </c>
      <c r="L1006" s="15"/>
      <c r="M1006" s="15" t="s">
        <v>417</v>
      </c>
    </row>
    <row r="1007" spans="2:14" ht="13.5" customHeight="1">
      <c r="B1007" s="47">
        <v>892</v>
      </c>
      <c r="C1007" s="47" t="s">
        <v>138</v>
      </c>
      <c r="D1007" s="47" t="s">
        <v>336</v>
      </c>
      <c r="E1007" s="47" t="s">
        <v>430</v>
      </c>
      <c r="H1007" s="47" t="s">
        <v>287</v>
      </c>
      <c r="I1007" s="47" t="s">
        <v>338</v>
      </c>
      <c r="L1007" s="15"/>
      <c r="M1007" s="15" t="s">
        <v>417</v>
      </c>
      <c r="N1007" s="47" t="s">
        <v>354</v>
      </c>
    </row>
    <row r="1008" spans="2:14" ht="13.5" customHeight="1">
      <c r="B1008" s="47">
        <v>893</v>
      </c>
      <c r="C1008" s="47" t="s">
        <v>138</v>
      </c>
      <c r="D1008" s="47" t="s">
        <v>336</v>
      </c>
      <c r="E1008" s="47" t="s">
        <v>419</v>
      </c>
      <c r="H1008" s="47" t="s">
        <v>287</v>
      </c>
      <c r="I1008" s="47" t="s">
        <v>338</v>
      </c>
      <c r="L1008" s="15"/>
      <c r="M1008" s="15" t="s">
        <v>417</v>
      </c>
      <c r="N1008" s="47" t="s">
        <v>354</v>
      </c>
    </row>
    <row r="1009" spans="2:14" ht="15" customHeight="1">
      <c r="B1009" s="47">
        <v>894</v>
      </c>
      <c r="C1009" s="47" t="s">
        <v>138</v>
      </c>
      <c r="D1009" s="47" t="s">
        <v>336</v>
      </c>
      <c r="E1009" s="47" t="s">
        <v>418</v>
      </c>
      <c r="H1009" s="47" t="s">
        <v>287</v>
      </c>
      <c r="I1009" s="47" t="s">
        <v>338</v>
      </c>
      <c r="L1009" s="15"/>
      <c r="M1009" s="15" t="s">
        <v>417</v>
      </c>
      <c r="N1009" s="47" t="s">
        <v>354</v>
      </c>
    </row>
    <row r="1010" spans="2:14" ht="15" customHeight="1">
      <c r="B1010" s="47">
        <v>895</v>
      </c>
      <c r="C1010" s="47" t="s">
        <v>138</v>
      </c>
      <c r="D1010" s="47" t="s">
        <v>336</v>
      </c>
      <c r="E1010" s="47" t="s">
        <v>416</v>
      </c>
      <c r="H1010" s="47" t="s">
        <v>287</v>
      </c>
      <c r="I1010" s="47" t="s">
        <v>338</v>
      </c>
      <c r="L1010" s="15"/>
      <c r="M1010" s="15" t="s">
        <v>417</v>
      </c>
      <c r="N1010" s="47" t="s">
        <v>354</v>
      </c>
    </row>
    <row r="1011" spans="2:14" ht="15" customHeight="1">
      <c r="B1011" s="47">
        <v>896</v>
      </c>
      <c r="C1011" s="47" t="s">
        <v>138</v>
      </c>
      <c r="D1011" s="47" t="s">
        <v>336</v>
      </c>
      <c r="E1011" s="47" t="s">
        <v>431</v>
      </c>
      <c r="H1011" s="47" t="s">
        <v>287</v>
      </c>
      <c r="I1011" s="47" t="s">
        <v>338</v>
      </c>
      <c r="L1011" s="15" t="s">
        <v>403</v>
      </c>
      <c r="M1011" s="15" t="s">
        <v>404</v>
      </c>
    </row>
    <row r="1012" spans="2:14" ht="15" customHeight="1">
      <c r="B1012" s="47">
        <v>897</v>
      </c>
      <c r="C1012" s="47" t="s">
        <v>138</v>
      </c>
      <c r="D1012" s="47" t="s">
        <v>336</v>
      </c>
      <c r="E1012" s="47" t="s">
        <v>432</v>
      </c>
      <c r="H1012" s="47" t="s">
        <v>287</v>
      </c>
      <c r="I1012" s="47" t="s">
        <v>338</v>
      </c>
      <c r="L1012" s="15" t="s">
        <v>403</v>
      </c>
      <c r="M1012" s="15" t="s">
        <v>404</v>
      </c>
    </row>
    <row r="1013" spans="2:14" ht="15" customHeight="1">
      <c r="B1013" s="47">
        <v>898</v>
      </c>
      <c r="C1013" s="47" t="s">
        <v>138</v>
      </c>
      <c r="D1013" s="47" t="s">
        <v>336</v>
      </c>
      <c r="E1013" s="47" t="s">
        <v>433</v>
      </c>
      <c r="H1013" s="47" t="s">
        <v>287</v>
      </c>
      <c r="I1013" s="47" t="s">
        <v>338</v>
      </c>
      <c r="L1013" s="15"/>
      <c r="M1013" s="15" t="s">
        <v>371</v>
      </c>
    </row>
    <row r="1014" spans="2:14" ht="15" customHeight="1">
      <c r="B1014" s="47">
        <v>899</v>
      </c>
      <c r="C1014" s="47" t="s">
        <v>138</v>
      </c>
      <c r="D1014" s="47" t="s">
        <v>336</v>
      </c>
      <c r="E1014" s="47" t="s">
        <v>434</v>
      </c>
      <c r="H1014" s="47" t="s">
        <v>287</v>
      </c>
      <c r="I1014" s="47" t="s">
        <v>338</v>
      </c>
      <c r="L1014" s="15"/>
      <c r="M1014" s="15" t="s">
        <v>371</v>
      </c>
    </row>
    <row r="1015" spans="2:14" ht="15" customHeight="1">
      <c r="B1015" s="47">
        <v>900</v>
      </c>
      <c r="C1015" s="47" t="s">
        <v>138</v>
      </c>
      <c r="D1015" s="47" t="s">
        <v>336</v>
      </c>
      <c r="E1015" s="47" t="s">
        <v>435</v>
      </c>
      <c r="H1015" s="47" t="s">
        <v>287</v>
      </c>
      <c r="I1015" s="47" t="s">
        <v>338</v>
      </c>
      <c r="L1015" s="15" t="s">
        <v>403</v>
      </c>
      <c r="M1015" s="15"/>
    </row>
    <row r="1016" spans="2:14" ht="15" customHeight="1">
      <c r="B1016" s="47">
        <v>901</v>
      </c>
      <c r="C1016" s="47" t="s">
        <v>138</v>
      </c>
      <c r="D1016" s="47" t="s">
        <v>336</v>
      </c>
      <c r="E1016" s="47" t="s">
        <v>436</v>
      </c>
      <c r="H1016" s="47" t="s">
        <v>287</v>
      </c>
      <c r="I1016" s="47" t="s">
        <v>338</v>
      </c>
      <c r="L1016" s="15" t="s">
        <v>403</v>
      </c>
      <c r="M1016" s="15"/>
    </row>
    <row r="1017" spans="2:14" ht="15" customHeight="1">
      <c r="B1017" s="47">
        <v>902</v>
      </c>
      <c r="C1017" s="47" t="s">
        <v>138</v>
      </c>
      <c r="D1017" s="47" t="s">
        <v>336</v>
      </c>
      <c r="E1017" s="47" t="s">
        <v>437</v>
      </c>
      <c r="H1017" s="47" t="s">
        <v>287</v>
      </c>
      <c r="I1017" s="47" t="s">
        <v>338</v>
      </c>
      <c r="L1017" s="15" t="s">
        <v>403</v>
      </c>
      <c r="M1017" s="15"/>
    </row>
    <row r="1018" spans="2:14" ht="15" customHeight="1">
      <c r="B1018" s="47">
        <v>903</v>
      </c>
      <c r="C1018" s="47" t="s">
        <v>138</v>
      </c>
      <c r="D1018" s="47" t="s">
        <v>336</v>
      </c>
      <c r="E1018" s="47" t="s">
        <v>438</v>
      </c>
      <c r="H1018" s="47" t="s">
        <v>287</v>
      </c>
      <c r="I1018" s="47" t="s">
        <v>338</v>
      </c>
      <c r="L1018" s="15" t="s">
        <v>403</v>
      </c>
      <c r="M1018" s="15"/>
    </row>
    <row r="1019" spans="2:14" ht="15" customHeight="1">
      <c r="B1019" s="47">
        <v>904</v>
      </c>
      <c r="C1019" s="47" t="s">
        <v>138</v>
      </c>
      <c r="D1019" s="47" t="s">
        <v>336</v>
      </c>
      <c r="E1019" s="47" t="s">
        <v>439</v>
      </c>
      <c r="H1019" s="47" t="s">
        <v>287</v>
      </c>
      <c r="I1019" s="47" t="s">
        <v>338</v>
      </c>
      <c r="L1019" s="15" t="s">
        <v>403</v>
      </c>
      <c r="M1019" s="15"/>
    </row>
    <row r="1020" spans="2:14" ht="15" customHeight="1">
      <c r="B1020" s="47">
        <v>905</v>
      </c>
      <c r="C1020" s="47" t="s">
        <v>138</v>
      </c>
      <c r="D1020" s="47" t="s">
        <v>336</v>
      </c>
      <c r="E1020" s="47" t="s">
        <v>440</v>
      </c>
      <c r="H1020" s="47" t="s">
        <v>287</v>
      </c>
      <c r="I1020" s="47" t="s">
        <v>338</v>
      </c>
      <c r="L1020" s="15" t="s">
        <v>403</v>
      </c>
      <c r="M1020" s="15"/>
    </row>
    <row r="1021" spans="2:14" ht="15" customHeight="1">
      <c r="B1021" s="47">
        <v>906</v>
      </c>
      <c r="C1021" s="47" t="s">
        <v>138</v>
      </c>
      <c r="D1021" s="47" t="s">
        <v>336</v>
      </c>
      <c r="E1021" s="47" t="s">
        <v>441</v>
      </c>
      <c r="H1021" s="47" t="s">
        <v>287</v>
      </c>
      <c r="I1021" s="47" t="s">
        <v>338</v>
      </c>
      <c r="L1021" s="15" t="s">
        <v>403</v>
      </c>
      <c r="M1021" s="15"/>
    </row>
    <row r="1022" spans="2:14" ht="15" customHeight="1">
      <c r="B1022" s="47">
        <v>907</v>
      </c>
      <c r="C1022" s="47" t="s">
        <v>138</v>
      </c>
      <c r="D1022" s="47" t="s">
        <v>336</v>
      </c>
      <c r="E1022" s="47" t="s">
        <v>442</v>
      </c>
      <c r="H1022" s="47" t="s">
        <v>287</v>
      </c>
      <c r="I1022" s="47" t="s">
        <v>338</v>
      </c>
      <c r="L1022" s="15" t="s">
        <v>403</v>
      </c>
      <c r="M1022" s="15"/>
    </row>
    <row r="1023" spans="2:14" ht="15" customHeight="1">
      <c r="B1023" s="47">
        <v>908</v>
      </c>
      <c r="C1023" s="47" t="s">
        <v>138</v>
      </c>
      <c r="D1023" s="47" t="s">
        <v>336</v>
      </c>
      <c r="E1023" s="47" t="s">
        <v>443</v>
      </c>
      <c r="H1023" s="47" t="s">
        <v>287</v>
      </c>
      <c r="I1023" s="47" t="s">
        <v>338</v>
      </c>
      <c r="L1023" s="15" t="s">
        <v>403</v>
      </c>
      <c r="M1023" s="15"/>
    </row>
    <row r="1024" spans="2:14" ht="15" customHeight="1">
      <c r="B1024" s="47">
        <v>909</v>
      </c>
      <c r="C1024" s="47" t="s">
        <v>138</v>
      </c>
      <c r="D1024" s="47" t="s">
        <v>336</v>
      </c>
      <c r="E1024" s="47" t="s">
        <v>444</v>
      </c>
      <c r="H1024" s="47" t="s">
        <v>287</v>
      </c>
      <c r="I1024" s="47" t="s">
        <v>338</v>
      </c>
      <c r="L1024" s="15" t="s">
        <v>403</v>
      </c>
      <c r="M1024" s="15"/>
    </row>
    <row r="1025" spans="2:13" ht="15" customHeight="1">
      <c r="B1025" s="47">
        <v>910</v>
      </c>
      <c r="C1025" s="47" t="s">
        <v>138</v>
      </c>
      <c r="D1025" s="47" t="s">
        <v>336</v>
      </c>
      <c r="E1025" s="47" t="s">
        <v>445</v>
      </c>
      <c r="H1025" s="47" t="s">
        <v>287</v>
      </c>
      <c r="I1025" s="47" t="s">
        <v>338</v>
      </c>
      <c r="L1025" s="15" t="s">
        <v>403</v>
      </c>
      <c r="M1025" s="15"/>
    </row>
    <row r="1026" spans="2:13" ht="15" customHeight="1">
      <c r="B1026" s="47">
        <v>911</v>
      </c>
      <c r="C1026" s="47" t="s">
        <v>138</v>
      </c>
      <c r="D1026" s="47" t="s">
        <v>336</v>
      </c>
      <c r="E1026" s="47" t="s">
        <v>446</v>
      </c>
      <c r="H1026" s="47" t="s">
        <v>287</v>
      </c>
      <c r="I1026" s="47" t="s">
        <v>338</v>
      </c>
      <c r="L1026" s="15" t="s">
        <v>403</v>
      </c>
      <c r="M1026" s="15"/>
    </row>
    <row r="1027" spans="2:13" ht="15" customHeight="1">
      <c r="B1027" s="47">
        <v>912</v>
      </c>
      <c r="C1027" s="47" t="s">
        <v>138</v>
      </c>
      <c r="D1027" s="47" t="s">
        <v>336</v>
      </c>
      <c r="E1027" s="47" t="s">
        <v>447</v>
      </c>
      <c r="H1027" s="47" t="s">
        <v>287</v>
      </c>
      <c r="I1027" s="47" t="s">
        <v>338</v>
      </c>
      <c r="L1027" s="15" t="s">
        <v>403</v>
      </c>
      <c r="M1027" s="15"/>
    </row>
    <row r="1028" spans="2:13" ht="15" customHeight="1">
      <c r="B1028" s="47">
        <v>913</v>
      </c>
      <c r="C1028" s="47" t="s">
        <v>138</v>
      </c>
      <c r="D1028" s="47" t="s">
        <v>336</v>
      </c>
      <c r="E1028" s="47" t="s">
        <v>448</v>
      </c>
      <c r="H1028" s="47" t="s">
        <v>287</v>
      </c>
      <c r="I1028" s="47" t="s">
        <v>338</v>
      </c>
      <c r="L1028" s="15" t="s">
        <v>403</v>
      </c>
      <c r="M1028" s="15"/>
    </row>
    <row r="1029" spans="2:13" ht="15" customHeight="1">
      <c r="B1029" s="47">
        <v>914</v>
      </c>
      <c r="C1029" s="47" t="s">
        <v>138</v>
      </c>
      <c r="D1029" s="47" t="s">
        <v>336</v>
      </c>
      <c r="E1029" s="47" t="s">
        <v>449</v>
      </c>
      <c r="H1029" s="47" t="s">
        <v>287</v>
      </c>
      <c r="I1029" s="47" t="s">
        <v>338</v>
      </c>
      <c r="L1029" s="15" t="s">
        <v>403</v>
      </c>
      <c r="M1029" s="15"/>
    </row>
    <row r="1030" spans="2:13" ht="15" customHeight="1">
      <c r="B1030" s="47">
        <v>915</v>
      </c>
      <c r="C1030" s="47" t="s">
        <v>138</v>
      </c>
      <c r="D1030" s="47" t="s">
        <v>336</v>
      </c>
      <c r="E1030" s="47" t="s">
        <v>450</v>
      </c>
      <c r="H1030" s="47" t="s">
        <v>287</v>
      </c>
      <c r="I1030" s="47" t="s">
        <v>338</v>
      </c>
      <c r="L1030" s="15" t="s">
        <v>403</v>
      </c>
      <c r="M1030" s="15"/>
    </row>
    <row r="1031" spans="2:13" ht="15" customHeight="1">
      <c r="B1031" s="47">
        <v>916</v>
      </c>
      <c r="C1031" s="47" t="s">
        <v>138</v>
      </c>
      <c r="D1031" s="47" t="s">
        <v>336</v>
      </c>
      <c r="E1031" s="47" t="s">
        <v>451</v>
      </c>
      <c r="H1031" s="47" t="s">
        <v>287</v>
      </c>
      <c r="I1031" s="47" t="s">
        <v>338</v>
      </c>
      <c r="L1031" s="15" t="s">
        <v>403</v>
      </c>
      <c r="M1031" s="15"/>
    </row>
    <row r="1032" spans="2:13" ht="15" customHeight="1">
      <c r="B1032" s="47">
        <v>917</v>
      </c>
      <c r="C1032" s="47" t="s">
        <v>138</v>
      </c>
      <c r="D1032" s="47" t="s">
        <v>336</v>
      </c>
      <c r="E1032" s="47" t="s">
        <v>452</v>
      </c>
      <c r="H1032" s="47" t="s">
        <v>287</v>
      </c>
      <c r="I1032" s="47" t="s">
        <v>338</v>
      </c>
      <c r="L1032" s="15" t="s">
        <v>403</v>
      </c>
      <c r="M1032" s="15"/>
    </row>
    <row r="1033" spans="2:13" ht="15" customHeight="1">
      <c r="B1033" s="47">
        <v>918</v>
      </c>
      <c r="C1033" s="47" t="s">
        <v>138</v>
      </c>
      <c r="D1033" s="47" t="s">
        <v>336</v>
      </c>
      <c r="E1033" s="47" t="s">
        <v>453</v>
      </c>
      <c r="H1033" s="47" t="s">
        <v>287</v>
      </c>
      <c r="I1033" s="47" t="s">
        <v>338</v>
      </c>
      <c r="L1033" s="15" t="s">
        <v>403</v>
      </c>
      <c r="M1033" s="15"/>
    </row>
    <row r="1034" spans="2:13" ht="15" customHeight="1">
      <c r="B1034" s="47">
        <v>919</v>
      </c>
      <c r="C1034" s="47" t="s">
        <v>138</v>
      </c>
      <c r="D1034" s="47" t="s">
        <v>336</v>
      </c>
      <c r="E1034" s="47" t="s">
        <v>454</v>
      </c>
      <c r="H1034" s="47" t="s">
        <v>287</v>
      </c>
      <c r="I1034" s="47" t="s">
        <v>338</v>
      </c>
      <c r="L1034" s="15" t="s">
        <v>403</v>
      </c>
      <c r="M1034" s="15"/>
    </row>
    <row r="1035" spans="2:13" ht="15" customHeight="1">
      <c r="B1035" s="47">
        <v>920</v>
      </c>
      <c r="C1035" s="47" t="s">
        <v>138</v>
      </c>
      <c r="D1035" s="47" t="s">
        <v>336</v>
      </c>
      <c r="E1035" s="47" t="s">
        <v>455</v>
      </c>
      <c r="H1035" s="47" t="s">
        <v>287</v>
      </c>
      <c r="I1035" s="47" t="s">
        <v>338</v>
      </c>
      <c r="L1035" s="15" t="s">
        <v>403</v>
      </c>
      <c r="M1035" s="15"/>
    </row>
    <row r="1036" spans="2:13" ht="15" customHeight="1">
      <c r="B1036" s="47">
        <v>921</v>
      </c>
      <c r="C1036" s="47" t="s">
        <v>138</v>
      </c>
      <c r="D1036" s="47" t="s">
        <v>336</v>
      </c>
      <c r="E1036" s="47" t="s">
        <v>456</v>
      </c>
      <c r="H1036" s="47" t="s">
        <v>287</v>
      </c>
      <c r="I1036" s="47" t="s">
        <v>338</v>
      </c>
      <c r="L1036" s="15" t="s">
        <v>403</v>
      </c>
      <c r="M1036" s="15"/>
    </row>
    <row r="1037" spans="2:13" ht="15" customHeight="1">
      <c r="B1037" s="47">
        <v>922</v>
      </c>
      <c r="C1037" s="47" t="s">
        <v>138</v>
      </c>
      <c r="D1037" s="47" t="s">
        <v>336</v>
      </c>
      <c r="E1037" s="47" t="s">
        <v>457</v>
      </c>
      <c r="H1037" s="47" t="s">
        <v>287</v>
      </c>
      <c r="I1037" s="47" t="s">
        <v>338</v>
      </c>
      <c r="L1037" s="15" t="s">
        <v>403</v>
      </c>
      <c r="M1037" s="15"/>
    </row>
    <row r="1038" spans="2:13" ht="15" customHeight="1">
      <c r="B1038" s="47">
        <v>923</v>
      </c>
      <c r="C1038" s="47" t="s">
        <v>138</v>
      </c>
      <c r="D1038" s="47" t="s">
        <v>336</v>
      </c>
      <c r="E1038" s="47" t="s">
        <v>458</v>
      </c>
      <c r="H1038" s="47" t="s">
        <v>287</v>
      </c>
      <c r="I1038" s="47" t="s">
        <v>338</v>
      </c>
      <c r="L1038" s="15" t="s">
        <v>403</v>
      </c>
      <c r="M1038" s="15"/>
    </row>
    <row r="1039" spans="2:13" ht="15" customHeight="1">
      <c r="B1039" s="47">
        <v>924</v>
      </c>
      <c r="C1039" s="47" t="s">
        <v>138</v>
      </c>
      <c r="D1039" s="47" t="s">
        <v>336</v>
      </c>
      <c r="E1039" s="47" t="s">
        <v>459</v>
      </c>
      <c r="H1039" s="47" t="s">
        <v>287</v>
      </c>
      <c r="I1039" s="47" t="s">
        <v>338</v>
      </c>
      <c r="L1039" s="15" t="s">
        <v>403</v>
      </c>
      <c r="M1039" s="15"/>
    </row>
    <row r="1040" spans="2:13" ht="15" customHeight="1">
      <c r="B1040" s="47">
        <v>925</v>
      </c>
      <c r="C1040" s="47" t="s">
        <v>138</v>
      </c>
      <c r="D1040" s="47" t="s">
        <v>336</v>
      </c>
      <c r="E1040" s="47" t="s">
        <v>460</v>
      </c>
      <c r="H1040" s="47" t="s">
        <v>287</v>
      </c>
      <c r="I1040" s="47" t="s">
        <v>338</v>
      </c>
      <c r="L1040" s="15" t="s">
        <v>403</v>
      </c>
      <c r="M1040" s="15"/>
    </row>
    <row r="1041" spans="2:13" ht="15" customHeight="1">
      <c r="B1041" s="47">
        <v>926</v>
      </c>
      <c r="C1041" s="47" t="s">
        <v>138</v>
      </c>
      <c r="D1041" s="47" t="s">
        <v>336</v>
      </c>
      <c r="E1041" s="47" t="s">
        <v>461</v>
      </c>
      <c r="H1041" s="47" t="s">
        <v>287</v>
      </c>
      <c r="I1041" s="47" t="s">
        <v>338</v>
      </c>
      <c r="L1041" s="15" t="s">
        <v>403</v>
      </c>
      <c r="M1041" s="15"/>
    </row>
    <row r="1042" spans="2:13" ht="15" customHeight="1">
      <c r="B1042" s="47">
        <v>927</v>
      </c>
      <c r="C1042" s="47" t="s">
        <v>138</v>
      </c>
      <c r="D1042" s="47" t="s">
        <v>336</v>
      </c>
      <c r="E1042" s="47" t="s">
        <v>462</v>
      </c>
      <c r="H1042" s="47" t="s">
        <v>287</v>
      </c>
      <c r="I1042" s="47" t="s">
        <v>338</v>
      </c>
      <c r="L1042" s="15" t="s">
        <v>403</v>
      </c>
      <c r="M1042" s="15"/>
    </row>
    <row r="1043" spans="2:13" ht="15" customHeight="1">
      <c r="B1043" s="47">
        <v>928</v>
      </c>
      <c r="C1043" s="47" t="s">
        <v>138</v>
      </c>
      <c r="D1043" s="47" t="s">
        <v>336</v>
      </c>
      <c r="E1043" s="47" t="s">
        <v>463</v>
      </c>
      <c r="H1043" s="47" t="s">
        <v>287</v>
      </c>
      <c r="I1043" s="47" t="s">
        <v>338</v>
      </c>
      <c r="L1043" s="15" t="s">
        <v>403</v>
      </c>
      <c r="M1043" s="15"/>
    </row>
    <row r="1044" spans="2:13" ht="15" customHeight="1">
      <c r="B1044" s="47">
        <v>929</v>
      </c>
      <c r="C1044" s="47" t="s">
        <v>138</v>
      </c>
      <c r="D1044" s="47" t="s">
        <v>336</v>
      </c>
      <c r="E1044" s="47" t="s">
        <v>464</v>
      </c>
      <c r="H1044" s="47" t="s">
        <v>287</v>
      </c>
      <c r="I1044" s="47" t="s">
        <v>338</v>
      </c>
      <c r="L1044" s="15" t="s">
        <v>403</v>
      </c>
      <c r="M1044" s="15"/>
    </row>
    <row r="1045" spans="2:13" ht="15" customHeight="1">
      <c r="B1045" s="47">
        <v>930</v>
      </c>
      <c r="C1045" s="47" t="s">
        <v>138</v>
      </c>
      <c r="D1045" s="47" t="s">
        <v>336</v>
      </c>
      <c r="E1045" s="47" t="s">
        <v>465</v>
      </c>
      <c r="H1045" s="47" t="s">
        <v>287</v>
      </c>
      <c r="I1045" s="47" t="s">
        <v>338</v>
      </c>
      <c r="L1045" s="15" t="s">
        <v>403</v>
      </c>
      <c r="M1045" s="15"/>
    </row>
    <row r="1046" spans="2:13" ht="15" customHeight="1">
      <c r="B1046" s="47">
        <v>931</v>
      </c>
      <c r="C1046" s="47" t="s">
        <v>138</v>
      </c>
      <c r="D1046" s="47" t="s">
        <v>336</v>
      </c>
      <c r="E1046" s="47" t="s">
        <v>466</v>
      </c>
      <c r="H1046" s="47" t="s">
        <v>287</v>
      </c>
      <c r="I1046" s="47" t="s">
        <v>338</v>
      </c>
      <c r="L1046" s="15" t="s">
        <v>403</v>
      </c>
      <c r="M1046" s="15"/>
    </row>
    <row r="1047" spans="2:13" ht="15" customHeight="1">
      <c r="B1047" s="47">
        <v>932</v>
      </c>
      <c r="C1047" s="47" t="s">
        <v>138</v>
      </c>
      <c r="D1047" s="47" t="s">
        <v>336</v>
      </c>
      <c r="E1047" s="47" t="s">
        <v>467</v>
      </c>
      <c r="H1047" s="47" t="s">
        <v>287</v>
      </c>
      <c r="I1047" s="47" t="s">
        <v>338</v>
      </c>
      <c r="L1047" s="15" t="s">
        <v>403</v>
      </c>
      <c r="M1047" s="15"/>
    </row>
    <row r="1048" spans="2:13" ht="15" customHeight="1">
      <c r="B1048" s="47">
        <v>933</v>
      </c>
      <c r="C1048" s="47" t="s">
        <v>138</v>
      </c>
      <c r="D1048" s="47" t="s">
        <v>336</v>
      </c>
      <c r="E1048" s="47" t="s">
        <v>468</v>
      </c>
      <c r="H1048" s="47" t="s">
        <v>287</v>
      </c>
      <c r="I1048" s="47" t="s">
        <v>338</v>
      </c>
      <c r="L1048" s="15" t="s">
        <v>403</v>
      </c>
      <c r="M1048" s="15"/>
    </row>
    <row r="1049" spans="2:13" ht="15" customHeight="1">
      <c r="B1049" s="47">
        <v>934</v>
      </c>
      <c r="C1049" s="47" t="s">
        <v>138</v>
      </c>
      <c r="D1049" s="47" t="s">
        <v>336</v>
      </c>
      <c r="E1049" s="47" t="s">
        <v>469</v>
      </c>
      <c r="H1049" s="47" t="s">
        <v>287</v>
      </c>
      <c r="I1049" s="47" t="s">
        <v>338</v>
      </c>
      <c r="L1049" s="15" t="s">
        <v>403</v>
      </c>
      <c r="M1049" s="15"/>
    </row>
    <row r="1050" spans="2:13" ht="15" customHeight="1">
      <c r="B1050" s="47">
        <v>935</v>
      </c>
      <c r="C1050" s="47" t="s">
        <v>138</v>
      </c>
      <c r="D1050" s="47" t="s">
        <v>336</v>
      </c>
      <c r="E1050" s="47" t="s">
        <v>470</v>
      </c>
      <c r="H1050" s="47" t="s">
        <v>287</v>
      </c>
      <c r="I1050" s="47" t="s">
        <v>338</v>
      </c>
      <c r="L1050" s="15" t="s">
        <v>403</v>
      </c>
      <c r="M1050" s="15"/>
    </row>
    <row r="1051" spans="2:13" ht="15" customHeight="1">
      <c r="B1051" s="47">
        <v>936</v>
      </c>
      <c r="C1051" s="47" t="s">
        <v>138</v>
      </c>
      <c r="D1051" s="47" t="s">
        <v>336</v>
      </c>
      <c r="E1051" s="47" t="s">
        <v>471</v>
      </c>
      <c r="H1051" s="47" t="s">
        <v>287</v>
      </c>
      <c r="I1051" s="47" t="s">
        <v>338</v>
      </c>
      <c r="L1051" s="15" t="s">
        <v>403</v>
      </c>
      <c r="M1051" s="15"/>
    </row>
    <row r="1052" spans="2:13" ht="15" customHeight="1">
      <c r="B1052" s="47">
        <v>937</v>
      </c>
      <c r="C1052" s="47" t="s">
        <v>138</v>
      </c>
      <c r="D1052" s="47" t="s">
        <v>336</v>
      </c>
      <c r="E1052" s="47" t="s">
        <v>472</v>
      </c>
      <c r="H1052" s="47" t="s">
        <v>287</v>
      </c>
      <c r="I1052" s="47" t="s">
        <v>338</v>
      </c>
      <c r="L1052" s="15" t="s">
        <v>403</v>
      </c>
      <c r="M1052" s="15"/>
    </row>
    <row r="1053" spans="2:13" ht="15" customHeight="1">
      <c r="B1053" s="47">
        <v>938</v>
      </c>
      <c r="C1053" s="47" t="s">
        <v>138</v>
      </c>
      <c r="D1053" s="47" t="s">
        <v>336</v>
      </c>
      <c r="E1053" s="47" t="s">
        <v>473</v>
      </c>
      <c r="H1053" s="47" t="s">
        <v>287</v>
      </c>
      <c r="I1053" s="47" t="s">
        <v>338</v>
      </c>
      <c r="L1053" s="15" t="s">
        <v>403</v>
      </c>
      <c r="M1053" s="15"/>
    </row>
    <row r="1054" spans="2:13" ht="15" customHeight="1">
      <c r="B1054" s="47">
        <v>939</v>
      </c>
      <c r="C1054" s="47" t="s">
        <v>138</v>
      </c>
      <c r="D1054" s="47" t="s">
        <v>336</v>
      </c>
      <c r="E1054" s="47" t="s">
        <v>474</v>
      </c>
      <c r="H1054" s="47" t="s">
        <v>287</v>
      </c>
      <c r="I1054" s="47" t="s">
        <v>338</v>
      </c>
      <c r="L1054" s="15" t="s">
        <v>403</v>
      </c>
      <c r="M1054" s="15"/>
    </row>
    <row r="1055" spans="2:13" ht="15" customHeight="1">
      <c r="B1055" s="47">
        <v>940</v>
      </c>
      <c r="C1055" s="47" t="s">
        <v>138</v>
      </c>
      <c r="D1055" s="47" t="s">
        <v>336</v>
      </c>
      <c r="E1055" s="47" t="s">
        <v>475</v>
      </c>
      <c r="H1055" s="47" t="s">
        <v>287</v>
      </c>
      <c r="I1055" s="47" t="s">
        <v>338</v>
      </c>
      <c r="L1055" s="15" t="s">
        <v>403</v>
      </c>
      <c r="M1055" s="15"/>
    </row>
    <row r="1056" spans="2:13" ht="15" customHeight="1">
      <c r="B1056" s="47">
        <v>941</v>
      </c>
      <c r="C1056" s="47" t="s">
        <v>138</v>
      </c>
      <c r="D1056" s="47" t="s">
        <v>336</v>
      </c>
      <c r="E1056" s="47" t="s">
        <v>476</v>
      </c>
      <c r="H1056" s="47" t="s">
        <v>287</v>
      </c>
      <c r="I1056" s="47" t="s">
        <v>338</v>
      </c>
      <c r="L1056" s="15" t="s">
        <v>403</v>
      </c>
      <c r="M1056" s="15"/>
    </row>
    <row r="1057" spans="2:13" ht="15" customHeight="1">
      <c r="B1057" s="47">
        <v>942</v>
      </c>
      <c r="C1057" s="47" t="s">
        <v>138</v>
      </c>
      <c r="D1057" s="47" t="s">
        <v>336</v>
      </c>
      <c r="E1057" s="47" t="s">
        <v>477</v>
      </c>
      <c r="H1057" s="47" t="s">
        <v>287</v>
      </c>
      <c r="I1057" s="47" t="s">
        <v>338</v>
      </c>
      <c r="L1057" s="15" t="s">
        <v>403</v>
      </c>
      <c r="M1057" s="15"/>
    </row>
    <row r="1058" spans="2:13" ht="15" customHeight="1">
      <c r="B1058" s="47">
        <v>943</v>
      </c>
      <c r="C1058" s="47" t="s">
        <v>138</v>
      </c>
      <c r="D1058" s="47" t="s">
        <v>336</v>
      </c>
      <c r="E1058" s="47" t="s">
        <v>478</v>
      </c>
      <c r="H1058" s="47" t="s">
        <v>287</v>
      </c>
      <c r="I1058" s="47" t="s">
        <v>338</v>
      </c>
      <c r="L1058" s="15" t="s">
        <v>403</v>
      </c>
      <c r="M1058" s="15"/>
    </row>
    <row r="1059" spans="2:13" ht="15" customHeight="1">
      <c r="B1059" s="47">
        <v>944</v>
      </c>
      <c r="C1059" s="47" t="s">
        <v>138</v>
      </c>
      <c r="D1059" s="47" t="s">
        <v>336</v>
      </c>
      <c r="E1059" s="47" t="s">
        <v>479</v>
      </c>
      <c r="H1059" s="47" t="s">
        <v>287</v>
      </c>
      <c r="I1059" s="47" t="s">
        <v>338</v>
      </c>
      <c r="L1059" s="15" t="s">
        <v>403</v>
      </c>
      <c r="M1059" s="15"/>
    </row>
    <row r="1060" spans="2:13" ht="15" customHeight="1">
      <c r="B1060" s="47">
        <v>945</v>
      </c>
      <c r="C1060" s="47" t="s">
        <v>138</v>
      </c>
      <c r="D1060" s="47" t="s">
        <v>336</v>
      </c>
      <c r="E1060" s="47" t="s">
        <v>480</v>
      </c>
      <c r="H1060" s="47" t="s">
        <v>287</v>
      </c>
      <c r="I1060" s="47" t="s">
        <v>338</v>
      </c>
      <c r="L1060" s="15" t="s">
        <v>403</v>
      </c>
      <c r="M1060" s="15"/>
    </row>
    <row r="1061" spans="2:13" ht="15" customHeight="1">
      <c r="B1061" s="47">
        <v>946</v>
      </c>
      <c r="C1061" s="47" t="s">
        <v>138</v>
      </c>
      <c r="D1061" s="47" t="s">
        <v>336</v>
      </c>
      <c r="E1061" s="47" t="s">
        <v>481</v>
      </c>
      <c r="H1061" s="47" t="s">
        <v>287</v>
      </c>
      <c r="I1061" s="47" t="s">
        <v>338</v>
      </c>
      <c r="L1061" s="15" t="s">
        <v>403</v>
      </c>
      <c r="M1061" s="15"/>
    </row>
    <row r="1062" spans="2:13" ht="15" customHeight="1">
      <c r="B1062" s="47">
        <v>947</v>
      </c>
      <c r="C1062" s="47" t="s">
        <v>138</v>
      </c>
      <c r="D1062" s="47" t="s">
        <v>336</v>
      </c>
      <c r="E1062" s="47" t="s">
        <v>482</v>
      </c>
      <c r="H1062" s="47" t="s">
        <v>287</v>
      </c>
      <c r="I1062" s="47" t="s">
        <v>338</v>
      </c>
      <c r="L1062" s="15" t="s">
        <v>403</v>
      </c>
      <c r="M1062" s="15"/>
    </row>
    <row r="1063" spans="2:13" ht="15" customHeight="1">
      <c r="B1063" s="47">
        <v>948</v>
      </c>
      <c r="C1063" s="47" t="s">
        <v>138</v>
      </c>
      <c r="D1063" s="47" t="s">
        <v>336</v>
      </c>
      <c r="E1063" s="47" t="s">
        <v>483</v>
      </c>
      <c r="H1063" s="47" t="s">
        <v>287</v>
      </c>
      <c r="I1063" s="47" t="s">
        <v>338</v>
      </c>
      <c r="L1063" s="15" t="s">
        <v>403</v>
      </c>
      <c r="M1063" s="15"/>
    </row>
    <row r="1064" spans="2:13" ht="15" customHeight="1">
      <c r="B1064" s="47">
        <v>949</v>
      </c>
      <c r="C1064" s="47" t="s">
        <v>138</v>
      </c>
      <c r="D1064" s="47" t="s">
        <v>336</v>
      </c>
      <c r="E1064" s="47" t="s">
        <v>484</v>
      </c>
      <c r="H1064" s="47" t="s">
        <v>287</v>
      </c>
      <c r="I1064" s="47" t="s">
        <v>338</v>
      </c>
      <c r="L1064" s="15" t="s">
        <v>403</v>
      </c>
      <c r="M1064" s="15"/>
    </row>
    <row r="1065" spans="2:13" ht="15" customHeight="1">
      <c r="B1065" s="47">
        <v>950</v>
      </c>
      <c r="C1065" s="47" t="s">
        <v>138</v>
      </c>
      <c r="D1065" s="47" t="s">
        <v>336</v>
      </c>
      <c r="E1065" s="47" t="s">
        <v>485</v>
      </c>
      <c r="H1065" s="47" t="s">
        <v>287</v>
      </c>
      <c r="I1065" s="47" t="s">
        <v>338</v>
      </c>
      <c r="L1065" s="15" t="s">
        <v>403</v>
      </c>
      <c r="M1065" s="15"/>
    </row>
    <row r="1066" spans="2:13" ht="15" customHeight="1">
      <c r="B1066" s="47">
        <v>951</v>
      </c>
      <c r="C1066" s="47" t="s">
        <v>138</v>
      </c>
      <c r="D1066" s="47" t="s">
        <v>336</v>
      </c>
      <c r="E1066" s="47" t="s">
        <v>486</v>
      </c>
      <c r="H1066" s="47" t="s">
        <v>287</v>
      </c>
      <c r="I1066" s="47" t="s">
        <v>338</v>
      </c>
      <c r="L1066" s="15" t="s">
        <v>403</v>
      </c>
      <c r="M1066" s="15"/>
    </row>
    <row r="1067" spans="2:13" ht="15" customHeight="1">
      <c r="B1067" s="47">
        <v>952</v>
      </c>
      <c r="C1067" s="47" t="s">
        <v>138</v>
      </c>
      <c r="D1067" s="47" t="s">
        <v>336</v>
      </c>
      <c r="E1067" s="47" t="s">
        <v>487</v>
      </c>
      <c r="H1067" s="47" t="s">
        <v>287</v>
      </c>
      <c r="I1067" s="47" t="s">
        <v>338</v>
      </c>
      <c r="L1067" s="15" t="s">
        <v>403</v>
      </c>
      <c r="M1067" s="15"/>
    </row>
    <row r="1068" spans="2:13" ht="15" customHeight="1">
      <c r="B1068" s="47">
        <v>953</v>
      </c>
      <c r="C1068" s="47" t="s">
        <v>138</v>
      </c>
      <c r="D1068" s="47" t="s">
        <v>336</v>
      </c>
      <c r="E1068" s="47" t="s">
        <v>488</v>
      </c>
      <c r="H1068" s="47" t="s">
        <v>287</v>
      </c>
      <c r="I1068" s="47" t="s">
        <v>338</v>
      </c>
      <c r="L1068" s="15" t="s">
        <v>403</v>
      </c>
      <c r="M1068" s="15"/>
    </row>
    <row r="1069" spans="2:13" ht="15" customHeight="1">
      <c r="B1069" s="47">
        <v>954</v>
      </c>
      <c r="C1069" s="47" t="s">
        <v>138</v>
      </c>
      <c r="D1069" s="47" t="s">
        <v>336</v>
      </c>
      <c r="E1069" s="47" t="s">
        <v>489</v>
      </c>
      <c r="H1069" s="47" t="s">
        <v>287</v>
      </c>
      <c r="I1069" s="47" t="s">
        <v>338</v>
      </c>
      <c r="L1069" s="15" t="s">
        <v>403</v>
      </c>
      <c r="M1069" s="15"/>
    </row>
    <row r="1070" spans="2:13" ht="15" customHeight="1">
      <c r="B1070" s="47">
        <v>955</v>
      </c>
      <c r="C1070" s="47" t="s">
        <v>138</v>
      </c>
      <c r="D1070" s="47" t="s">
        <v>336</v>
      </c>
      <c r="E1070" s="47" t="s">
        <v>490</v>
      </c>
      <c r="H1070" s="47" t="s">
        <v>287</v>
      </c>
      <c r="I1070" s="47" t="s">
        <v>338</v>
      </c>
      <c r="L1070" s="15" t="s">
        <v>403</v>
      </c>
      <c r="M1070" s="15"/>
    </row>
    <row r="1071" spans="2:13" ht="15" customHeight="1">
      <c r="B1071" s="47">
        <v>956</v>
      </c>
      <c r="C1071" s="47" t="s">
        <v>138</v>
      </c>
      <c r="D1071" s="47" t="s">
        <v>336</v>
      </c>
      <c r="E1071" s="47" t="s">
        <v>491</v>
      </c>
      <c r="H1071" s="47" t="s">
        <v>287</v>
      </c>
      <c r="I1071" s="47" t="s">
        <v>338</v>
      </c>
      <c r="L1071" s="15" t="s">
        <v>403</v>
      </c>
      <c r="M1071" s="15"/>
    </row>
    <row r="1072" spans="2:13" ht="15" customHeight="1">
      <c r="B1072" s="47">
        <v>957</v>
      </c>
      <c r="C1072" s="47" t="s">
        <v>138</v>
      </c>
      <c r="D1072" s="47" t="s">
        <v>336</v>
      </c>
      <c r="E1072" s="47" t="s">
        <v>492</v>
      </c>
      <c r="H1072" s="47" t="s">
        <v>287</v>
      </c>
      <c r="I1072" s="47" t="s">
        <v>338</v>
      </c>
      <c r="L1072" s="15" t="s">
        <v>403</v>
      </c>
      <c r="M1072" s="15"/>
    </row>
    <row r="1073" spans="2:13" ht="15" customHeight="1">
      <c r="B1073" s="47">
        <v>958</v>
      </c>
      <c r="C1073" s="47" t="s">
        <v>138</v>
      </c>
      <c r="D1073" s="47" t="s">
        <v>336</v>
      </c>
      <c r="E1073" s="47" t="s">
        <v>493</v>
      </c>
      <c r="H1073" s="47" t="s">
        <v>287</v>
      </c>
      <c r="I1073" s="47" t="s">
        <v>338</v>
      </c>
      <c r="L1073" s="15" t="s">
        <v>403</v>
      </c>
      <c r="M1073" s="15"/>
    </row>
    <row r="1074" spans="2:13" ht="15" customHeight="1">
      <c r="B1074" s="47">
        <v>959</v>
      </c>
      <c r="C1074" s="47" t="s">
        <v>138</v>
      </c>
      <c r="D1074" s="47" t="s">
        <v>336</v>
      </c>
      <c r="E1074" s="47" t="s">
        <v>494</v>
      </c>
      <c r="H1074" s="47" t="s">
        <v>287</v>
      </c>
      <c r="I1074" s="47" t="s">
        <v>338</v>
      </c>
      <c r="L1074" s="15" t="s">
        <v>403</v>
      </c>
      <c r="M1074" s="15"/>
    </row>
    <row r="1075" spans="2:13" ht="15" customHeight="1">
      <c r="B1075" s="47">
        <v>960</v>
      </c>
      <c r="C1075" s="47" t="s">
        <v>138</v>
      </c>
      <c r="D1075" s="47" t="s">
        <v>336</v>
      </c>
      <c r="E1075" s="47" t="s">
        <v>495</v>
      </c>
      <c r="H1075" s="47" t="s">
        <v>287</v>
      </c>
      <c r="I1075" s="47" t="s">
        <v>338</v>
      </c>
      <c r="L1075" s="15" t="s">
        <v>403</v>
      </c>
      <c r="M1075" s="15"/>
    </row>
    <row r="1076" spans="2:13" ht="15" customHeight="1">
      <c r="B1076" s="47">
        <v>961</v>
      </c>
      <c r="C1076" s="47" t="s">
        <v>138</v>
      </c>
      <c r="D1076" s="47" t="s">
        <v>336</v>
      </c>
      <c r="E1076" s="47" t="s">
        <v>496</v>
      </c>
      <c r="H1076" s="47" t="s">
        <v>287</v>
      </c>
      <c r="I1076" s="47" t="s">
        <v>338</v>
      </c>
      <c r="L1076" s="15" t="s">
        <v>403</v>
      </c>
      <c r="M1076" s="15"/>
    </row>
    <row r="1077" spans="2:13" ht="15" customHeight="1">
      <c r="B1077" s="47">
        <v>962</v>
      </c>
      <c r="C1077" s="47" t="s">
        <v>138</v>
      </c>
      <c r="D1077" s="47" t="s">
        <v>336</v>
      </c>
      <c r="E1077" s="47" t="s">
        <v>497</v>
      </c>
      <c r="H1077" s="47" t="s">
        <v>287</v>
      </c>
      <c r="I1077" s="47" t="s">
        <v>338</v>
      </c>
      <c r="L1077" s="15" t="s">
        <v>403</v>
      </c>
      <c r="M1077" s="15"/>
    </row>
    <row r="1078" spans="2:13" ht="15" customHeight="1">
      <c r="B1078" s="47">
        <v>963</v>
      </c>
      <c r="C1078" s="47" t="s">
        <v>138</v>
      </c>
      <c r="D1078" s="47" t="s">
        <v>336</v>
      </c>
      <c r="E1078" s="47" t="s">
        <v>498</v>
      </c>
      <c r="H1078" s="47" t="s">
        <v>287</v>
      </c>
      <c r="I1078" s="47" t="s">
        <v>338</v>
      </c>
      <c r="L1078" s="15" t="s">
        <v>403</v>
      </c>
      <c r="M1078" s="15"/>
    </row>
    <row r="1079" spans="2:13" ht="15" customHeight="1">
      <c r="B1079" s="47">
        <v>964</v>
      </c>
      <c r="C1079" s="47" t="s">
        <v>138</v>
      </c>
      <c r="D1079" s="47" t="s">
        <v>336</v>
      </c>
      <c r="E1079" s="47" t="s">
        <v>499</v>
      </c>
      <c r="H1079" s="47" t="s">
        <v>287</v>
      </c>
      <c r="I1079" s="47" t="s">
        <v>338</v>
      </c>
      <c r="L1079" s="15" t="s">
        <v>403</v>
      </c>
      <c r="M1079" s="15"/>
    </row>
    <row r="1080" spans="2:13" ht="15" customHeight="1">
      <c r="B1080" s="47">
        <v>965</v>
      </c>
      <c r="C1080" s="47" t="s">
        <v>138</v>
      </c>
      <c r="D1080" s="47" t="s">
        <v>336</v>
      </c>
      <c r="E1080" s="47" t="s">
        <v>500</v>
      </c>
      <c r="H1080" s="47" t="s">
        <v>287</v>
      </c>
      <c r="I1080" s="47" t="s">
        <v>338</v>
      </c>
      <c r="L1080" s="15" t="s">
        <v>403</v>
      </c>
      <c r="M1080" s="15"/>
    </row>
    <row r="1081" spans="2:13" ht="15" customHeight="1">
      <c r="B1081" s="47">
        <v>966</v>
      </c>
      <c r="C1081" s="47" t="s">
        <v>138</v>
      </c>
      <c r="D1081" s="47" t="s">
        <v>336</v>
      </c>
      <c r="E1081" s="47" t="s">
        <v>501</v>
      </c>
      <c r="H1081" s="47" t="s">
        <v>287</v>
      </c>
      <c r="I1081" s="47" t="s">
        <v>338</v>
      </c>
      <c r="L1081" s="15" t="s">
        <v>403</v>
      </c>
      <c r="M1081" s="15"/>
    </row>
    <row r="1082" spans="2:13" ht="15" customHeight="1">
      <c r="B1082" s="47">
        <v>967</v>
      </c>
      <c r="C1082" s="47" t="s">
        <v>138</v>
      </c>
      <c r="D1082" s="47" t="s">
        <v>336</v>
      </c>
      <c r="E1082" s="47" t="s">
        <v>502</v>
      </c>
      <c r="H1082" s="47" t="s">
        <v>287</v>
      </c>
      <c r="I1082" s="47" t="s">
        <v>338</v>
      </c>
      <c r="L1082" s="15" t="s">
        <v>403</v>
      </c>
      <c r="M1082" s="15"/>
    </row>
    <row r="1083" spans="2:13" ht="15" customHeight="1">
      <c r="B1083" s="47">
        <v>968</v>
      </c>
      <c r="C1083" s="47" t="s">
        <v>138</v>
      </c>
      <c r="D1083" s="47" t="s">
        <v>336</v>
      </c>
      <c r="E1083" s="47" t="s">
        <v>503</v>
      </c>
      <c r="H1083" s="47" t="s">
        <v>287</v>
      </c>
      <c r="I1083" s="47" t="s">
        <v>338</v>
      </c>
      <c r="L1083" s="15" t="s">
        <v>403</v>
      </c>
      <c r="M1083" s="15"/>
    </row>
    <row r="1084" spans="2:13" ht="15" customHeight="1">
      <c r="B1084" s="47">
        <v>969</v>
      </c>
      <c r="C1084" s="47" t="s">
        <v>138</v>
      </c>
      <c r="D1084" s="47" t="s">
        <v>336</v>
      </c>
      <c r="E1084" s="47" t="s">
        <v>504</v>
      </c>
      <c r="H1084" s="47" t="s">
        <v>287</v>
      </c>
      <c r="I1084" s="47" t="s">
        <v>338</v>
      </c>
      <c r="L1084" s="15" t="s">
        <v>403</v>
      </c>
    </row>
    <row r="1085" spans="2:13" ht="15" customHeight="1">
      <c r="B1085" s="47">
        <v>970</v>
      </c>
      <c r="C1085" s="47" t="s">
        <v>138</v>
      </c>
      <c r="D1085" s="47" t="s">
        <v>336</v>
      </c>
      <c r="E1085" s="47" t="s">
        <v>1104</v>
      </c>
      <c r="H1085" s="47" t="s">
        <v>287</v>
      </c>
      <c r="I1085" s="47" t="s">
        <v>338</v>
      </c>
      <c r="L1085" s="47" t="s">
        <v>369</v>
      </c>
    </row>
    <row r="1086" spans="2:13" ht="15" customHeight="1">
      <c r="B1086" s="47">
        <v>971</v>
      </c>
      <c r="C1086" s="47" t="s">
        <v>138</v>
      </c>
      <c r="D1086" s="47" t="s">
        <v>336</v>
      </c>
      <c r="E1086" s="47" t="s">
        <v>505</v>
      </c>
      <c r="H1086" s="47" t="s">
        <v>287</v>
      </c>
      <c r="I1086" s="47" t="s">
        <v>338</v>
      </c>
      <c r="M1086" s="47" t="s">
        <v>506</v>
      </c>
    </row>
    <row r="1087" spans="2:13" ht="15" customHeight="1">
      <c r="B1087" s="47">
        <v>972</v>
      </c>
      <c r="C1087" s="47" t="s">
        <v>138</v>
      </c>
      <c r="D1087" s="47" t="s">
        <v>336</v>
      </c>
      <c r="E1087" s="47" t="s">
        <v>507</v>
      </c>
      <c r="H1087" s="47" t="s">
        <v>287</v>
      </c>
      <c r="I1087" s="47" t="s">
        <v>338</v>
      </c>
    </row>
    <row r="1088" spans="2:13" ht="15" customHeight="1">
      <c r="B1088" s="47">
        <v>973</v>
      </c>
      <c r="C1088" s="47" t="s">
        <v>138</v>
      </c>
      <c r="D1088" s="47" t="s">
        <v>336</v>
      </c>
      <c r="E1088" s="47" t="s">
        <v>508</v>
      </c>
      <c r="H1088" s="47" t="s">
        <v>287</v>
      </c>
      <c r="I1088" s="47" t="s">
        <v>338</v>
      </c>
    </row>
    <row r="1089" spans="2:13" ht="15" customHeight="1">
      <c r="B1089" s="47">
        <v>974</v>
      </c>
      <c r="C1089" s="47" t="s">
        <v>138</v>
      </c>
      <c r="D1089" s="47" t="s">
        <v>336</v>
      </c>
      <c r="E1089" s="47" t="s">
        <v>509</v>
      </c>
      <c r="H1089" s="47" t="s">
        <v>287</v>
      </c>
      <c r="I1089" s="47" t="s">
        <v>338</v>
      </c>
    </row>
    <row r="1090" spans="2:13" ht="15" customHeight="1">
      <c r="B1090" s="47">
        <v>975</v>
      </c>
      <c r="C1090" s="47" t="s">
        <v>138</v>
      </c>
      <c r="D1090" s="47" t="s">
        <v>336</v>
      </c>
      <c r="E1090" s="47" t="s">
        <v>510</v>
      </c>
      <c r="H1090" s="47" t="s">
        <v>287</v>
      </c>
      <c r="I1090" s="47" t="s">
        <v>338</v>
      </c>
    </row>
    <row r="1091" spans="2:13" ht="15" customHeight="1">
      <c r="B1091" s="47">
        <v>976</v>
      </c>
      <c r="C1091" s="47" t="s">
        <v>138</v>
      </c>
      <c r="D1091" s="47" t="s">
        <v>336</v>
      </c>
      <c r="E1091" s="47" t="s">
        <v>511</v>
      </c>
      <c r="H1091" s="47" t="s">
        <v>287</v>
      </c>
      <c r="I1091" s="47" t="s">
        <v>338</v>
      </c>
    </row>
    <row r="1092" spans="2:13" ht="15" customHeight="1">
      <c r="B1092" s="47">
        <v>977</v>
      </c>
      <c r="C1092" s="47" t="s">
        <v>138</v>
      </c>
      <c r="D1092" s="47" t="s">
        <v>336</v>
      </c>
      <c r="E1092" s="47" t="s">
        <v>512</v>
      </c>
      <c r="H1092" s="47" t="s">
        <v>287</v>
      </c>
      <c r="I1092" s="47" t="s">
        <v>338</v>
      </c>
    </row>
    <row r="1093" spans="2:13" ht="15" customHeight="1">
      <c r="B1093" s="47">
        <v>978</v>
      </c>
      <c r="C1093" s="47" t="s">
        <v>138</v>
      </c>
      <c r="D1093" s="47" t="s">
        <v>336</v>
      </c>
      <c r="E1093" s="47" t="s">
        <v>513</v>
      </c>
      <c r="H1093" s="47" t="s">
        <v>287</v>
      </c>
      <c r="I1093" s="47" t="s">
        <v>338</v>
      </c>
    </row>
    <row r="1094" spans="2:13" ht="15" customHeight="1">
      <c r="B1094" s="47">
        <v>979</v>
      </c>
      <c r="C1094" s="47" t="s">
        <v>138</v>
      </c>
      <c r="D1094" s="47" t="s">
        <v>336</v>
      </c>
      <c r="E1094" s="47" t="s">
        <v>514</v>
      </c>
      <c r="H1094" s="47" t="s">
        <v>287</v>
      </c>
      <c r="I1094" s="47" t="s">
        <v>338</v>
      </c>
    </row>
    <row r="1095" spans="2:13" ht="15" customHeight="1">
      <c r="B1095" s="47">
        <v>980</v>
      </c>
      <c r="C1095" s="47" t="s">
        <v>138</v>
      </c>
      <c r="D1095" s="47" t="s">
        <v>336</v>
      </c>
      <c r="E1095" s="47" t="s">
        <v>515</v>
      </c>
      <c r="H1095" s="47" t="s">
        <v>287</v>
      </c>
      <c r="I1095" s="47" t="s">
        <v>338</v>
      </c>
      <c r="M1095" s="47" t="s">
        <v>387</v>
      </c>
    </row>
    <row r="1096" spans="2:13" ht="15" customHeight="1">
      <c r="B1096" s="47">
        <v>981</v>
      </c>
      <c r="C1096" s="47" t="s">
        <v>138</v>
      </c>
      <c r="D1096" s="47" t="s">
        <v>336</v>
      </c>
      <c r="E1096" s="47" t="s">
        <v>516</v>
      </c>
      <c r="H1096" s="47" t="s">
        <v>287</v>
      </c>
      <c r="I1096" s="47" t="s">
        <v>338</v>
      </c>
      <c r="M1096" s="47" t="s">
        <v>387</v>
      </c>
    </row>
    <row r="1097" spans="2:13" ht="15" customHeight="1">
      <c r="B1097" s="47">
        <v>982</v>
      </c>
      <c r="C1097" s="47" t="s">
        <v>138</v>
      </c>
      <c r="D1097" s="47" t="s">
        <v>336</v>
      </c>
      <c r="E1097" s="47" t="s">
        <v>416</v>
      </c>
      <c r="H1097" s="47" t="s">
        <v>287</v>
      </c>
      <c r="I1097" s="47" t="s">
        <v>338</v>
      </c>
      <c r="L1097" s="47" t="s">
        <v>403</v>
      </c>
      <c r="M1097" s="47" t="s">
        <v>417</v>
      </c>
    </row>
    <row r="1098" spans="2:13" ht="15" customHeight="1">
      <c r="B1098" s="47">
        <v>983</v>
      </c>
      <c r="C1098" s="47" t="s">
        <v>138</v>
      </c>
      <c r="D1098" s="47" t="s">
        <v>336</v>
      </c>
      <c r="E1098" s="47" t="s">
        <v>418</v>
      </c>
      <c r="H1098" s="47" t="s">
        <v>287</v>
      </c>
      <c r="I1098" s="47" t="s">
        <v>338</v>
      </c>
      <c r="L1098" s="47" t="s">
        <v>403</v>
      </c>
      <c r="M1098" s="47" t="s">
        <v>417</v>
      </c>
    </row>
    <row r="1099" spans="2:13" ht="15" customHeight="1">
      <c r="B1099" s="47">
        <v>984</v>
      </c>
      <c r="C1099" s="47" t="s">
        <v>138</v>
      </c>
      <c r="D1099" s="47" t="s">
        <v>336</v>
      </c>
      <c r="E1099" s="47" t="s">
        <v>419</v>
      </c>
      <c r="H1099" s="47" t="s">
        <v>287</v>
      </c>
      <c r="I1099" s="47" t="s">
        <v>338</v>
      </c>
      <c r="L1099" s="47" t="s">
        <v>403</v>
      </c>
      <c r="M1099" s="47" t="s">
        <v>417</v>
      </c>
    </row>
    <row r="1100" spans="2:13" ht="15" customHeight="1">
      <c r="B1100" s="47">
        <v>985</v>
      </c>
      <c r="C1100" s="47" t="s">
        <v>138</v>
      </c>
      <c r="D1100" s="47" t="s">
        <v>336</v>
      </c>
      <c r="E1100" s="47" t="s">
        <v>420</v>
      </c>
      <c r="H1100" s="47" t="s">
        <v>287</v>
      </c>
      <c r="I1100" s="47" t="s">
        <v>338</v>
      </c>
      <c r="L1100" s="47" t="s">
        <v>403</v>
      </c>
      <c r="M1100" s="47" t="s">
        <v>417</v>
      </c>
    </row>
    <row r="1101" spans="2:13" ht="15" customHeight="1">
      <c r="B1101" s="47">
        <v>986</v>
      </c>
      <c r="C1101" s="47" t="s">
        <v>138</v>
      </c>
      <c r="D1101" s="47" t="s">
        <v>336</v>
      </c>
      <c r="E1101" s="47" t="s">
        <v>421</v>
      </c>
      <c r="H1101" s="47" t="s">
        <v>287</v>
      </c>
      <c r="I1101" s="47" t="s">
        <v>338</v>
      </c>
      <c r="L1101" s="47" t="s">
        <v>403</v>
      </c>
      <c r="M1101" s="47" t="s">
        <v>417</v>
      </c>
    </row>
    <row r="1102" spans="2:13" ht="15" customHeight="1">
      <c r="B1102" s="47">
        <v>987</v>
      </c>
      <c r="C1102" s="47" t="s">
        <v>138</v>
      </c>
      <c r="D1102" s="47" t="s">
        <v>336</v>
      </c>
      <c r="E1102" s="47" t="s">
        <v>422</v>
      </c>
      <c r="H1102" s="47" t="s">
        <v>287</v>
      </c>
      <c r="I1102" s="47" t="s">
        <v>338</v>
      </c>
      <c r="L1102" s="47" t="s">
        <v>403</v>
      </c>
      <c r="M1102" s="47" t="s">
        <v>417</v>
      </c>
    </row>
    <row r="1103" spans="2:13" ht="15" customHeight="1">
      <c r="B1103" s="47">
        <v>988</v>
      </c>
      <c r="C1103" s="47" t="s">
        <v>138</v>
      </c>
      <c r="D1103" s="47" t="s">
        <v>336</v>
      </c>
      <c r="E1103" s="47" t="s">
        <v>423</v>
      </c>
      <c r="H1103" s="47" t="s">
        <v>287</v>
      </c>
      <c r="I1103" s="47" t="s">
        <v>338</v>
      </c>
      <c r="L1103" s="47" t="s">
        <v>403</v>
      </c>
      <c r="M1103" s="47" t="s">
        <v>417</v>
      </c>
    </row>
    <row r="1104" spans="2:13" ht="15" customHeight="1">
      <c r="B1104" s="47">
        <v>989</v>
      </c>
      <c r="C1104" s="47" t="s">
        <v>138</v>
      </c>
      <c r="D1104" s="47" t="s">
        <v>336</v>
      </c>
      <c r="E1104" s="47" t="s">
        <v>424</v>
      </c>
      <c r="H1104" s="47" t="s">
        <v>287</v>
      </c>
      <c r="I1104" s="47" t="s">
        <v>338</v>
      </c>
      <c r="L1104" s="47" t="s">
        <v>403</v>
      </c>
      <c r="M1104" s="47" t="s">
        <v>417</v>
      </c>
    </row>
    <row r="1105" spans="2:14" ht="15" customHeight="1">
      <c r="B1105" s="47">
        <v>990</v>
      </c>
      <c r="C1105" s="47" t="s">
        <v>138</v>
      </c>
      <c r="D1105" s="47" t="s">
        <v>336</v>
      </c>
      <c r="E1105" s="47" t="s">
        <v>425</v>
      </c>
      <c r="H1105" s="47" t="s">
        <v>287</v>
      </c>
      <c r="I1105" s="47" t="s">
        <v>338</v>
      </c>
      <c r="L1105" s="47" t="s">
        <v>403</v>
      </c>
      <c r="M1105" s="47" t="s">
        <v>417</v>
      </c>
    </row>
    <row r="1106" spans="2:14" ht="15" customHeight="1">
      <c r="B1106" s="47">
        <v>991</v>
      </c>
      <c r="C1106" s="47" t="s">
        <v>138</v>
      </c>
      <c r="D1106" s="47" t="s">
        <v>336</v>
      </c>
      <c r="E1106" s="47" t="s">
        <v>426</v>
      </c>
      <c r="H1106" s="47" t="s">
        <v>287</v>
      </c>
      <c r="I1106" s="47" t="s">
        <v>338</v>
      </c>
      <c r="L1106" s="47" t="s">
        <v>403</v>
      </c>
      <c r="M1106" s="47" t="s">
        <v>417</v>
      </c>
    </row>
    <row r="1107" spans="2:14" ht="15" customHeight="1">
      <c r="B1107" s="47">
        <v>992</v>
      </c>
      <c r="C1107" s="47" t="s">
        <v>138</v>
      </c>
      <c r="D1107" s="47" t="s">
        <v>336</v>
      </c>
      <c r="E1107" s="47" t="s">
        <v>427</v>
      </c>
      <c r="H1107" s="47" t="s">
        <v>287</v>
      </c>
      <c r="I1107" s="47" t="s">
        <v>338</v>
      </c>
      <c r="L1107" s="47" t="s">
        <v>403</v>
      </c>
      <c r="M1107" s="47" t="s">
        <v>417</v>
      </c>
    </row>
    <row r="1108" spans="2:14" ht="15" customHeight="1">
      <c r="B1108" s="47">
        <v>993</v>
      </c>
      <c r="C1108" s="47" t="s">
        <v>138</v>
      </c>
      <c r="D1108" s="47" t="s">
        <v>336</v>
      </c>
      <c r="E1108" s="47" t="s">
        <v>428</v>
      </c>
      <c r="H1108" s="47" t="s">
        <v>287</v>
      </c>
      <c r="I1108" s="47" t="s">
        <v>338</v>
      </c>
      <c r="L1108" s="47" t="s">
        <v>403</v>
      </c>
      <c r="M1108" s="47" t="s">
        <v>417</v>
      </c>
    </row>
    <row r="1109" spans="2:14" ht="15" customHeight="1">
      <c r="B1109" s="47">
        <v>994</v>
      </c>
      <c r="C1109" s="47" t="s">
        <v>138</v>
      </c>
      <c r="D1109" s="47" t="s">
        <v>336</v>
      </c>
      <c r="E1109" s="47" t="s">
        <v>429</v>
      </c>
      <c r="H1109" s="47" t="s">
        <v>287</v>
      </c>
      <c r="I1109" s="47" t="s">
        <v>338</v>
      </c>
      <c r="L1109" s="47" t="s">
        <v>403</v>
      </c>
      <c r="M1109" s="47" t="s">
        <v>417</v>
      </c>
    </row>
    <row r="1110" spans="2:14" ht="15" customHeight="1">
      <c r="B1110" s="47">
        <v>995</v>
      </c>
      <c r="C1110" s="47" t="s">
        <v>138</v>
      </c>
      <c r="D1110" s="47" t="s">
        <v>336</v>
      </c>
      <c r="E1110" s="47" t="s">
        <v>430</v>
      </c>
      <c r="H1110" s="47" t="s">
        <v>287</v>
      </c>
      <c r="I1110" s="47" t="s">
        <v>338</v>
      </c>
      <c r="L1110" s="47" t="s">
        <v>403</v>
      </c>
      <c r="M1110" s="47" t="s">
        <v>417</v>
      </c>
      <c r="N1110" s="47" t="s">
        <v>354</v>
      </c>
    </row>
    <row r="1111" spans="2:14" ht="15" customHeight="1">
      <c r="B1111" s="47">
        <v>996</v>
      </c>
      <c r="C1111" s="47" t="s">
        <v>138</v>
      </c>
      <c r="D1111" s="47" t="s">
        <v>336</v>
      </c>
      <c r="E1111" s="47" t="s">
        <v>419</v>
      </c>
      <c r="H1111" s="47" t="s">
        <v>287</v>
      </c>
      <c r="I1111" s="47" t="s">
        <v>338</v>
      </c>
      <c r="L1111" s="47" t="s">
        <v>403</v>
      </c>
      <c r="M1111" s="47" t="s">
        <v>417</v>
      </c>
      <c r="N1111" s="47" t="s">
        <v>354</v>
      </c>
    </row>
    <row r="1112" spans="2:14" ht="15" customHeight="1">
      <c r="B1112" s="47">
        <v>997</v>
      </c>
      <c r="C1112" s="47" t="s">
        <v>138</v>
      </c>
      <c r="D1112" s="47" t="s">
        <v>336</v>
      </c>
      <c r="E1112" s="47" t="s">
        <v>418</v>
      </c>
      <c r="H1112" s="47" t="s">
        <v>287</v>
      </c>
      <c r="I1112" s="47" t="s">
        <v>338</v>
      </c>
      <c r="L1112" s="47" t="s">
        <v>403</v>
      </c>
      <c r="M1112" s="47" t="s">
        <v>417</v>
      </c>
      <c r="N1112" s="47" t="s">
        <v>354</v>
      </c>
    </row>
    <row r="1113" spans="2:14" ht="15" customHeight="1">
      <c r="B1113" s="47">
        <v>998</v>
      </c>
      <c r="C1113" s="47" t="s">
        <v>138</v>
      </c>
      <c r="D1113" s="47" t="s">
        <v>336</v>
      </c>
      <c r="E1113" s="47" t="s">
        <v>416</v>
      </c>
      <c r="H1113" s="47" t="s">
        <v>287</v>
      </c>
      <c r="I1113" s="47" t="s">
        <v>338</v>
      </c>
      <c r="L1113" s="47" t="s">
        <v>403</v>
      </c>
      <c r="M1113" s="47" t="s">
        <v>417</v>
      </c>
      <c r="N1113" s="47" t="s">
        <v>354</v>
      </c>
    </row>
    <row r="1114" spans="2:14" ht="15" customHeight="1">
      <c r="B1114" s="47">
        <v>1101</v>
      </c>
      <c r="C1114" s="47" t="s">
        <v>140</v>
      </c>
      <c r="D1114" s="47" t="s">
        <v>171</v>
      </c>
      <c r="E1114" s="47" t="s">
        <v>517</v>
      </c>
      <c r="H1114" s="47" t="s">
        <v>287</v>
      </c>
      <c r="I1114" s="47" t="s">
        <v>338</v>
      </c>
      <c r="M1114" s="47" t="s">
        <v>205</v>
      </c>
    </row>
    <row r="1115" spans="2:14" ht="15" customHeight="1">
      <c r="B1115" s="47">
        <v>1102</v>
      </c>
      <c r="C1115" s="47" t="s">
        <v>141</v>
      </c>
      <c r="D1115" s="47" t="s">
        <v>224</v>
      </c>
      <c r="E1115" s="47" t="s">
        <v>225</v>
      </c>
      <c r="H1115" s="47" t="s">
        <v>287</v>
      </c>
      <c r="I1115" s="47" t="s">
        <v>338</v>
      </c>
      <c r="M1115" s="47" t="s">
        <v>417</v>
      </c>
      <c r="N1115" s="47" t="s">
        <v>518</v>
      </c>
    </row>
    <row r="1116" spans="2:14" ht="15" customHeight="1">
      <c r="B1116" s="47">
        <v>1103</v>
      </c>
      <c r="C1116" s="47" t="s">
        <v>141</v>
      </c>
      <c r="D1116" s="47" t="s">
        <v>224</v>
      </c>
      <c r="E1116" s="47" t="s">
        <v>225</v>
      </c>
      <c r="H1116" s="47" t="s">
        <v>287</v>
      </c>
      <c r="I1116" s="47" t="s">
        <v>338</v>
      </c>
      <c r="M1116" s="47" t="s">
        <v>417</v>
      </c>
      <c r="N1116" s="47" t="s">
        <v>518</v>
      </c>
    </row>
    <row r="1117" spans="2:14" ht="15" customHeight="1">
      <c r="B1117" s="47">
        <v>1104</v>
      </c>
      <c r="C1117" s="47" t="s">
        <v>141</v>
      </c>
      <c r="D1117" s="47" t="s">
        <v>224</v>
      </c>
      <c r="E1117" s="47" t="s">
        <v>227</v>
      </c>
      <c r="H1117" s="47" t="s">
        <v>287</v>
      </c>
      <c r="I1117" s="47" t="s">
        <v>338</v>
      </c>
      <c r="M1117" s="47" t="s">
        <v>417</v>
      </c>
      <c r="N1117" s="47" t="s">
        <v>518</v>
      </c>
    </row>
    <row r="1118" spans="2:14" ht="15" customHeight="1">
      <c r="B1118" s="47">
        <v>1105</v>
      </c>
      <c r="C1118" s="47" t="s">
        <v>141</v>
      </c>
      <c r="D1118" s="47" t="s">
        <v>224</v>
      </c>
      <c r="E1118" s="47" t="s">
        <v>227</v>
      </c>
      <c r="H1118" s="47" t="s">
        <v>287</v>
      </c>
      <c r="I1118" s="47" t="s">
        <v>338</v>
      </c>
      <c r="M1118" s="47" t="s">
        <v>417</v>
      </c>
      <c r="N1118" s="47" t="s">
        <v>518</v>
      </c>
    </row>
    <row r="1119" spans="2:14" ht="15" customHeight="1">
      <c r="B1119" s="47">
        <v>1106</v>
      </c>
      <c r="C1119" s="47" t="s">
        <v>141</v>
      </c>
      <c r="D1119" s="47" t="s">
        <v>224</v>
      </c>
      <c r="E1119" s="47" t="s">
        <v>267</v>
      </c>
      <c r="H1119" s="47" t="s">
        <v>287</v>
      </c>
      <c r="I1119" s="47" t="s">
        <v>338</v>
      </c>
      <c r="M1119" s="47" t="s">
        <v>371</v>
      </c>
      <c r="N1119" s="47" t="s">
        <v>518</v>
      </c>
    </row>
    <row r="1120" spans="2:14" ht="15" customHeight="1">
      <c r="B1120" s="47">
        <v>1107</v>
      </c>
      <c r="C1120" s="47" t="s">
        <v>141</v>
      </c>
      <c r="D1120" s="47" t="s">
        <v>224</v>
      </c>
      <c r="E1120" s="16" t="s">
        <v>1103</v>
      </c>
      <c r="H1120" s="47" t="s">
        <v>287</v>
      </c>
      <c r="I1120" s="47" t="s">
        <v>338</v>
      </c>
      <c r="M1120" s="47" t="s">
        <v>371</v>
      </c>
      <c r="N1120" s="47" t="s">
        <v>518</v>
      </c>
    </row>
    <row r="1121" spans="2:14" ht="15" customHeight="1">
      <c r="B1121" s="47">
        <v>1108</v>
      </c>
      <c r="C1121" s="47" t="s">
        <v>141</v>
      </c>
      <c r="D1121" s="47" t="s">
        <v>224</v>
      </c>
      <c r="E1121" s="47" t="s">
        <v>228</v>
      </c>
      <c r="H1121" s="47" t="s">
        <v>287</v>
      </c>
      <c r="I1121" s="47" t="s">
        <v>338</v>
      </c>
      <c r="M1121" s="47" t="s">
        <v>371</v>
      </c>
      <c r="N1121" s="47" t="s">
        <v>518</v>
      </c>
    </row>
    <row r="1122" spans="2:14" ht="15" customHeight="1">
      <c r="B1122" s="47">
        <v>1109</v>
      </c>
      <c r="C1122" s="47" t="s">
        <v>141</v>
      </c>
      <c r="D1122" s="47" t="s">
        <v>224</v>
      </c>
      <c r="E1122" s="47" t="s">
        <v>519</v>
      </c>
      <c r="H1122" s="47" t="s">
        <v>287</v>
      </c>
      <c r="I1122" s="47" t="s">
        <v>338</v>
      </c>
      <c r="M1122" s="47" t="s">
        <v>404</v>
      </c>
      <c r="N1122" s="47" t="s">
        <v>518</v>
      </c>
    </row>
    <row r="1123" spans="2:14" ht="15" customHeight="1">
      <c r="B1123" s="47">
        <v>1110</v>
      </c>
      <c r="C1123" s="47" t="s">
        <v>141</v>
      </c>
      <c r="D1123" s="47" t="s">
        <v>224</v>
      </c>
      <c r="E1123" s="47" t="s">
        <v>225</v>
      </c>
      <c r="H1123" s="47" t="s">
        <v>287</v>
      </c>
      <c r="I1123" s="47" t="s">
        <v>338</v>
      </c>
      <c r="M1123" s="47" t="s">
        <v>417</v>
      </c>
      <c r="N1123" s="47" t="s">
        <v>520</v>
      </c>
    </row>
    <row r="1124" spans="2:14" ht="15" customHeight="1">
      <c r="B1124" s="47">
        <v>1111</v>
      </c>
      <c r="C1124" s="47" t="s">
        <v>141</v>
      </c>
      <c r="D1124" s="47" t="s">
        <v>224</v>
      </c>
      <c r="E1124" s="47" t="s">
        <v>225</v>
      </c>
      <c r="H1124" s="47" t="s">
        <v>287</v>
      </c>
      <c r="I1124" s="47" t="s">
        <v>338</v>
      </c>
      <c r="M1124" s="47" t="s">
        <v>417</v>
      </c>
      <c r="N1124" s="47" t="s">
        <v>520</v>
      </c>
    </row>
    <row r="1125" spans="2:14" ht="15" customHeight="1">
      <c r="B1125" s="47">
        <v>1112</v>
      </c>
      <c r="C1125" s="47" t="s">
        <v>141</v>
      </c>
      <c r="D1125" s="47" t="s">
        <v>224</v>
      </c>
      <c r="E1125" s="47" t="s">
        <v>227</v>
      </c>
      <c r="H1125" s="47" t="s">
        <v>287</v>
      </c>
      <c r="I1125" s="47" t="s">
        <v>338</v>
      </c>
      <c r="M1125" s="47" t="s">
        <v>417</v>
      </c>
      <c r="N1125" s="47" t="s">
        <v>520</v>
      </c>
    </row>
    <row r="1126" spans="2:14" ht="15" customHeight="1">
      <c r="B1126" s="47">
        <v>1113</v>
      </c>
      <c r="C1126" s="47" t="s">
        <v>141</v>
      </c>
      <c r="D1126" s="47" t="s">
        <v>224</v>
      </c>
      <c r="E1126" s="47" t="s">
        <v>227</v>
      </c>
      <c r="H1126" s="47" t="s">
        <v>287</v>
      </c>
      <c r="I1126" s="47" t="s">
        <v>338</v>
      </c>
      <c r="M1126" s="47" t="s">
        <v>417</v>
      </c>
      <c r="N1126" s="47" t="s">
        <v>520</v>
      </c>
    </row>
    <row r="1127" spans="2:14" ht="15" customHeight="1">
      <c r="B1127" s="47">
        <v>1114</v>
      </c>
      <c r="C1127" s="47" t="s">
        <v>141</v>
      </c>
      <c r="D1127" s="47" t="s">
        <v>224</v>
      </c>
      <c r="E1127" s="47" t="s">
        <v>267</v>
      </c>
      <c r="H1127" s="47" t="s">
        <v>287</v>
      </c>
      <c r="I1127" s="47" t="s">
        <v>338</v>
      </c>
      <c r="M1127" s="47" t="s">
        <v>371</v>
      </c>
      <c r="N1127" s="47" t="s">
        <v>520</v>
      </c>
    </row>
    <row r="1128" spans="2:14" ht="15" customHeight="1">
      <c r="B1128" s="47">
        <v>1115</v>
      </c>
      <c r="C1128" s="47" t="s">
        <v>141</v>
      </c>
      <c r="D1128" s="47" t="s">
        <v>224</v>
      </c>
      <c r="E1128" s="16" t="s">
        <v>1103</v>
      </c>
      <c r="H1128" s="47" t="s">
        <v>287</v>
      </c>
      <c r="I1128" s="47" t="s">
        <v>338</v>
      </c>
      <c r="M1128" s="47" t="s">
        <v>371</v>
      </c>
      <c r="N1128" s="47" t="s">
        <v>520</v>
      </c>
    </row>
    <row r="1129" spans="2:14" ht="15" customHeight="1">
      <c r="B1129" s="47">
        <v>1116</v>
      </c>
      <c r="C1129" s="47" t="s">
        <v>141</v>
      </c>
      <c r="D1129" s="47" t="s">
        <v>224</v>
      </c>
      <c r="E1129" s="47" t="s">
        <v>228</v>
      </c>
      <c r="H1129" s="47" t="s">
        <v>287</v>
      </c>
      <c r="I1129" s="47" t="s">
        <v>338</v>
      </c>
      <c r="M1129" s="47" t="s">
        <v>371</v>
      </c>
      <c r="N1129" s="47" t="s">
        <v>520</v>
      </c>
    </row>
    <row r="1130" spans="2:14" ht="15" customHeight="1">
      <c r="B1130" s="47">
        <v>1117</v>
      </c>
      <c r="C1130" s="47" t="s">
        <v>141</v>
      </c>
      <c r="D1130" s="47" t="s">
        <v>224</v>
      </c>
      <c r="E1130" s="47" t="s">
        <v>519</v>
      </c>
      <c r="H1130" s="47" t="s">
        <v>287</v>
      </c>
      <c r="I1130" s="47" t="s">
        <v>338</v>
      </c>
      <c r="M1130" s="47" t="s">
        <v>404</v>
      </c>
      <c r="N1130" s="47" t="s">
        <v>520</v>
      </c>
    </row>
    <row r="1131" spans="2:14" ht="15" customHeight="1">
      <c r="B1131" s="47">
        <v>1118</v>
      </c>
      <c r="C1131" s="47" t="s">
        <v>141</v>
      </c>
      <c r="D1131" s="47" t="s">
        <v>224</v>
      </c>
      <c r="E1131" s="47" t="s">
        <v>225</v>
      </c>
      <c r="H1131" s="47" t="s">
        <v>287</v>
      </c>
      <c r="I1131" s="47" t="s">
        <v>338</v>
      </c>
      <c r="M1131" s="47" t="s">
        <v>417</v>
      </c>
      <c r="N1131" s="47" t="s">
        <v>521</v>
      </c>
    </row>
    <row r="1132" spans="2:14" ht="15" customHeight="1">
      <c r="B1132" s="47">
        <v>1119</v>
      </c>
      <c r="C1132" s="47" t="s">
        <v>141</v>
      </c>
      <c r="D1132" s="47" t="s">
        <v>224</v>
      </c>
      <c r="E1132" s="47" t="s">
        <v>225</v>
      </c>
      <c r="H1132" s="47" t="s">
        <v>287</v>
      </c>
      <c r="I1132" s="47" t="s">
        <v>338</v>
      </c>
      <c r="M1132" s="47" t="s">
        <v>417</v>
      </c>
      <c r="N1132" s="47" t="s">
        <v>521</v>
      </c>
    </row>
    <row r="1133" spans="2:14" ht="15" customHeight="1">
      <c r="B1133" s="47">
        <v>1120</v>
      </c>
      <c r="C1133" s="47" t="s">
        <v>141</v>
      </c>
      <c r="D1133" s="47" t="s">
        <v>224</v>
      </c>
      <c r="E1133" s="47" t="s">
        <v>227</v>
      </c>
      <c r="H1133" s="47" t="s">
        <v>287</v>
      </c>
      <c r="I1133" s="47" t="s">
        <v>338</v>
      </c>
      <c r="M1133" s="47" t="s">
        <v>417</v>
      </c>
      <c r="N1133" s="47" t="s">
        <v>521</v>
      </c>
    </row>
    <row r="1134" spans="2:14" ht="15" customHeight="1">
      <c r="B1134" s="47">
        <v>1121</v>
      </c>
      <c r="C1134" s="47" t="s">
        <v>141</v>
      </c>
      <c r="D1134" s="47" t="s">
        <v>224</v>
      </c>
      <c r="E1134" s="47" t="s">
        <v>227</v>
      </c>
      <c r="H1134" s="47" t="s">
        <v>287</v>
      </c>
      <c r="I1134" s="47" t="s">
        <v>338</v>
      </c>
      <c r="M1134" s="47" t="s">
        <v>417</v>
      </c>
      <c r="N1134" s="47" t="s">
        <v>521</v>
      </c>
    </row>
    <row r="1135" spans="2:14" ht="15" customHeight="1">
      <c r="B1135" s="47">
        <v>1122</v>
      </c>
      <c r="C1135" s="47" t="s">
        <v>141</v>
      </c>
      <c r="D1135" s="47" t="s">
        <v>224</v>
      </c>
      <c r="E1135" s="47" t="s">
        <v>267</v>
      </c>
      <c r="H1135" s="47" t="s">
        <v>287</v>
      </c>
      <c r="I1135" s="47" t="s">
        <v>338</v>
      </c>
      <c r="M1135" s="47" t="s">
        <v>371</v>
      </c>
      <c r="N1135" s="47" t="s">
        <v>521</v>
      </c>
    </row>
    <row r="1136" spans="2:14" ht="15" customHeight="1">
      <c r="B1136" s="47">
        <v>1123</v>
      </c>
      <c r="C1136" s="47" t="s">
        <v>141</v>
      </c>
      <c r="D1136" s="47" t="s">
        <v>224</v>
      </c>
      <c r="E1136" s="16" t="s">
        <v>1103</v>
      </c>
      <c r="H1136" s="47" t="s">
        <v>287</v>
      </c>
      <c r="I1136" s="47" t="s">
        <v>338</v>
      </c>
      <c r="M1136" s="47" t="s">
        <v>371</v>
      </c>
      <c r="N1136" s="47" t="s">
        <v>521</v>
      </c>
    </row>
    <row r="1137" spans="2:16" ht="15" customHeight="1">
      <c r="B1137" s="47">
        <v>1124</v>
      </c>
      <c r="C1137" s="47" t="s">
        <v>141</v>
      </c>
      <c r="D1137" s="47" t="s">
        <v>224</v>
      </c>
      <c r="E1137" s="47" t="s">
        <v>228</v>
      </c>
      <c r="H1137" s="47" t="s">
        <v>287</v>
      </c>
      <c r="I1137" s="47" t="s">
        <v>338</v>
      </c>
      <c r="M1137" s="47" t="s">
        <v>371</v>
      </c>
      <c r="N1137" s="47" t="s">
        <v>521</v>
      </c>
    </row>
    <row r="1138" spans="2:16" ht="15" customHeight="1">
      <c r="B1138" s="47">
        <v>1125</v>
      </c>
      <c r="C1138" s="47" t="s">
        <v>141</v>
      </c>
      <c r="D1138" s="47" t="s">
        <v>224</v>
      </c>
      <c r="E1138" s="47" t="s">
        <v>519</v>
      </c>
      <c r="H1138" s="47" t="s">
        <v>287</v>
      </c>
      <c r="I1138" s="47" t="s">
        <v>338</v>
      </c>
      <c r="M1138" s="47" t="s">
        <v>404</v>
      </c>
      <c r="N1138" s="47" t="s">
        <v>521</v>
      </c>
    </row>
    <row r="1139" spans="2:16" ht="15" customHeight="1">
      <c r="B1139" s="47">
        <v>1126</v>
      </c>
      <c r="C1139" s="47" t="s">
        <v>141</v>
      </c>
      <c r="D1139" s="47" t="s">
        <v>224</v>
      </c>
      <c r="E1139" s="47" t="s">
        <v>522</v>
      </c>
      <c r="H1139" s="47" t="s">
        <v>287</v>
      </c>
      <c r="I1139" s="47" t="s">
        <v>338</v>
      </c>
      <c r="M1139" s="47" t="s">
        <v>292</v>
      </c>
      <c r="N1139" s="47" t="s">
        <v>518</v>
      </c>
    </row>
    <row r="1140" spans="2:16" ht="15" customHeight="1">
      <c r="B1140" s="47">
        <v>1127</v>
      </c>
      <c r="C1140" s="47" t="s">
        <v>141</v>
      </c>
      <c r="D1140" s="47" t="s">
        <v>224</v>
      </c>
      <c r="E1140" s="47" t="s">
        <v>1097</v>
      </c>
      <c r="H1140" s="47" t="s">
        <v>287</v>
      </c>
      <c r="I1140" s="47" t="s">
        <v>338</v>
      </c>
      <c r="M1140" s="47" t="s">
        <v>292</v>
      </c>
      <c r="N1140" s="47" t="s">
        <v>518</v>
      </c>
    </row>
    <row r="1141" spans="2:16" ht="15" customHeight="1">
      <c r="B1141" s="47">
        <v>1128</v>
      </c>
      <c r="C1141" s="47" t="s">
        <v>141</v>
      </c>
      <c r="D1141" s="47" t="s">
        <v>224</v>
      </c>
      <c r="E1141" s="47" t="s">
        <v>522</v>
      </c>
      <c r="H1141" s="47" t="s">
        <v>287</v>
      </c>
      <c r="I1141" s="47" t="s">
        <v>338</v>
      </c>
      <c r="M1141" s="47" t="s">
        <v>292</v>
      </c>
      <c r="N1141" s="47" t="s">
        <v>520</v>
      </c>
    </row>
    <row r="1142" spans="2:16" ht="15" customHeight="1">
      <c r="B1142" s="47">
        <v>1129</v>
      </c>
      <c r="C1142" s="47" t="s">
        <v>141</v>
      </c>
      <c r="D1142" s="47" t="s">
        <v>224</v>
      </c>
      <c r="E1142" s="47" t="s">
        <v>1097</v>
      </c>
      <c r="H1142" s="47" t="s">
        <v>287</v>
      </c>
      <c r="I1142" s="47" t="s">
        <v>338</v>
      </c>
      <c r="M1142" s="47" t="s">
        <v>292</v>
      </c>
      <c r="N1142" s="47" t="s">
        <v>520</v>
      </c>
    </row>
    <row r="1143" spans="2:16" ht="15" customHeight="1">
      <c r="B1143" s="47">
        <v>1130</v>
      </c>
      <c r="C1143" s="47" t="s">
        <v>141</v>
      </c>
      <c r="D1143" s="47" t="s">
        <v>224</v>
      </c>
      <c r="E1143" s="47" t="s">
        <v>522</v>
      </c>
      <c r="H1143" s="47" t="s">
        <v>287</v>
      </c>
      <c r="I1143" s="47" t="s">
        <v>338</v>
      </c>
      <c r="M1143" s="47" t="s">
        <v>292</v>
      </c>
      <c r="N1143" s="47" t="s">
        <v>521</v>
      </c>
    </row>
    <row r="1144" spans="2:16" ht="15" customHeight="1">
      <c r="B1144" s="47">
        <v>1131</v>
      </c>
      <c r="C1144" s="47" t="s">
        <v>141</v>
      </c>
      <c r="D1144" s="47" t="s">
        <v>224</v>
      </c>
      <c r="E1144" s="47" t="s">
        <v>1097</v>
      </c>
      <c r="H1144" s="47" t="s">
        <v>287</v>
      </c>
      <c r="I1144" s="47" t="s">
        <v>338</v>
      </c>
      <c r="M1144" s="47" t="s">
        <v>292</v>
      </c>
      <c r="N1144" s="47" t="s">
        <v>521</v>
      </c>
    </row>
    <row r="1145" spans="2:16" ht="15" customHeight="1">
      <c r="B1145" s="47">
        <v>1132</v>
      </c>
      <c r="C1145" s="47" t="s">
        <v>102</v>
      </c>
      <c r="D1145" s="47" t="s">
        <v>177</v>
      </c>
      <c r="E1145" s="47" t="s">
        <v>312</v>
      </c>
      <c r="F1145" s="47" t="s">
        <v>248</v>
      </c>
      <c r="H1145" s="47" t="s">
        <v>62</v>
      </c>
      <c r="L1145" s="41" t="s">
        <v>180</v>
      </c>
      <c r="M1145" s="15" t="s">
        <v>523</v>
      </c>
      <c r="O1145" s="47" t="s">
        <v>30</v>
      </c>
      <c r="P1145" s="47" t="s">
        <v>46</v>
      </c>
    </row>
    <row r="1146" spans="2:16" ht="15" customHeight="1">
      <c r="B1146" s="47">
        <v>1133</v>
      </c>
      <c r="C1146" s="47" t="s">
        <v>102</v>
      </c>
      <c r="D1146" s="47" t="s">
        <v>177</v>
      </c>
      <c r="E1146" s="47" t="s">
        <v>312</v>
      </c>
      <c r="F1146" s="47" t="s">
        <v>524</v>
      </c>
      <c r="H1146" s="47" t="s">
        <v>62</v>
      </c>
      <c r="L1146" s="15" t="s">
        <v>314</v>
      </c>
      <c r="M1146" s="15" t="s">
        <v>523</v>
      </c>
      <c r="O1146" s="47" t="s">
        <v>30</v>
      </c>
      <c r="P1146" s="47" t="s">
        <v>46</v>
      </c>
    </row>
    <row r="1147" spans="2:16" ht="15" customHeight="1">
      <c r="B1147" s="47">
        <v>1134</v>
      </c>
      <c r="C1147" s="47" t="s">
        <v>102</v>
      </c>
      <c r="D1147" s="47" t="s">
        <v>177</v>
      </c>
      <c r="E1147" s="47" t="s">
        <v>312</v>
      </c>
      <c r="F1147" s="47" t="s">
        <v>524</v>
      </c>
      <c r="H1147" s="47" t="s">
        <v>62</v>
      </c>
      <c r="L1147" s="15" t="s">
        <v>314</v>
      </c>
      <c r="M1147" s="15" t="s">
        <v>523</v>
      </c>
      <c r="O1147" s="47" t="s">
        <v>30</v>
      </c>
      <c r="P1147" s="47" t="s">
        <v>46</v>
      </c>
    </row>
    <row r="1148" spans="2:16" ht="15" customHeight="1">
      <c r="B1148" s="47">
        <v>1135</v>
      </c>
      <c r="C1148" s="47" t="s">
        <v>102</v>
      </c>
      <c r="D1148" s="47" t="s">
        <v>177</v>
      </c>
      <c r="E1148" s="47" t="s">
        <v>312</v>
      </c>
      <c r="F1148" s="47" t="s">
        <v>524</v>
      </c>
      <c r="H1148" s="47" t="s">
        <v>62</v>
      </c>
      <c r="L1148" s="15" t="s">
        <v>314</v>
      </c>
      <c r="M1148" s="15" t="s">
        <v>523</v>
      </c>
      <c r="O1148" s="47" t="s">
        <v>30</v>
      </c>
      <c r="P1148" s="47" t="s">
        <v>46</v>
      </c>
    </row>
    <row r="1149" spans="2:16" ht="15" customHeight="1">
      <c r="B1149" s="47">
        <v>1136</v>
      </c>
      <c r="C1149" s="47" t="s">
        <v>102</v>
      </c>
      <c r="D1149" s="47" t="s">
        <v>177</v>
      </c>
      <c r="E1149" s="47" t="s">
        <v>312</v>
      </c>
      <c r="F1149" s="47" t="s">
        <v>242</v>
      </c>
      <c r="H1149" s="47" t="s">
        <v>62</v>
      </c>
      <c r="L1149" s="15" t="s">
        <v>314</v>
      </c>
      <c r="M1149" s="15" t="s">
        <v>523</v>
      </c>
      <c r="O1149" s="47" t="s">
        <v>30</v>
      </c>
      <c r="P1149" s="47" t="s">
        <v>46</v>
      </c>
    </row>
    <row r="1150" spans="2:16" ht="15" customHeight="1">
      <c r="B1150" s="47">
        <v>1137</v>
      </c>
      <c r="C1150" s="47" t="s">
        <v>102</v>
      </c>
      <c r="D1150" s="47" t="s">
        <v>177</v>
      </c>
      <c r="E1150" s="47" t="s">
        <v>312</v>
      </c>
      <c r="F1150" s="47" t="s">
        <v>242</v>
      </c>
      <c r="H1150" s="47" t="s">
        <v>62</v>
      </c>
      <c r="L1150" s="15" t="s">
        <v>314</v>
      </c>
      <c r="M1150" s="15" t="s">
        <v>523</v>
      </c>
      <c r="O1150" s="47" t="s">
        <v>30</v>
      </c>
      <c r="P1150" s="47" t="s">
        <v>46</v>
      </c>
    </row>
    <row r="1151" spans="2:16" ht="15" customHeight="1">
      <c r="B1151" s="47">
        <v>1138</v>
      </c>
      <c r="C1151" s="47" t="s">
        <v>102</v>
      </c>
      <c r="D1151" s="47" t="s">
        <v>177</v>
      </c>
      <c r="E1151" s="47" t="s">
        <v>312</v>
      </c>
      <c r="F1151" s="47" t="s">
        <v>242</v>
      </c>
      <c r="H1151" s="47" t="s">
        <v>62</v>
      </c>
      <c r="L1151" s="15" t="s">
        <v>314</v>
      </c>
      <c r="M1151" s="15" t="s">
        <v>523</v>
      </c>
      <c r="O1151" s="47" t="s">
        <v>30</v>
      </c>
      <c r="P1151" s="47" t="s">
        <v>46</v>
      </c>
    </row>
    <row r="1152" spans="2:16" ht="15" customHeight="1">
      <c r="B1152" s="47">
        <v>1139</v>
      </c>
      <c r="C1152" s="47" t="s">
        <v>102</v>
      </c>
      <c r="D1152" s="47" t="s">
        <v>177</v>
      </c>
      <c r="E1152" s="47" t="s">
        <v>312</v>
      </c>
      <c r="F1152" s="47" t="s">
        <v>324</v>
      </c>
      <c r="H1152" s="47" t="s">
        <v>62</v>
      </c>
      <c r="L1152" s="15" t="s">
        <v>314</v>
      </c>
      <c r="M1152" s="15" t="s">
        <v>523</v>
      </c>
      <c r="O1152" s="47" t="s">
        <v>30</v>
      </c>
      <c r="P1152" s="47" t="s">
        <v>46</v>
      </c>
    </row>
    <row r="1153" spans="2:16" ht="15" customHeight="1">
      <c r="B1153" s="47">
        <v>1140</v>
      </c>
      <c r="C1153" s="47" t="s">
        <v>102</v>
      </c>
      <c r="D1153" s="47" t="s">
        <v>177</v>
      </c>
      <c r="E1153" s="47" t="s">
        <v>312</v>
      </c>
      <c r="F1153" s="47" t="s">
        <v>324</v>
      </c>
      <c r="H1153" s="47" t="s">
        <v>62</v>
      </c>
      <c r="L1153" s="15" t="s">
        <v>314</v>
      </c>
      <c r="M1153" s="15" t="s">
        <v>523</v>
      </c>
      <c r="O1153" s="47" t="s">
        <v>30</v>
      </c>
      <c r="P1153" s="47" t="s">
        <v>46</v>
      </c>
    </row>
    <row r="1154" spans="2:16" ht="15" customHeight="1">
      <c r="B1154" s="47">
        <v>1141</v>
      </c>
      <c r="C1154" s="47" t="s">
        <v>102</v>
      </c>
      <c r="D1154" s="47" t="s">
        <v>177</v>
      </c>
      <c r="E1154" s="47" t="s">
        <v>312</v>
      </c>
      <c r="F1154" s="47" t="s">
        <v>525</v>
      </c>
      <c r="H1154" s="47" t="s">
        <v>62</v>
      </c>
      <c r="L1154" s="15" t="s">
        <v>314</v>
      </c>
      <c r="M1154" s="15" t="s">
        <v>523</v>
      </c>
      <c r="O1154" s="47" t="s">
        <v>30</v>
      </c>
      <c r="P1154" s="47" t="s">
        <v>46</v>
      </c>
    </row>
    <row r="1155" spans="2:16" ht="15" customHeight="1">
      <c r="B1155" s="47">
        <v>1142</v>
      </c>
      <c r="C1155" s="47" t="s">
        <v>102</v>
      </c>
      <c r="D1155" s="47" t="s">
        <v>177</v>
      </c>
      <c r="E1155" s="47" t="s">
        <v>312</v>
      </c>
      <c r="F1155" s="47" t="s">
        <v>525</v>
      </c>
      <c r="H1155" s="47" t="s">
        <v>62</v>
      </c>
      <c r="L1155" s="15" t="s">
        <v>314</v>
      </c>
      <c r="M1155" s="15" t="s">
        <v>523</v>
      </c>
      <c r="O1155" s="47" t="s">
        <v>30</v>
      </c>
      <c r="P1155" s="47" t="s">
        <v>46</v>
      </c>
    </row>
    <row r="1156" spans="2:16" ht="15" customHeight="1">
      <c r="B1156" s="47">
        <v>1143</v>
      </c>
      <c r="C1156" s="47" t="s">
        <v>102</v>
      </c>
      <c r="D1156" s="47" t="s">
        <v>177</v>
      </c>
      <c r="E1156" s="47" t="s">
        <v>312</v>
      </c>
      <c r="F1156" s="47" t="s">
        <v>525</v>
      </c>
      <c r="H1156" s="47" t="s">
        <v>62</v>
      </c>
      <c r="L1156" s="15" t="s">
        <v>314</v>
      </c>
      <c r="M1156" s="15" t="s">
        <v>523</v>
      </c>
      <c r="O1156" s="47" t="s">
        <v>30</v>
      </c>
      <c r="P1156" s="47" t="s">
        <v>46</v>
      </c>
    </row>
    <row r="1157" spans="2:16" ht="15" customHeight="1">
      <c r="B1157" s="47">
        <v>1144</v>
      </c>
      <c r="C1157" s="47" t="s">
        <v>102</v>
      </c>
      <c r="D1157" s="47" t="s">
        <v>177</v>
      </c>
      <c r="E1157" s="47" t="s">
        <v>312</v>
      </c>
      <c r="F1157" s="47" t="s">
        <v>245</v>
      </c>
      <c r="H1157" s="47" t="s">
        <v>62</v>
      </c>
      <c r="L1157" s="15" t="s">
        <v>314</v>
      </c>
      <c r="M1157" s="15" t="s">
        <v>523</v>
      </c>
      <c r="O1157" s="47" t="s">
        <v>30</v>
      </c>
      <c r="P1157" s="47" t="s">
        <v>46</v>
      </c>
    </row>
    <row r="1158" spans="2:16" ht="15" customHeight="1">
      <c r="B1158" s="47">
        <v>1145</v>
      </c>
      <c r="C1158" s="47" t="s">
        <v>102</v>
      </c>
      <c r="D1158" s="47" t="s">
        <v>177</v>
      </c>
      <c r="E1158" s="47" t="s">
        <v>312</v>
      </c>
      <c r="F1158" s="47" t="s">
        <v>245</v>
      </c>
      <c r="H1158" s="47" t="s">
        <v>62</v>
      </c>
      <c r="L1158" s="15" t="s">
        <v>314</v>
      </c>
      <c r="M1158" s="15" t="s">
        <v>523</v>
      </c>
      <c r="O1158" s="47" t="s">
        <v>30</v>
      </c>
      <c r="P1158" s="47" t="s">
        <v>46</v>
      </c>
    </row>
    <row r="1159" spans="2:16" ht="15" customHeight="1">
      <c r="B1159" s="47">
        <v>1146</v>
      </c>
      <c r="C1159" s="47" t="s">
        <v>102</v>
      </c>
      <c r="D1159" s="47" t="s">
        <v>177</v>
      </c>
      <c r="E1159" s="47" t="s">
        <v>312</v>
      </c>
      <c r="F1159" s="47" t="s">
        <v>245</v>
      </c>
      <c r="H1159" s="47" t="s">
        <v>62</v>
      </c>
      <c r="L1159" s="15" t="s">
        <v>314</v>
      </c>
      <c r="M1159" s="15" t="s">
        <v>523</v>
      </c>
      <c r="O1159" s="47" t="s">
        <v>30</v>
      </c>
      <c r="P1159" s="47" t="s">
        <v>46</v>
      </c>
    </row>
    <row r="1160" spans="2:16" ht="15" customHeight="1">
      <c r="B1160" s="47">
        <v>1147</v>
      </c>
      <c r="C1160" s="47" t="s">
        <v>102</v>
      </c>
      <c r="D1160" s="47" t="s">
        <v>177</v>
      </c>
      <c r="E1160" s="47" t="s">
        <v>312</v>
      </c>
      <c r="F1160" s="47" t="s">
        <v>191</v>
      </c>
      <c r="G1160" s="47" t="s">
        <v>254</v>
      </c>
      <c r="H1160" s="47" t="s">
        <v>62</v>
      </c>
      <c r="I1160" s="47" t="s">
        <v>47</v>
      </c>
      <c r="L1160" s="15" t="s">
        <v>314</v>
      </c>
      <c r="M1160" s="15" t="s">
        <v>523</v>
      </c>
      <c r="O1160" s="47" t="s">
        <v>30</v>
      </c>
      <c r="P1160" s="47" t="s">
        <v>46</v>
      </c>
    </row>
    <row r="1161" spans="2:16" ht="15" customHeight="1">
      <c r="B1161" s="47">
        <v>1148</v>
      </c>
      <c r="C1161" s="47" t="s">
        <v>102</v>
      </c>
      <c r="D1161" s="47" t="s">
        <v>177</v>
      </c>
      <c r="E1161" s="47" t="s">
        <v>312</v>
      </c>
      <c r="F1161" s="47" t="s">
        <v>325</v>
      </c>
      <c r="G1161" s="47" t="s">
        <v>254</v>
      </c>
      <c r="H1161" s="47" t="s">
        <v>62</v>
      </c>
      <c r="I1161" s="47" t="s">
        <v>47</v>
      </c>
      <c r="L1161" s="15" t="s">
        <v>314</v>
      </c>
      <c r="M1161" s="15" t="s">
        <v>523</v>
      </c>
      <c r="O1161" s="47" t="s">
        <v>30</v>
      </c>
      <c r="P1161" s="47" t="s">
        <v>46</v>
      </c>
    </row>
    <row r="1162" spans="2:16" ht="15" customHeight="1">
      <c r="B1162" s="47">
        <v>1149</v>
      </c>
      <c r="C1162" s="47" t="s">
        <v>102</v>
      </c>
      <c r="D1162" s="47" t="s">
        <v>177</v>
      </c>
      <c r="E1162" s="47" t="s">
        <v>312</v>
      </c>
      <c r="F1162" s="47" t="s">
        <v>248</v>
      </c>
      <c r="G1162" s="47" t="s">
        <v>254</v>
      </c>
      <c r="H1162" s="47" t="s">
        <v>62</v>
      </c>
      <c r="I1162" s="47" t="s">
        <v>47</v>
      </c>
      <c r="L1162" s="15" t="s">
        <v>314</v>
      </c>
      <c r="M1162" s="15" t="s">
        <v>523</v>
      </c>
      <c r="O1162" s="47" t="s">
        <v>30</v>
      </c>
      <c r="P1162" s="47" t="s">
        <v>46</v>
      </c>
    </row>
    <row r="1163" spans="2:16" ht="15" customHeight="1">
      <c r="B1163" s="47">
        <v>1150</v>
      </c>
      <c r="C1163" s="47" t="s">
        <v>102</v>
      </c>
      <c r="D1163" s="47" t="s">
        <v>177</v>
      </c>
      <c r="E1163" s="47" t="s">
        <v>312</v>
      </c>
      <c r="F1163" s="47" t="s">
        <v>242</v>
      </c>
      <c r="G1163" s="47">
        <v>1</v>
      </c>
      <c r="H1163" s="47" t="s">
        <v>62</v>
      </c>
      <c r="I1163" s="47" t="s">
        <v>47</v>
      </c>
      <c r="L1163" s="15" t="s">
        <v>314</v>
      </c>
      <c r="M1163" s="15" t="s">
        <v>523</v>
      </c>
      <c r="O1163" s="47" t="s">
        <v>30</v>
      </c>
      <c r="P1163" s="47" t="s">
        <v>46</v>
      </c>
    </row>
    <row r="1164" spans="2:16" ht="15" customHeight="1">
      <c r="B1164" s="47">
        <v>1151</v>
      </c>
      <c r="C1164" s="47" t="s">
        <v>102</v>
      </c>
      <c r="D1164" s="47" t="s">
        <v>177</v>
      </c>
      <c r="E1164" s="47" t="s">
        <v>312</v>
      </c>
      <c r="F1164" s="47" t="s">
        <v>242</v>
      </c>
      <c r="G1164" s="47">
        <v>1</v>
      </c>
      <c r="H1164" s="47" t="s">
        <v>62</v>
      </c>
      <c r="I1164" s="47" t="s">
        <v>47</v>
      </c>
      <c r="L1164" s="15" t="s">
        <v>314</v>
      </c>
      <c r="M1164" s="15" t="s">
        <v>523</v>
      </c>
      <c r="O1164" s="47" t="s">
        <v>30</v>
      </c>
      <c r="P1164" s="47" t="s">
        <v>46</v>
      </c>
    </row>
    <row r="1165" spans="2:16" ht="15" customHeight="1">
      <c r="B1165" s="47">
        <v>1152</v>
      </c>
      <c r="C1165" s="47" t="s">
        <v>102</v>
      </c>
      <c r="D1165" s="47" t="s">
        <v>177</v>
      </c>
      <c r="E1165" s="47" t="s">
        <v>312</v>
      </c>
      <c r="F1165" s="47" t="s">
        <v>242</v>
      </c>
      <c r="G1165" s="47">
        <v>1</v>
      </c>
      <c r="H1165" s="47" t="s">
        <v>62</v>
      </c>
      <c r="I1165" s="47" t="s">
        <v>47</v>
      </c>
      <c r="L1165" s="15" t="s">
        <v>314</v>
      </c>
      <c r="M1165" s="15" t="s">
        <v>523</v>
      </c>
      <c r="O1165" s="47" t="s">
        <v>30</v>
      </c>
      <c r="P1165" s="47" t="s">
        <v>46</v>
      </c>
    </row>
    <row r="1166" spans="2:16" ht="15" customHeight="1">
      <c r="B1166" s="47">
        <v>1153</v>
      </c>
      <c r="C1166" s="47" t="s">
        <v>102</v>
      </c>
      <c r="D1166" s="47" t="s">
        <v>177</v>
      </c>
      <c r="E1166" s="47" t="s">
        <v>312</v>
      </c>
      <c r="F1166" s="47" t="s">
        <v>245</v>
      </c>
      <c r="G1166" s="47">
        <v>1</v>
      </c>
      <c r="H1166" s="47" t="s">
        <v>62</v>
      </c>
      <c r="I1166" s="47" t="s">
        <v>47</v>
      </c>
      <c r="L1166" s="15" t="s">
        <v>314</v>
      </c>
      <c r="M1166" s="15" t="s">
        <v>523</v>
      </c>
      <c r="O1166" s="47" t="s">
        <v>30</v>
      </c>
      <c r="P1166" s="47" t="s">
        <v>46</v>
      </c>
    </row>
    <row r="1167" spans="2:16" ht="15" customHeight="1">
      <c r="B1167" s="47">
        <v>1154</v>
      </c>
      <c r="C1167" s="47" t="s">
        <v>102</v>
      </c>
      <c r="D1167" s="47" t="s">
        <v>177</v>
      </c>
      <c r="E1167" s="47" t="s">
        <v>312</v>
      </c>
      <c r="F1167" s="47" t="s">
        <v>245</v>
      </c>
      <c r="G1167" s="47">
        <v>1</v>
      </c>
      <c r="H1167" s="47" t="s">
        <v>62</v>
      </c>
      <c r="I1167" s="47" t="s">
        <v>47</v>
      </c>
      <c r="L1167" s="15" t="s">
        <v>314</v>
      </c>
      <c r="M1167" s="15" t="s">
        <v>523</v>
      </c>
      <c r="O1167" s="47" t="s">
        <v>30</v>
      </c>
      <c r="P1167" s="47" t="s">
        <v>46</v>
      </c>
    </row>
    <row r="1168" spans="2:16" ht="15" customHeight="1">
      <c r="B1168" s="47">
        <v>1155</v>
      </c>
      <c r="C1168" s="47" t="s">
        <v>102</v>
      </c>
      <c r="D1168" s="47" t="s">
        <v>177</v>
      </c>
      <c r="E1168" s="47" t="s">
        <v>312</v>
      </c>
      <c r="F1168" s="47" t="s">
        <v>525</v>
      </c>
      <c r="G1168" s="47" t="s">
        <v>254</v>
      </c>
      <c r="H1168" s="47" t="s">
        <v>62</v>
      </c>
      <c r="I1168" s="47" t="s">
        <v>47</v>
      </c>
      <c r="L1168" s="15" t="s">
        <v>314</v>
      </c>
      <c r="M1168" s="15" t="s">
        <v>523</v>
      </c>
      <c r="O1168" s="47" t="s">
        <v>30</v>
      </c>
      <c r="P1168" s="47" t="s">
        <v>46</v>
      </c>
    </row>
    <row r="1169" spans="2:16" ht="15" customHeight="1">
      <c r="B1169" s="47">
        <v>1156</v>
      </c>
      <c r="C1169" s="47" t="s">
        <v>102</v>
      </c>
      <c r="D1169" s="47" t="s">
        <v>177</v>
      </c>
      <c r="E1169" s="47" t="s">
        <v>312</v>
      </c>
      <c r="F1169" s="47" t="s">
        <v>525</v>
      </c>
      <c r="G1169" s="47" t="s">
        <v>254</v>
      </c>
      <c r="H1169" s="47" t="s">
        <v>62</v>
      </c>
      <c r="I1169" s="47" t="s">
        <v>47</v>
      </c>
      <c r="L1169" s="15" t="s">
        <v>314</v>
      </c>
      <c r="M1169" s="15" t="s">
        <v>523</v>
      </c>
      <c r="O1169" s="47" t="s">
        <v>30</v>
      </c>
      <c r="P1169" s="47" t="s">
        <v>46</v>
      </c>
    </row>
    <row r="1170" spans="2:16" ht="15" customHeight="1">
      <c r="B1170" s="47">
        <v>1157</v>
      </c>
      <c r="C1170" s="47" t="s">
        <v>102</v>
      </c>
      <c r="D1170" s="47" t="s">
        <v>177</v>
      </c>
      <c r="E1170" s="47" t="s">
        <v>312</v>
      </c>
      <c r="F1170" s="47" t="s">
        <v>324</v>
      </c>
      <c r="G1170" s="47">
        <v>1</v>
      </c>
      <c r="H1170" s="47" t="s">
        <v>62</v>
      </c>
      <c r="I1170" s="47" t="s">
        <v>47</v>
      </c>
      <c r="L1170" s="15" t="s">
        <v>314</v>
      </c>
      <c r="M1170" s="15" t="s">
        <v>523</v>
      </c>
      <c r="O1170" s="47" t="s">
        <v>30</v>
      </c>
      <c r="P1170" s="47" t="s">
        <v>46</v>
      </c>
    </row>
    <row r="1171" spans="2:16" ht="15" customHeight="1">
      <c r="B1171" s="47">
        <v>1158</v>
      </c>
      <c r="C1171" s="47" t="s">
        <v>102</v>
      </c>
      <c r="D1171" s="47" t="s">
        <v>177</v>
      </c>
      <c r="E1171" s="47" t="s">
        <v>312</v>
      </c>
      <c r="F1171" s="47" t="s">
        <v>324</v>
      </c>
      <c r="G1171" s="47">
        <v>1</v>
      </c>
      <c r="H1171" s="47" t="s">
        <v>62</v>
      </c>
      <c r="I1171" s="47" t="s">
        <v>47</v>
      </c>
      <c r="L1171" s="15" t="s">
        <v>314</v>
      </c>
      <c r="M1171" s="15" t="s">
        <v>523</v>
      </c>
      <c r="O1171" s="47" t="s">
        <v>30</v>
      </c>
      <c r="P1171" s="47" t="s">
        <v>46</v>
      </c>
    </row>
    <row r="1172" spans="2:16" ht="15" customHeight="1">
      <c r="B1172" s="47">
        <v>1159</v>
      </c>
      <c r="C1172" s="47" t="s">
        <v>102</v>
      </c>
      <c r="D1172" s="47" t="s">
        <v>177</v>
      </c>
      <c r="E1172" s="47" t="s">
        <v>312</v>
      </c>
      <c r="F1172" s="47" t="s">
        <v>191</v>
      </c>
      <c r="G1172" s="47" t="s">
        <v>254</v>
      </c>
      <c r="H1172" s="47" t="s">
        <v>62</v>
      </c>
      <c r="I1172" s="47" t="s">
        <v>47</v>
      </c>
      <c r="L1172" s="15" t="s">
        <v>314</v>
      </c>
      <c r="M1172" s="15" t="s">
        <v>523</v>
      </c>
      <c r="O1172" s="47" t="s">
        <v>30</v>
      </c>
      <c r="P1172" s="47" t="s">
        <v>46</v>
      </c>
    </row>
    <row r="1173" spans="2:16" ht="15" customHeight="1">
      <c r="B1173" s="47">
        <v>1160</v>
      </c>
      <c r="C1173" s="47" t="s">
        <v>102</v>
      </c>
      <c r="D1173" s="47" t="s">
        <v>177</v>
      </c>
      <c r="E1173" s="47" t="s">
        <v>312</v>
      </c>
      <c r="F1173" s="47" t="s">
        <v>191</v>
      </c>
      <c r="G1173" s="47">
        <v>1</v>
      </c>
      <c r="H1173" s="47" t="s">
        <v>62</v>
      </c>
      <c r="I1173" s="47" t="s">
        <v>47</v>
      </c>
      <c r="L1173" s="15" t="s">
        <v>314</v>
      </c>
      <c r="M1173" s="15" t="s">
        <v>523</v>
      </c>
      <c r="O1173" s="47" t="s">
        <v>30</v>
      </c>
      <c r="P1173" s="47" t="s">
        <v>46</v>
      </c>
    </row>
    <row r="1174" spans="2:16" ht="15" customHeight="1">
      <c r="B1174" s="47">
        <v>1161</v>
      </c>
      <c r="C1174" s="47" t="s">
        <v>102</v>
      </c>
      <c r="D1174" s="47" t="s">
        <v>204</v>
      </c>
      <c r="E1174" s="47" t="s">
        <v>312</v>
      </c>
      <c r="H1174" s="47" t="s">
        <v>62</v>
      </c>
      <c r="I1174" s="47" t="s">
        <v>47</v>
      </c>
      <c r="L1174" s="15" t="s">
        <v>314</v>
      </c>
      <c r="M1174" s="15" t="s">
        <v>523</v>
      </c>
      <c r="O1174" s="47" t="s">
        <v>30</v>
      </c>
      <c r="P1174" s="47" t="s">
        <v>46</v>
      </c>
    </row>
    <row r="1175" spans="2:16" ht="15" customHeight="1">
      <c r="B1175" s="47">
        <v>1162</v>
      </c>
      <c r="C1175" s="47" t="s">
        <v>102</v>
      </c>
      <c r="D1175" s="47" t="s">
        <v>204</v>
      </c>
      <c r="E1175" s="47" t="s">
        <v>312</v>
      </c>
      <c r="H1175" s="47" t="s">
        <v>62</v>
      </c>
      <c r="I1175" s="47" t="s">
        <v>47</v>
      </c>
      <c r="L1175" s="15" t="s">
        <v>314</v>
      </c>
      <c r="M1175" s="15" t="s">
        <v>523</v>
      </c>
      <c r="O1175" s="47" t="s">
        <v>30</v>
      </c>
      <c r="P1175" s="47" t="s">
        <v>46</v>
      </c>
    </row>
    <row r="1176" spans="2:16" ht="15" customHeight="1">
      <c r="B1176" s="47">
        <v>1163</v>
      </c>
      <c r="C1176" s="47" t="s">
        <v>102</v>
      </c>
      <c r="D1176" s="47" t="s">
        <v>204</v>
      </c>
      <c r="E1176" s="47" t="s">
        <v>312</v>
      </c>
      <c r="H1176" s="47" t="s">
        <v>62</v>
      </c>
      <c r="I1176" s="47" t="s">
        <v>47</v>
      </c>
      <c r="L1176" s="15" t="s">
        <v>314</v>
      </c>
      <c r="M1176" s="15" t="s">
        <v>523</v>
      </c>
      <c r="O1176" s="47" t="s">
        <v>30</v>
      </c>
      <c r="P1176" s="47" t="s">
        <v>46</v>
      </c>
    </row>
    <row r="1177" spans="2:16" ht="15" customHeight="1">
      <c r="B1177" s="47">
        <v>1164</v>
      </c>
      <c r="C1177" s="47" t="s">
        <v>106</v>
      </c>
      <c r="D1177" s="47" t="s">
        <v>177</v>
      </c>
      <c r="E1177" s="47" t="s">
        <v>312</v>
      </c>
      <c r="F1177" s="47" t="s">
        <v>258</v>
      </c>
      <c r="G1177" s="47">
        <v>1</v>
      </c>
      <c r="H1177" s="47" t="s">
        <v>62</v>
      </c>
      <c r="I1177" s="47" t="s">
        <v>30</v>
      </c>
      <c r="L1177" s="15" t="s">
        <v>314</v>
      </c>
      <c r="M1177" s="15" t="s">
        <v>527</v>
      </c>
      <c r="O1177" s="47" t="s">
        <v>30</v>
      </c>
      <c r="P1177" s="47" t="s">
        <v>46</v>
      </c>
    </row>
    <row r="1178" spans="2:16" ht="15" customHeight="1">
      <c r="B1178" s="47">
        <v>1165</v>
      </c>
      <c r="C1178" s="47" t="s">
        <v>106</v>
      </c>
      <c r="D1178" s="47" t="s">
        <v>177</v>
      </c>
      <c r="E1178" s="47" t="s">
        <v>312</v>
      </c>
      <c r="F1178" s="47" t="s">
        <v>258</v>
      </c>
      <c r="G1178" s="47">
        <v>1</v>
      </c>
      <c r="H1178" s="47" t="s">
        <v>62</v>
      </c>
      <c r="I1178" s="47" t="s">
        <v>30</v>
      </c>
      <c r="L1178" s="15" t="s">
        <v>314</v>
      </c>
      <c r="M1178" s="15" t="s">
        <v>527</v>
      </c>
      <c r="O1178" s="47" t="s">
        <v>30</v>
      </c>
      <c r="P1178" s="47" t="s">
        <v>46</v>
      </c>
    </row>
    <row r="1179" spans="2:16" ht="15" customHeight="1">
      <c r="B1179" s="47">
        <v>1166</v>
      </c>
      <c r="C1179" s="47" t="s">
        <v>106</v>
      </c>
      <c r="D1179" s="47" t="s">
        <v>177</v>
      </c>
      <c r="E1179" s="47" t="s">
        <v>312</v>
      </c>
      <c r="F1179" s="47" t="s">
        <v>186</v>
      </c>
      <c r="G1179" s="47">
        <v>1</v>
      </c>
      <c r="L1179" s="15" t="s">
        <v>314</v>
      </c>
      <c r="M1179" s="15" t="s">
        <v>527</v>
      </c>
      <c r="O1179" s="47" t="s">
        <v>30</v>
      </c>
      <c r="P1179" s="47" t="s">
        <v>46</v>
      </c>
    </row>
    <row r="1180" spans="2:16" ht="15" customHeight="1">
      <c r="B1180" s="47">
        <v>1167</v>
      </c>
      <c r="C1180" s="47" t="s">
        <v>106</v>
      </c>
      <c r="D1180" s="47" t="s">
        <v>177</v>
      </c>
      <c r="E1180" s="47" t="s">
        <v>312</v>
      </c>
      <c r="F1180" s="47" t="s">
        <v>324</v>
      </c>
      <c r="G1180" s="47">
        <v>1</v>
      </c>
      <c r="H1180" s="47" t="s">
        <v>62</v>
      </c>
      <c r="I1180" s="47" t="s">
        <v>30</v>
      </c>
      <c r="L1180" s="15" t="s">
        <v>314</v>
      </c>
      <c r="M1180" s="15" t="s">
        <v>527</v>
      </c>
      <c r="O1180" s="47" t="s">
        <v>30</v>
      </c>
      <c r="P1180" s="47" t="s">
        <v>46</v>
      </c>
    </row>
    <row r="1181" spans="2:16" ht="15" customHeight="1">
      <c r="B1181" s="47">
        <v>1168</v>
      </c>
      <c r="C1181" s="47" t="s">
        <v>106</v>
      </c>
      <c r="D1181" s="47" t="s">
        <v>177</v>
      </c>
      <c r="E1181" s="47" t="s">
        <v>312</v>
      </c>
      <c r="F1181" s="47" t="s">
        <v>285</v>
      </c>
      <c r="G1181" s="47" t="s">
        <v>254</v>
      </c>
      <c r="H1181" s="47" t="s">
        <v>62</v>
      </c>
      <c r="I1181" s="47" t="s">
        <v>30</v>
      </c>
      <c r="L1181" s="15" t="s">
        <v>314</v>
      </c>
      <c r="M1181" s="15" t="s">
        <v>527</v>
      </c>
      <c r="O1181" s="47" t="s">
        <v>30</v>
      </c>
      <c r="P1181" s="47" t="s">
        <v>46</v>
      </c>
    </row>
    <row r="1182" spans="2:16" ht="15" customHeight="1">
      <c r="B1182" s="47">
        <v>1169</v>
      </c>
      <c r="C1182" s="47" t="s">
        <v>106</v>
      </c>
      <c r="D1182" s="47" t="s">
        <v>177</v>
      </c>
      <c r="E1182" s="47" t="s">
        <v>312</v>
      </c>
      <c r="F1182" s="47" t="s">
        <v>285</v>
      </c>
      <c r="G1182" s="47" t="s">
        <v>254</v>
      </c>
      <c r="H1182" s="47" t="s">
        <v>62</v>
      </c>
      <c r="I1182" s="47" t="s">
        <v>30</v>
      </c>
      <c r="L1182" s="15" t="s">
        <v>314</v>
      </c>
      <c r="M1182" s="15" t="s">
        <v>527</v>
      </c>
      <c r="O1182" s="47" t="s">
        <v>30</v>
      </c>
      <c r="P1182" s="47" t="s">
        <v>46</v>
      </c>
    </row>
    <row r="1183" spans="2:16" ht="15" customHeight="1">
      <c r="B1183" s="47">
        <v>1170</v>
      </c>
      <c r="C1183" s="47" t="s">
        <v>106</v>
      </c>
      <c r="D1183" s="47" t="s">
        <v>177</v>
      </c>
      <c r="E1183" s="47" t="s">
        <v>312</v>
      </c>
      <c r="F1183" s="47" t="s">
        <v>285</v>
      </c>
      <c r="G1183" s="47" t="s">
        <v>254</v>
      </c>
      <c r="H1183" s="47" t="s">
        <v>62</v>
      </c>
      <c r="I1183" s="47" t="s">
        <v>30</v>
      </c>
      <c r="L1183" s="15" t="s">
        <v>314</v>
      </c>
      <c r="M1183" s="15" t="s">
        <v>527</v>
      </c>
      <c r="O1183" s="47" t="s">
        <v>30</v>
      </c>
      <c r="P1183" s="47" t="s">
        <v>46</v>
      </c>
    </row>
    <row r="1184" spans="2:16" ht="15" customHeight="1">
      <c r="B1184" s="47">
        <v>1171</v>
      </c>
      <c r="C1184" s="47" t="s">
        <v>102</v>
      </c>
      <c r="D1184" s="47" t="s">
        <v>177</v>
      </c>
      <c r="E1184" s="47" t="s">
        <v>312</v>
      </c>
      <c r="F1184" s="47" t="s">
        <v>245</v>
      </c>
      <c r="H1184" s="47" t="s">
        <v>62</v>
      </c>
      <c r="L1184" s="15" t="s">
        <v>314</v>
      </c>
      <c r="M1184" s="15" t="s">
        <v>523</v>
      </c>
      <c r="O1184" s="47" t="s">
        <v>30</v>
      </c>
      <c r="P1184" s="47" t="s">
        <v>46</v>
      </c>
    </row>
    <row r="1185" spans="2:16" ht="15" customHeight="1">
      <c r="B1185" s="47">
        <v>1172</v>
      </c>
      <c r="C1185" s="47" t="s">
        <v>102</v>
      </c>
      <c r="D1185" s="47" t="s">
        <v>177</v>
      </c>
      <c r="E1185" s="47" t="s">
        <v>312</v>
      </c>
      <c r="F1185" s="47" t="s">
        <v>192</v>
      </c>
      <c r="G1185" s="47">
        <v>1</v>
      </c>
      <c r="H1185" s="47" t="s">
        <v>62</v>
      </c>
      <c r="I1185" s="47" t="s">
        <v>47</v>
      </c>
      <c r="L1185" s="15" t="s">
        <v>314</v>
      </c>
      <c r="M1185" s="15" t="s">
        <v>523</v>
      </c>
      <c r="O1185" s="47" t="s">
        <v>30</v>
      </c>
      <c r="P1185" s="47" t="s">
        <v>46</v>
      </c>
    </row>
    <row r="1186" spans="2:16" ht="15" customHeight="1">
      <c r="B1186" s="47">
        <v>1173</v>
      </c>
      <c r="C1186" s="47" t="s">
        <v>102</v>
      </c>
      <c r="D1186" s="47" t="s">
        <v>177</v>
      </c>
      <c r="E1186" s="47" t="s">
        <v>312</v>
      </c>
      <c r="F1186" s="47" t="s">
        <v>192</v>
      </c>
      <c r="H1186" s="47" t="s">
        <v>62</v>
      </c>
      <c r="I1186" s="47" t="s">
        <v>47</v>
      </c>
      <c r="L1186" s="15" t="s">
        <v>314</v>
      </c>
      <c r="M1186" s="15" t="s">
        <v>523</v>
      </c>
      <c r="O1186" s="47" t="s">
        <v>30</v>
      </c>
      <c r="P1186" s="47" t="s">
        <v>46</v>
      </c>
    </row>
    <row r="1187" spans="2:16" ht="15" customHeight="1">
      <c r="B1187" s="47">
        <v>1174</v>
      </c>
      <c r="C1187" s="47" t="s">
        <v>102</v>
      </c>
      <c r="D1187" s="47" t="s">
        <v>177</v>
      </c>
      <c r="E1187" s="47" t="s">
        <v>312</v>
      </c>
      <c r="F1187" s="47" t="s">
        <v>247</v>
      </c>
      <c r="G1187" s="47">
        <v>1</v>
      </c>
      <c r="H1187" s="47" t="s">
        <v>62</v>
      </c>
      <c r="I1187" s="47" t="s">
        <v>47</v>
      </c>
      <c r="L1187" s="15" t="s">
        <v>314</v>
      </c>
      <c r="M1187" s="15" t="s">
        <v>523</v>
      </c>
      <c r="O1187" s="47" t="s">
        <v>30</v>
      </c>
      <c r="P1187" s="47" t="s">
        <v>46</v>
      </c>
    </row>
    <row r="1188" spans="2:16" ht="15" customHeight="1">
      <c r="B1188" s="47">
        <v>1175</v>
      </c>
      <c r="C1188" s="47" t="s">
        <v>102</v>
      </c>
      <c r="D1188" s="47" t="s">
        <v>177</v>
      </c>
      <c r="E1188" s="47" t="s">
        <v>312</v>
      </c>
      <c r="F1188" s="47" t="s">
        <v>247</v>
      </c>
      <c r="G1188" s="47">
        <v>1</v>
      </c>
      <c r="H1188" s="47" t="s">
        <v>62</v>
      </c>
      <c r="I1188" s="47" t="s">
        <v>47</v>
      </c>
      <c r="L1188" s="15" t="s">
        <v>314</v>
      </c>
      <c r="M1188" s="15" t="s">
        <v>523</v>
      </c>
      <c r="O1188" s="47" t="s">
        <v>30</v>
      </c>
      <c r="P1188" s="47" t="s">
        <v>46</v>
      </c>
    </row>
    <row r="1189" spans="2:16" ht="15" customHeight="1">
      <c r="B1189" s="47">
        <v>1176</v>
      </c>
      <c r="C1189" s="47" t="s">
        <v>102</v>
      </c>
      <c r="D1189" s="47" t="s">
        <v>177</v>
      </c>
      <c r="E1189" s="47" t="s">
        <v>312</v>
      </c>
      <c r="F1189" s="47" t="s">
        <v>247</v>
      </c>
      <c r="G1189" s="47">
        <v>1</v>
      </c>
      <c r="H1189" s="47" t="s">
        <v>62</v>
      </c>
      <c r="I1189" s="47" t="s">
        <v>47</v>
      </c>
      <c r="L1189" s="15" t="s">
        <v>314</v>
      </c>
      <c r="M1189" s="15" t="s">
        <v>523</v>
      </c>
      <c r="O1189" s="47" t="s">
        <v>30</v>
      </c>
      <c r="P1189" s="47" t="s">
        <v>46</v>
      </c>
    </row>
    <row r="1190" spans="2:16" ht="15" customHeight="1">
      <c r="B1190" s="47">
        <v>1177</v>
      </c>
      <c r="C1190" s="47" t="s">
        <v>102</v>
      </c>
      <c r="D1190" s="47" t="s">
        <v>177</v>
      </c>
      <c r="E1190" s="47" t="s">
        <v>312</v>
      </c>
      <c r="F1190" s="47" t="s">
        <v>247</v>
      </c>
      <c r="G1190" s="47">
        <v>1</v>
      </c>
      <c r="H1190" s="47" t="s">
        <v>62</v>
      </c>
      <c r="I1190" s="47" t="s">
        <v>47</v>
      </c>
      <c r="L1190" s="15" t="s">
        <v>314</v>
      </c>
      <c r="M1190" s="15" t="s">
        <v>523</v>
      </c>
      <c r="O1190" s="47" t="s">
        <v>30</v>
      </c>
      <c r="P1190" s="47" t="s">
        <v>46</v>
      </c>
    </row>
    <row r="1191" spans="2:16" ht="15" customHeight="1">
      <c r="B1191" s="47">
        <v>1178</v>
      </c>
      <c r="C1191" s="47" t="s">
        <v>102</v>
      </c>
      <c r="D1191" s="47" t="s">
        <v>177</v>
      </c>
      <c r="E1191" s="47" t="s">
        <v>312</v>
      </c>
      <c r="F1191" s="47" t="s">
        <v>247</v>
      </c>
      <c r="G1191" s="47">
        <v>1</v>
      </c>
      <c r="H1191" s="47" t="s">
        <v>62</v>
      </c>
      <c r="I1191" s="47" t="s">
        <v>47</v>
      </c>
      <c r="L1191" s="15" t="s">
        <v>314</v>
      </c>
      <c r="M1191" s="15" t="s">
        <v>523</v>
      </c>
      <c r="O1191" s="47" t="s">
        <v>30</v>
      </c>
      <c r="P1191" s="47" t="s">
        <v>46</v>
      </c>
    </row>
    <row r="1192" spans="2:16" ht="15" customHeight="1">
      <c r="B1192" s="47">
        <v>1179</v>
      </c>
      <c r="C1192" s="47" t="s">
        <v>102</v>
      </c>
      <c r="D1192" s="47" t="s">
        <v>177</v>
      </c>
      <c r="E1192" s="47" t="s">
        <v>312</v>
      </c>
      <c r="F1192" s="47" t="s">
        <v>247</v>
      </c>
      <c r="G1192" s="47">
        <v>1</v>
      </c>
      <c r="H1192" s="47" t="s">
        <v>62</v>
      </c>
      <c r="I1192" s="47" t="s">
        <v>47</v>
      </c>
      <c r="L1192" s="15" t="s">
        <v>314</v>
      </c>
      <c r="M1192" s="15" t="s">
        <v>523</v>
      </c>
      <c r="O1192" s="47" t="s">
        <v>30</v>
      </c>
      <c r="P1192" s="47" t="s">
        <v>46</v>
      </c>
    </row>
    <row r="1193" spans="2:16" ht="15" customHeight="1">
      <c r="B1193" s="47">
        <v>1180</v>
      </c>
      <c r="C1193" s="47" t="s">
        <v>102</v>
      </c>
      <c r="D1193" s="47" t="s">
        <v>177</v>
      </c>
      <c r="E1193" s="47" t="s">
        <v>312</v>
      </c>
      <c r="F1193" s="47" t="s">
        <v>248</v>
      </c>
      <c r="H1193" s="47" t="s">
        <v>62</v>
      </c>
      <c r="I1193" s="47" t="s">
        <v>47</v>
      </c>
      <c r="L1193" s="15" t="s">
        <v>314</v>
      </c>
      <c r="M1193" s="15" t="s">
        <v>523</v>
      </c>
      <c r="O1193" s="47" t="s">
        <v>30</v>
      </c>
      <c r="P1193" s="47" t="s">
        <v>46</v>
      </c>
    </row>
    <row r="1194" spans="2:16" ht="15" customHeight="1">
      <c r="B1194" s="47">
        <v>1181</v>
      </c>
      <c r="C1194" s="47" t="s">
        <v>106</v>
      </c>
      <c r="D1194" s="47" t="s">
        <v>177</v>
      </c>
      <c r="E1194" s="47" t="s">
        <v>312</v>
      </c>
      <c r="F1194" s="47" t="s">
        <v>281</v>
      </c>
      <c r="G1194" s="47">
        <v>1</v>
      </c>
      <c r="H1194" s="47" t="s">
        <v>62</v>
      </c>
      <c r="L1194" s="15" t="s">
        <v>314</v>
      </c>
      <c r="M1194" s="15" t="s">
        <v>523</v>
      </c>
      <c r="O1194" s="47" t="s">
        <v>30</v>
      </c>
      <c r="P1194" s="47" t="s">
        <v>46</v>
      </c>
    </row>
    <row r="1195" spans="2:16" ht="15" customHeight="1">
      <c r="B1195" s="47">
        <v>1182</v>
      </c>
      <c r="C1195" s="47" t="s">
        <v>106</v>
      </c>
      <c r="D1195" s="47" t="s">
        <v>177</v>
      </c>
      <c r="E1195" s="47" t="s">
        <v>312</v>
      </c>
      <c r="F1195" s="47" t="s">
        <v>281</v>
      </c>
      <c r="G1195" s="47">
        <v>1</v>
      </c>
      <c r="H1195" s="47" t="s">
        <v>62</v>
      </c>
      <c r="L1195" s="15" t="s">
        <v>314</v>
      </c>
      <c r="M1195" s="15" t="s">
        <v>523</v>
      </c>
      <c r="O1195" s="47" t="s">
        <v>30</v>
      </c>
      <c r="P1195" s="47" t="s">
        <v>46</v>
      </c>
    </row>
    <row r="1196" spans="2:16" ht="15" customHeight="1">
      <c r="B1196" s="47">
        <v>1183</v>
      </c>
      <c r="C1196" s="47" t="s">
        <v>106</v>
      </c>
      <c r="D1196" s="47" t="s">
        <v>177</v>
      </c>
      <c r="E1196" s="47" t="s">
        <v>312</v>
      </c>
      <c r="F1196" s="47" t="s">
        <v>245</v>
      </c>
      <c r="G1196" s="47">
        <v>1</v>
      </c>
      <c r="H1196" s="47" t="s">
        <v>62</v>
      </c>
      <c r="I1196" s="47" t="s">
        <v>30</v>
      </c>
      <c r="L1196" s="15" t="s">
        <v>314</v>
      </c>
      <c r="M1196" s="15" t="s">
        <v>523</v>
      </c>
      <c r="O1196" s="47" t="s">
        <v>30</v>
      </c>
      <c r="P1196" s="47" t="s">
        <v>46</v>
      </c>
    </row>
    <row r="1197" spans="2:16" ht="15" customHeight="1">
      <c r="B1197" s="47">
        <v>1184</v>
      </c>
      <c r="C1197" s="47" t="s">
        <v>106</v>
      </c>
      <c r="D1197" s="47" t="s">
        <v>177</v>
      </c>
      <c r="E1197" s="47" t="s">
        <v>312</v>
      </c>
      <c r="F1197" s="47" t="s">
        <v>284</v>
      </c>
      <c r="G1197" s="47">
        <v>1</v>
      </c>
      <c r="H1197" s="47" t="s">
        <v>62</v>
      </c>
      <c r="I1197" s="47" t="s">
        <v>30</v>
      </c>
      <c r="L1197" s="15" t="s">
        <v>314</v>
      </c>
      <c r="M1197" s="15" t="s">
        <v>523</v>
      </c>
      <c r="O1197" s="47" t="s">
        <v>30</v>
      </c>
      <c r="P1197" s="47" t="s">
        <v>46</v>
      </c>
    </row>
    <row r="1198" spans="2:16" ht="15" customHeight="1">
      <c r="B1198" s="47">
        <v>1185</v>
      </c>
      <c r="C1198" s="47" t="s">
        <v>106</v>
      </c>
      <c r="D1198" s="47" t="s">
        <v>177</v>
      </c>
      <c r="E1198" s="47" t="s">
        <v>312</v>
      </c>
      <c r="F1198" s="47" t="s">
        <v>284</v>
      </c>
      <c r="G1198" s="47">
        <v>1</v>
      </c>
      <c r="H1198" s="47" t="s">
        <v>62</v>
      </c>
      <c r="I1198" s="47" t="s">
        <v>30</v>
      </c>
      <c r="L1198" s="15" t="s">
        <v>314</v>
      </c>
      <c r="M1198" s="15" t="s">
        <v>523</v>
      </c>
      <c r="O1198" s="47" t="s">
        <v>30</v>
      </c>
      <c r="P1198" s="47" t="s">
        <v>46</v>
      </c>
    </row>
    <row r="1199" spans="2:16" ht="15" customHeight="1">
      <c r="B1199" s="47">
        <v>1186</v>
      </c>
      <c r="C1199" s="47" t="s">
        <v>106</v>
      </c>
      <c r="D1199" s="47" t="s">
        <v>177</v>
      </c>
      <c r="E1199" s="47" t="s">
        <v>312</v>
      </c>
      <c r="F1199" s="47" t="s">
        <v>185</v>
      </c>
      <c r="G1199" s="47">
        <v>1</v>
      </c>
      <c r="H1199" s="47" t="s">
        <v>62</v>
      </c>
      <c r="I1199" s="47" t="s">
        <v>30</v>
      </c>
      <c r="L1199" s="15" t="s">
        <v>314</v>
      </c>
      <c r="M1199" s="15" t="s">
        <v>523</v>
      </c>
      <c r="O1199" s="47" t="s">
        <v>30</v>
      </c>
      <c r="P1199" s="47" t="s">
        <v>46</v>
      </c>
    </row>
    <row r="1200" spans="2:16" ht="15" customHeight="1">
      <c r="B1200" s="47">
        <v>1187</v>
      </c>
      <c r="C1200" s="47" t="s">
        <v>106</v>
      </c>
      <c r="D1200" s="47" t="s">
        <v>177</v>
      </c>
      <c r="E1200" s="47" t="s">
        <v>312</v>
      </c>
      <c r="F1200" s="47" t="s">
        <v>185</v>
      </c>
      <c r="G1200" s="47">
        <v>1</v>
      </c>
      <c r="H1200" s="47" t="s">
        <v>62</v>
      </c>
      <c r="I1200" s="47" t="s">
        <v>30</v>
      </c>
      <c r="L1200" s="15" t="s">
        <v>314</v>
      </c>
      <c r="M1200" s="15" t="s">
        <v>523</v>
      </c>
      <c r="O1200" s="47" t="s">
        <v>30</v>
      </c>
      <c r="P1200" s="47" t="s">
        <v>46</v>
      </c>
    </row>
    <row r="1201" spans="2:31" ht="15" customHeight="1">
      <c r="B1201" s="47">
        <v>1188</v>
      </c>
      <c r="C1201" s="47" t="s">
        <v>106</v>
      </c>
      <c r="D1201" s="47" t="s">
        <v>177</v>
      </c>
      <c r="E1201" s="47" t="s">
        <v>312</v>
      </c>
      <c r="F1201" s="47" t="s">
        <v>185</v>
      </c>
      <c r="G1201" s="47">
        <v>1</v>
      </c>
      <c r="H1201" s="47" t="s">
        <v>62</v>
      </c>
      <c r="I1201" s="47" t="s">
        <v>30</v>
      </c>
      <c r="L1201" s="15" t="s">
        <v>314</v>
      </c>
      <c r="M1201" s="15" t="s">
        <v>523</v>
      </c>
      <c r="O1201" s="47" t="s">
        <v>30</v>
      </c>
      <c r="P1201" s="47" t="s">
        <v>46</v>
      </c>
    </row>
    <row r="1202" spans="2:31" ht="15" customHeight="1">
      <c r="B1202" s="47">
        <v>1189</v>
      </c>
      <c r="C1202" s="47" t="s">
        <v>106</v>
      </c>
      <c r="D1202" s="47" t="s">
        <v>177</v>
      </c>
      <c r="E1202" s="47" t="s">
        <v>312</v>
      </c>
      <c r="F1202" s="47" t="s">
        <v>185</v>
      </c>
      <c r="G1202" s="47">
        <v>1</v>
      </c>
      <c r="H1202" s="47" t="s">
        <v>62</v>
      </c>
      <c r="I1202" s="47" t="s">
        <v>30</v>
      </c>
      <c r="L1202" s="15" t="s">
        <v>314</v>
      </c>
      <c r="M1202" s="15" t="s">
        <v>523</v>
      </c>
      <c r="O1202" s="47" t="s">
        <v>30</v>
      </c>
      <c r="P1202" s="47" t="s">
        <v>46</v>
      </c>
    </row>
    <row r="1203" spans="2:31" ht="15" customHeight="1">
      <c r="B1203" s="47">
        <v>1190</v>
      </c>
      <c r="C1203" s="47" t="s">
        <v>106</v>
      </c>
      <c r="D1203" s="47" t="s">
        <v>177</v>
      </c>
      <c r="E1203" s="47" t="s">
        <v>312</v>
      </c>
      <c r="F1203" s="47" t="s">
        <v>185</v>
      </c>
      <c r="G1203" s="47">
        <v>1</v>
      </c>
      <c r="H1203" s="47" t="s">
        <v>62</v>
      </c>
      <c r="I1203" s="47" t="s">
        <v>30</v>
      </c>
      <c r="L1203" s="15" t="s">
        <v>314</v>
      </c>
      <c r="M1203" s="15" t="s">
        <v>523</v>
      </c>
      <c r="O1203" s="47" t="s">
        <v>30</v>
      </c>
      <c r="P1203" s="47" t="s">
        <v>46</v>
      </c>
    </row>
    <row r="1204" spans="2:31" ht="15" customHeight="1">
      <c r="B1204" s="47">
        <v>1191</v>
      </c>
      <c r="C1204" s="47" t="s">
        <v>106</v>
      </c>
      <c r="D1204" s="47" t="s">
        <v>177</v>
      </c>
      <c r="E1204" s="47" t="s">
        <v>312</v>
      </c>
      <c r="F1204" s="47" t="s">
        <v>185</v>
      </c>
      <c r="G1204" s="47">
        <v>1</v>
      </c>
      <c r="H1204" s="47" t="s">
        <v>62</v>
      </c>
      <c r="I1204" s="47" t="s">
        <v>30</v>
      </c>
      <c r="L1204" s="15" t="s">
        <v>314</v>
      </c>
      <c r="M1204" s="15" t="s">
        <v>523</v>
      </c>
      <c r="O1204" s="47" t="s">
        <v>30</v>
      </c>
      <c r="P1204" s="47" t="s">
        <v>46</v>
      </c>
    </row>
    <row r="1205" spans="2:31" ht="15" customHeight="1">
      <c r="B1205" s="47">
        <v>1192</v>
      </c>
      <c r="C1205" s="47" t="s">
        <v>106</v>
      </c>
      <c r="D1205" s="47" t="s">
        <v>177</v>
      </c>
      <c r="E1205" s="47" t="s">
        <v>312</v>
      </c>
      <c r="F1205" s="47" t="s">
        <v>185</v>
      </c>
      <c r="G1205" s="47">
        <v>1</v>
      </c>
      <c r="H1205" s="47" t="s">
        <v>62</v>
      </c>
      <c r="I1205" s="47" t="s">
        <v>30</v>
      </c>
      <c r="L1205" s="15" t="s">
        <v>314</v>
      </c>
      <c r="M1205" s="15" t="s">
        <v>523</v>
      </c>
      <c r="O1205" s="47" t="s">
        <v>30</v>
      </c>
      <c r="P1205" s="47" t="s">
        <v>46</v>
      </c>
    </row>
    <row r="1206" spans="2:31" ht="15" customHeight="1">
      <c r="B1206" s="47">
        <v>1193</v>
      </c>
      <c r="C1206" s="47" t="s">
        <v>106</v>
      </c>
      <c r="D1206" s="47" t="s">
        <v>177</v>
      </c>
      <c r="E1206" s="47" t="s">
        <v>312</v>
      </c>
      <c r="F1206" s="47" t="s">
        <v>284</v>
      </c>
      <c r="G1206" s="47">
        <v>1</v>
      </c>
      <c r="H1206" s="47" t="s">
        <v>62</v>
      </c>
      <c r="I1206" s="47" t="s">
        <v>30</v>
      </c>
      <c r="L1206" s="15" t="s">
        <v>314</v>
      </c>
      <c r="M1206" s="15" t="s">
        <v>523</v>
      </c>
      <c r="O1206" s="47" t="s">
        <v>30</v>
      </c>
      <c r="P1206" s="47" t="s">
        <v>46</v>
      </c>
    </row>
    <row r="1207" spans="2:31" ht="15" customHeight="1">
      <c r="B1207" s="47">
        <v>1194</v>
      </c>
      <c r="C1207" s="47" t="s">
        <v>106</v>
      </c>
      <c r="D1207" s="47" t="s">
        <v>177</v>
      </c>
      <c r="E1207" s="47" t="s">
        <v>312</v>
      </c>
      <c r="F1207" s="47" t="s">
        <v>284</v>
      </c>
      <c r="G1207" s="47">
        <v>1</v>
      </c>
      <c r="H1207" s="47" t="s">
        <v>62</v>
      </c>
      <c r="I1207" s="47" t="s">
        <v>30</v>
      </c>
      <c r="L1207" s="15" t="s">
        <v>314</v>
      </c>
      <c r="M1207" s="15" t="s">
        <v>523</v>
      </c>
      <c r="O1207" s="47" t="s">
        <v>30</v>
      </c>
      <c r="P1207" s="47" t="s">
        <v>46</v>
      </c>
    </row>
    <row r="1208" spans="2:31" ht="15" customHeight="1">
      <c r="B1208" s="47">
        <v>1195</v>
      </c>
      <c r="C1208" s="47" t="s">
        <v>106</v>
      </c>
      <c r="D1208" s="47" t="s">
        <v>177</v>
      </c>
      <c r="E1208" s="47" t="s">
        <v>312</v>
      </c>
      <c r="F1208" s="47" t="s">
        <v>281</v>
      </c>
      <c r="G1208" s="47">
        <v>1</v>
      </c>
      <c r="H1208" s="47" t="s">
        <v>62</v>
      </c>
      <c r="I1208" s="47" t="s">
        <v>30</v>
      </c>
      <c r="L1208" s="15" t="s">
        <v>314</v>
      </c>
      <c r="M1208" s="15" t="s">
        <v>523</v>
      </c>
      <c r="O1208" s="47" t="s">
        <v>30</v>
      </c>
      <c r="P1208" s="47" t="s">
        <v>46</v>
      </c>
    </row>
    <row r="1209" spans="2:31" ht="15" customHeight="1">
      <c r="B1209" s="47">
        <v>1196</v>
      </c>
      <c r="C1209" s="47" t="s">
        <v>106</v>
      </c>
      <c r="D1209" s="47" t="s">
        <v>177</v>
      </c>
      <c r="E1209" s="47" t="s">
        <v>312</v>
      </c>
      <c r="F1209" s="47" t="s">
        <v>245</v>
      </c>
      <c r="G1209" s="47">
        <v>1</v>
      </c>
      <c r="H1209" s="47" t="s">
        <v>62</v>
      </c>
      <c r="I1209" s="47" t="s">
        <v>30</v>
      </c>
      <c r="L1209" s="15" t="s">
        <v>314</v>
      </c>
      <c r="M1209" s="15" t="s">
        <v>523</v>
      </c>
      <c r="O1209" s="47" t="s">
        <v>30</v>
      </c>
      <c r="P1209" s="47" t="s">
        <v>46</v>
      </c>
    </row>
    <row r="1210" spans="2:31" ht="15" customHeight="1">
      <c r="B1210" s="47">
        <v>1197</v>
      </c>
      <c r="C1210" s="47" t="s">
        <v>106</v>
      </c>
      <c r="D1210" s="47" t="s">
        <v>177</v>
      </c>
      <c r="E1210" s="47" t="s">
        <v>312</v>
      </c>
      <c r="F1210" s="47" t="s">
        <v>245</v>
      </c>
      <c r="G1210" s="47">
        <v>1</v>
      </c>
      <c r="H1210" s="47" t="s">
        <v>62</v>
      </c>
      <c r="I1210" s="47" t="s">
        <v>30</v>
      </c>
      <c r="L1210" s="15" t="s">
        <v>314</v>
      </c>
      <c r="M1210" s="15" t="s">
        <v>523</v>
      </c>
      <c r="O1210" s="47" t="s">
        <v>30</v>
      </c>
      <c r="P1210" s="47" t="s">
        <v>46</v>
      </c>
    </row>
    <row r="1211" spans="2:31" ht="15" customHeight="1">
      <c r="B1211" s="47">
        <v>1198</v>
      </c>
      <c r="C1211" s="47" t="s">
        <v>106</v>
      </c>
      <c r="D1211" s="47" t="s">
        <v>177</v>
      </c>
      <c r="E1211" s="47" t="s">
        <v>312</v>
      </c>
      <c r="F1211" s="47" t="s">
        <v>245</v>
      </c>
      <c r="G1211" s="47">
        <v>1</v>
      </c>
      <c r="H1211" s="47" t="s">
        <v>62</v>
      </c>
      <c r="I1211" s="47" t="s">
        <v>30</v>
      </c>
      <c r="L1211" s="15" t="s">
        <v>314</v>
      </c>
      <c r="M1211" s="15" t="s">
        <v>523</v>
      </c>
      <c r="O1211" s="47" t="s">
        <v>30</v>
      </c>
      <c r="P1211" s="47" t="s">
        <v>46</v>
      </c>
    </row>
    <row r="1212" spans="2:31" ht="15" customHeight="1">
      <c r="B1212" s="47">
        <v>1199</v>
      </c>
      <c r="C1212" s="47" t="s">
        <v>106</v>
      </c>
      <c r="D1212" s="47" t="s">
        <v>177</v>
      </c>
      <c r="E1212" s="47" t="s">
        <v>312</v>
      </c>
      <c r="F1212" s="47" t="s">
        <v>284</v>
      </c>
      <c r="G1212" s="47">
        <v>1</v>
      </c>
      <c r="H1212" s="47" t="s">
        <v>62</v>
      </c>
      <c r="I1212" s="47" t="s">
        <v>30</v>
      </c>
      <c r="L1212" s="15" t="s">
        <v>314</v>
      </c>
      <c r="M1212" s="15" t="s">
        <v>523</v>
      </c>
      <c r="O1212" s="47" t="s">
        <v>30</v>
      </c>
      <c r="P1212" s="47" t="s">
        <v>46</v>
      </c>
    </row>
    <row r="1213" spans="2:31" ht="15" customHeight="1">
      <c r="B1213" s="47">
        <v>1200</v>
      </c>
      <c r="C1213" s="47" t="s">
        <v>106</v>
      </c>
      <c r="D1213" s="47" t="s">
        <v>177</v>
      </c>
      <c r="E1213" s="47" t="s">
        <v>312</v>
      </c>
      <c r="F1213" s="47" t="s">
        <v>284</v>
      </c>
      <c r="G1213" s="47">
        <v>1</v>
      </c>
      <c r="H1213" s="47" t="s">
        <v>62</v>
      </c>
      <c r="I1213" s="47" t="s">
        <v>30</v>
      </c>
      <c r="L1213" s="15" t="s">
        <v>314</v>
      </c>
      <c r="M1213" s="15" t="s">
        <v>523</v>
      </c>
      <c r="O1213" s="47" t="s">
        <v>30</v>
      </c>
      <c r="P1213" s="47" t="s">
        <v>46</v>
      </c>
    </row>
    <row r="1214" spans="2:31" ht="15" customHeight="1">
      <c r="B1214" s="47">
        <v>1201</v>
      </c>
      <c r="C1214" s="47" t="s">
        <v>106</v>
      </c>
      <c r="D1214" s="47" t="s">
        <v>177</v>
      </c>
      <c r="E1214" s="47" t="s">
        <v>312</v>
      </c>
      <c r="F1214" s="47" t="s">
        <v>284</v>
      </c>
      <c r="G1214" s="47">
        <v>1</v>
      </c>
      <c r="H1214" s="47" t="s">
        <v>62</v>
      </c>
      <c r="I1214" s="47" t="s">
        <v>30</v>
      </c>
      <c r="L1214" s="15" t="s">
        <v>314</v>
      </c>
      <c r="M1214" s="15" t="s">
        <v>523</v>
      </c>
      <c r="O1214" s="47" t="s">
        <v>30</v>
      </c>
      <c r="P1214" s="47" t="s">
        <v>46</v>
      </c>
    </row>
    <row r="1215" spans="2:31" ht="15" customHeight="1">
      <c r="B1215" s="47">
        <v>1202</v>
      </c>
      <c r="C1215" s="47" t="s">
        <v>106</v>
      </c>
      <c r="D1215" s="47" t="s">
        <v>177</v>
      </c>
      <c r="E1215" s="47" t="s">
        <v>312</v>
      </c>
      <c r="F1215" s="47" t="s">
        <v>284</v>
      </c>
      <c r="G1215" s="47">
        <v>1</v>
      </c>
      <c r="H1215" s="47" t="s">
        <v>62</v>
      </c>
      <c r="I1215" s="47" t="s">
        <v>30</v>
      </c>
      <c r="L1215" s="15" t="s">
        <v>314</v>
      </c>
      <c r="M1215" s="15" t="s">
        <v>523</v>
      </c>
      <c r="O1215" s="47" t="s">
        <v>30</v>
      </c>
      <c r="P1215" s="47" t="s">
        <v>46</v>
      </c>
    </row>
    <row r="1216" spans="2:31" ht="15" customHeight="1">
      <c r="B1216" s="47">
        <v>1203</v>
      </c>
      <c r="C1216" s="47" t="s">
        <v>106</v>
      </c>
      <c r="D1216" s="47" t="s">
        <v>177</v>
      </c>
      <c r="E1216" s="47" t="s">
        <v>312</v>
      </c>
      <c r="F1216" s="47" t="s">
        <v>284</v>
      </c>
      <c r="G1216" s="47">
        <v>1</v>
      </c>
      <c r="H1216" s="47" t="s">
        <v>62</v>
      </c>
      <c r="I1216" s="47" t="s">
        <v>30</v>
      </c>
      <c r="L1216" s="15" t="s">
        <v>314</v>
      </c>
      <c r="M1216" s="15" t="s">
        <v>523</v>
      </c>
      <c r="O1216" s="47" t="s">
        <v>30</v>
      </c>
      <c r="P1216" s="47" t="s">
        <v>46</v>
      </c>
      <c r="AC1216" s="48"/>
      <c r="AD1216" s="48"/>
      <c r="AE1216" s="48"/>
    </row>
    <row r="1217" spans="2:31" ht="15" customHeight="1">
      <c r="B1217" s="47">
        <v>1204</v>
      </c>
      <c r="C1217" s="47" t="s">
        <v>106</v>
      </c>
      <c r="D1217" s="47" t="s">
        <v>177</v>
      </c>
      <c r="E1217" s="47" t="s">
        <v>312</v>
      </c>
      <c r="F1217" s="47" t="s">
        <v>284</v>
      </c>
      <c r="G1217" s="47">
        <v>1</v>
      </c>
      <c r="H1217" s="47" t="s">
        <v>62</v>
      </c>
      <c r="I1217" s="47" t="s">
        <v>30</v>
      </c>
      <c r="L1217" s="15" t="s">
        <v>314</v>
      </c>
      <c r="M1217" s="15" t="s">
        <v>523</v>
      </c>
      <c r="O1217" s="47" t="s">
        <v>30</v>
      </c>
      <c r="P1217" s="47" t="s">
        <v>46</v>
      </c>
      <c r="AC1217" s="48"/>
      <c r="AD1217" s="48"/>
      <c r="AE1217" s="48"/>
    </row>
    <row r="1218" spans="2:31" ht="15" customHeight="1">
      <c r="B1218" s="47">
        <v>1205</v>
      </c>
      <c r="C1218" s="47" t="s">
        <v>106</v>
      </c>
      <c r="D1218" s="47" t="s">
        <v>177</v>
      </c>
      <c r="E1218" s="47" t="s">
        <v>312</v>
      </c>
      <c r="F1218" s="47" t="s">
        <v>284</v>
      </c>
      <c r="G1218" s="47">
        <v>1</v>
      </c>
      <c r="H1218" s="47" t="s">
        <v>62</v>
      </c>
      <c r="I1218" s="47" t="s">
        <v>30</v>
      </c>
      <c r="L1218" s="15" t="s">
        <v>314</v>
      </c>
      <c r="M1218" s="15" t="s">
        <v>523</v>
      </c>
      <c r="O1218" s="47" t="s">
        <v>30</v>
      </c>
      <c r="P1218" s="47" t="s">
        <v>46</v>
      </c>
      <c r="AC1218" s="48"/>
      <c r="AD1218" s="48"/>
      <c r="AE1218" s="48"/>
    </row>
    <row r="1219" spans="2:31" ht="15" customHeight="1">
      <c r="B1219" s="47">
        <v>1206</v>
      </c>
      <c r="C1219" s="47" t="s">
        <v>106</v>
      </c>
      <c r="D1219" s="47" t="s">
        <v>177</v>
      </c>
      <c r="E1219" s="47" t="s">
        <v>312</v>
      </c>
      <c r="F1219" s="47" t="s">
        <v>284</v>
      </c>
      <c r="G1219" s="47">
        <v>1</v>
      </c>
      <c r="H1219" s="47" t="s">
        <v>62</v>
      </c>
      <c r="I1219" s="47" t="s">
        <v>30</v>
      </c>
      <c r="L1219" s="15" t="s">
        <v>314</v>
      </c>
      <c r="M1219" s="15" t="s">
        <v>523</v>
      </c>
      <c r="O1219" s="47" t="s">
        <v>30</v>
      </c>
      <c r="P1219" s="47" t="s">
        <v>46</v>
      </c>
      <c r="AC1219" s="48"/>
      <c r="AD1219" s="48"/>
      <c r="AE1219" s="48"/>
    </row>
    <row r="1220" spans="2:31" ht="15" customHeight="1">
      <c r="B1220" s="47">
        <v>1207</v>
      </c>
      <c r="C1220" s="47" t="s">
        <v>102</v>
      </c>
      <c r="D1220" s="47" t="s">
        <v>177</v>
      </c>
      <c r="E1220" s="47" t="s">
        <v>274</v>
      </c>
      <c r="F1220" s="47" t="s">
        <v>248</v>
      </c>
      <c r="H1220" s="47" t="s">
        <v>62</v>
      </c>
      <c r="L1220" s="15" t="s">
        <v>275</v>
      </c>
      <c r="M1220" s="15" t="s">
        <v>523</v>
      </c>
      <c r="O1220" s="47" t="s">
        <v>30</v>
      </c>
      <c r="P1220" s="47" t="s">
        <v>46</v>
      </c>
    </row>
    <row r="1221" spans="2:31" ht="15" customHeight="1">
      <c r="B1221" s="47">
        <v>1208</v>
      </c>
      <c r="C1221" s="47" t="s">
        <v>102</v>
      </c>
      <c r="D1221" s="47" t="s">
        <v>177</v>
      </c>
      <c r="E1221" s="47" t="s">
        <v>274</v>
      </c>
      <c r="F1221" s="47" t="s">
        <v>524</v>
      </c>
      <c r="H1221" s="47" t="s">
        <v>62</v>
      </c>
      <c r="L1221" s="15" t="s">
        <v>275</v>
      </c>
      <c r="M1221" s="15" t="s">
        <v>523</v>
      </c>
      <c r="O1221" s="47" t="s">
        <v>30</v>
      </c>
      <c r="P1221" s="47" t="s">
        <v>46</v>
      </c>
    </row>
    <row r="1222" spans="2:31" ht="15" customHeight="1">
      <c r="B1222" s="47">
        <v>1209</v>
      </c>
      <c r="C1222" s="47" t="s">
        <v>102</v>
      </c>
      <c r="D1222" s="47" t="s">
        <v>177</v>
      </c>
      <c r="E1222" s="47" t="s">
        <v>274</v>
      </c>
      <c r="F1222" s="47" t="s">
        <v>524</v>
      </c>
      <c r="H1222" s="47" t="s">
        <v>62</v>
      </c>
      <c r="L1222" s="15" t="s">
        <v>275</v>
      </c>
      <c r="M1222" s="15" t="s">
        <v>523</v>
      </c>
      <c r="O1222" s="47" t="s">
        <v>30</v>
      </c>
      <c r="P1222" s="47" t="s">
        <v>46</v>
      </c>
    </row>
    <row r="1223" spans="2:31" ht="15" customHeight="1">
      <c r="B1223" s="47">
        <v>1210</v>
      </c>
      <c r="C1223" s="47" t="s">
        <v>102</v>
      </c>
      <c r="D1223" s="47" t="s">
        <v>177</v>
      </c>
      <c r="E1223" s="47" t="s">
        <v>274</v>
      </c>
      <c r="F1223" s="47" t="s">
        <v>524</v>
      </c>
      <c r="H1223" s="47" t="s">
        <v>62</v>
      </c>
      <c r="L1223" s="15" t="s">
        <v>275</v>
      </c>
      <c r="M1223" s="15" t="s">
        <v>523</v>
      </c>
      <c r="O1223" s="47" t="s">
        <v>30</v>
      </c>
      <c r="P1223" s="47" t="s">
        <v>46</v>
      </c>
    </row>
    <row r="1224" spans="2:31" ht="15" customHeight="1">
      <c r="B1224" s="47">
        <v>1211</v>
      </c>
      <c r="C1224" s="47" t="s">
        <v>102</v>
      </c>
      <c r="D1224" s="47" t="s">
        <v>177</v>
      </c>
      <c r="E1224" s="47" t="s">
        <v>274</v>
      </c>
      <c r="F1224" s="47" t="s">
        <v>242</v>
      </c>
      <c r="H1224" s="47" t="s">
        <v>62</v>
      </c>
      <c r="L1224" s="15" t="s">
        <v>275</v>
      </c>
      <c r="M1224" s="15" t="s">
        <v>523</v>
      </c>
      <c r="O1224" s="47" t="s">
        <v>30</v>
      </c>
      <c r="P1224" s="47" t="s">
        <v>46</v>
      </c>
    </row>
    <row r="1225" spans="2:31" ht="15" customHeight="1">
      <c r="B1225" s="47">
        <v>1212</v>
      </c>
      <c r="C1225" s="47" t="s">
        <v>102</v>
      </c>
      <c r="D1225" s="47" t="s">
        <v>177</v>
      </c>
      <c r="E1225" s="47" t="s">
        <v>274</v>
      </c>
      <c r="F1225" s="47" t="s">
        <v>242</v>
      </c>
      <c r="H1225" s="47" t="s">
        <v>62</v>
      </c>
      <c r="L1225" s="15" t="s">
        <v>275</v>
      </c>
      <c r="M1225" s="15" t="s">
        <v>523</v>
      </c>
      <c r="O1225" s="47" t="s">
        <v>30</v>
      </c>
      <c r="P1225" s="47" t="s">
        <v>46</v>
      </c>
    </row>
    <row r="1226" spans="2:31" ht="15" customHeight="1">
      <c r="B1226" s="47">
        <v>1213</v>
      </c>
      <c r="C1226" s="47" t="s">
        <v>102</v>
      </c>
      <c r="D1226" s="47" t="s">
        <v>177</v>
      </c>
      <c r="E1226" s="47" t="s">
        <v>274</v>
      </c>
      <c r="F1226" s="47" t="s">
        <v>242</v>
      </c>
      <c r="H1226" s="47" t="s">
        <v>62</v>
      </c>
      <c r="L1226" s="15" t="s">
        <v>275</v>
      </c>
      <c r="M1226" s="15" t="s">
        <v>523</v>
      </c>
      <c r="O1226" s="47" t="s">
        <v>30</v>
      </c>
      <c r="P1226" s="47" t="s">
        <v>46</v>
      </c>
    </row>
    <row r="1227" spans="2:31" ht="15" customHeight="1">
      <c r="B1227" s="47">
        <v>1214</v>
      </c>
      <c r="C1227" s="47" t="s">
        <v>102</v>
      </c>
      <c r="D1227" s="47" t="s">
        <v>177</v>
      </c>
      <c r="E1227" s="47" t="s">
        <v>274</v>
      </c>
      <c r="F1227" s="47" t="s">
        <v>324</v>
      </c>
      <c r="H1227" s="47" t="s">
        <v>62</v>
      </c>
      <c r="L1227" s="15" t="s">
        <v>275</v>
      </c>
      <c r="M1227" s="15" t="s">
        <v>523</v>
      </c>
      <c r="O1227" s="47" t="s">
        <v>30</v>
      </c>
      <c r="P1227" s="47" t="s">
        <v>46</v>
      </c>
    </row>
    <row r="1228" spans="2:31" ht="15" customHeight="1">
      <c r="B1228" s="47">
        <v>1215</v>
      </c>
      <c r="C1228" s="47" t="s">
        <v>102</v>
      </c>
      <c r="D1228" s="47" t="s">
        <v>177</v>
      </c>
      <c r="E1228" s="47" t="s">
        <v>274</v>
      </c>
      <c r="F1228" s="47" t="s">
        <v>324</v>
      </c>
      <c r="H1228" s="47" t="s">
        <v>62</v>
      </c>
      <c r="L1228" s="15" t="s">
        <v>275</v>
      </c>
      <c r="M1228" s="15" t="s">
        <v>523</v>
      </c>
      <c r="O1228" s="47" t="s">
        <v>30</v>
      </c>
      <c r="P1228" s="47" t="s">
        <v>46</v>
      </c>
    </row>
    <row r="1229" spans="2:31" ht="15" customHeight="1">
      <c r="B1229" s="47">
        <v>1216</v>
      </c>
      <c r="C1229" s="47" t="s">
        <v>102</v>
      </c>
      <c r="D1229" s="47" t="s">
        <v>177</v>
      </c>
      <c r="E1229" s="47" t="s">
        <v>274</v>
      </c>
      <c r="F1229" s="47" t="s">
        <v>525</v>
      </c>
      <c r="H1229" s="47" t="s">
        <v>62</v>
      </c>
      <c r="L1229" s="15" t="s">
        <v>275</v>
      </c>
      <c r="M1229" s="15" t="s">
        <v>523</v>
      </c>
      <c r="O1229" s="47" t="s">
        <v>30</v>
      </c>
      <c r="P1229" s="47" t="s">
        <v>46</v>
      </c>
    </row>
    <row r="1230" spans="2:31" ht="15" customHeight="1">
      <c r="B1230" s="47">
        <v>1217</v>
      </c>
      <c r="C1230" s="47" t="s">
        <v>102</v>
      </c>
      <c r="D1230" s="47" t="s">
        <v>177</v>
      </c>
      <c r="E1230" s="47" t="s">
        <v>274</v>
      </c>
      <c r="F1230" s="47" t="s">
        <v>525</v>
      </c>
      <c r="H1230" s="47" t="s">
        <v>62</v>
      </c>
      <c r="L1230" s="15" t="s">
        <v>275</v>
      </c>
      <c r="M1230" s="15" t="s">
        <v>523</v>
      </c>
      <c r="O1230" s="47" t="s">
        <v>30</v>
      </c>
      <c r="P1230" s="47" t="s">
        <v>46</v>
      </c>
    </row>
    <row r="1231" spans="2:31" ht="15" customHeight="1">
      <c r="B1231" s="47">
        <v>1218</v>
      </c>
      <c r="C1231" s="47" t="s">
        <v>102</v>
      </c>
      <c r="D1231" s="47" t="s">
        <v>177</v>
      </c>
      <c r="E1231" s="47" t="s">
        <v>274</v>
      </c>
      <c r="F1231" s="47" t="s">
        <v>525</v>
      </c>
      <c r="H1231" s="47" t="s">
        <v>62</v>
      </c>
      <c r="L1231" s="15" t="s">
        <v>275</v>
      </c>
      <c r="M1231" s="15" t="s">
        <v>523</v>
      </c>
      <c r="O1231" s="47" t="s">
        <v>30</v>
      </c>
      <c r="P1231" s="47" t="s">
        <v>46</v>
      </c>
    </row>
    <row r="1232" spans="2:31" ht="15" customHeight="1">
      <c r="B1232" s="47">
        <v>1219</v>
      </c>
      <c r="C1232" s="47" t="s">
        <v>102</v>
      </c>
      <c r="D1232" s="47" t="s">
        <v>177</v>
      </c>
      <c r="E1232" s="47" t="s">
        <v>274</v>
      </c>
      <c r="F1232" s="47" t="s">
        <v>245</v>
      </c>
      <c r="H1232" s="47" t="s">
        <v>62</v>
      </c>
      <c r="L1232" s="15" t="s">
        <v>275</v>
      </c>
      <c r="M1232" s="15" t="s">
        <v>523</v>
      </c>
      <c r="O1232" s="47" t="s">
        <v>30</v>
      </c>
      <c r="P1232" s="47" t="s">
        <v>46</v>
      </c>
    </row>
    <row r="1233" spans="2:35" ht="15" customHeight="1">
      <c r="B1233" s="47">
        <v>1220</v>
      </c>
      <c r="C1233" s="47" t="s">
        <v>102</v>
      </c>
      <c r="D1233" s="47" t="s">
        <v>177</v>
      </c>
      <c r="E1233" s="47" t="s">
        <v>274</v>
      </c>
      <c r="F1233" s="47" t="s">
        <v>245</v>
      </c>
      <c r="H1233" s="47" t="s">
        <v>62</v>
      </c>
      <c r="L1233" s="15" t="s">
        <v>275</v>
      </c>
      <c r="M1233" s="15" t="s">
        <v>523</v>
      </c>
      <c r="O1233" s="47" t="s">
        <v>30</v>
      </c>
      <c r="P1233" s="47" t="s">
        <v>46</v>
      </c>
      <c r="AF1233" s="48"/>
      <c r="AG1233" s="48"/>
      <c r="AH1233" s="48"/>
      <c r="AI1233" s="48"/>
    </row>
    <row r="1234" spans="2:35" ht="15" customHeight="1">
      <c r="B1234" s="47">
        <v>1221</v>
      </c>
      <c r="C1234" s="47" t="s">
        <v>102</v>
      </c>
      <c r="D1234" s="47" t="s">
        <v>177</v>
      </c>
      <c r="E1234" s="47" t="s">
        <v>274</v>
      </c>
      <c r="F1234" s="47" t="s">
        <v>245</v>
      </c>
      <c r="H1234" s="47" t="s">
        <v>62</v>
      </c>
      <c r="L1234" s="15" t="s">
        <v>275</v>
      </c>
      <c r="M1234" s="15" t="s">
        <v>523</v>
      </c>
      <c r="O1234" s="47" t="s">
        <v>30</v>
      </c>
      <c r="P1234" s="47" t="s">
        <v>46</v>
      </c>
      <c r="AF1234" s="48"/>
      <c r="AG1234" s="48"/>
      <c r="AH1234" s="48"/>
      <c r="AI1234" s="48"/>
    </row>
    <row r="1235" spans="2:35" ht="15" customHeight="1">
      <c r="B1235" s="47">
        <v>1222</v>
      </c>
      <c r="C1235" s="47" t="s">
        <v>102</v>
      </c>
      <c r="D1235" s="47" t="s">
        <v>177</v>
      </c>
      <c r="E1235" s="47" t="s">
        <v>274</v>
      </c>
      <c r="F1235" s="47" t="s">
        <v>191</v>
      </c>
      <c r="G1235" s="47" t="s">
        <v>254</v>
      </c>
      <c r="H1235" s="47" t="s">
        <v>62</v>
      </c>
      <c r="I1235" s="47" t="s">
        <v>47</v>
      </c>
      <c r="L1235" s="15" t="s">
        <v>275</v>
      </c>
      <c r="M1235" s="15" t="s">
        <v>523</v>
      </c>
      <c r="O1235" s="47" t="s">
        <v>30</v>
      </c>
      <c r="P1235" s="47" t="s">
        <v>46</v>
      </c>
    </row>
    <row r="1236" spans="2:35" ht="15" customHeight="1">
      <c r="B1236" s="47">
        <v>1223</v>
      </c>
      <c r="C1236" s="47" t="s">
        <v>102</v>
      </c>
      <c r="D1236" s="47" t="s">
        <v>177</v>
      </c>
      <c r="E1236" s="47" t="s">
        <v>274</v>
      </c>
      <c r="F1236" s="47" t="s">
        <v>325</v>
      </c>
      <c r="G1236" s="47" t="s">
        <v>254</v>
      </c>
      <c r="H1236" s="47" t="s">
        <v>62</v>
      </c>
      <c r="I1236" s="47" t="s">
        <v>47</v>
      </c>
      <c r="L1236" s="15" t="s">
        <v>275</v>
      </c>
      <c r="M1236" s="15" t="s">
        <v>523</v>
      </c>
      <c r="O1236" s="47" t="s">
        <v>30</v>
      </c>
      <c r="P1236" s="47" t="s">
        <v>46</v>
      </c>
    </row>
    <row r="1237" spans="2:35" ht="15" customHeight="1">
      <c r="B1237" s="47">
        <v>1224</v>
      </c>
      <c r="C1237" s="47" t="s">
        <v>102</v>
      </c>
      <c r="D1237" s="47" t="s">
        <v>177</v>
      </c>
      <c r="E1237" s="47" t="s">
        <v>274</v>
      </c>
      <c r="F1237" s="47" t="s">
        <v>248</v>
      </c>
      <c r="G1237" s="47" t="s">
        <v>254</v>
      </c>
      <c r="H1237" s="47" t="s">
        <v>62</v>
      </c>
      <c r="I1237" s="47" t="s">
        <v>47</v>
      </c>
      <c r="L1237" s="15" t="s">
        <v>275</v>
      </c>
      <c r="M1237" s="15" t="s">
        <v>523</v>
      </c>
      <c r="O1237" s="47" t="s">
        <v>30</v>
      </c>
      <c r="P1237" s="47" t="s">
        <v>46</v>
      </c>
    </row>
    <row r="1238" spans="2:35" ht="15" customHeight="1">
      <c r="B1238" s="47">
        <v>1225</v>
      </c>
      <c r="C1238" s="47" t="s">
        <v>102</v>
      </c>
      <c r="D1238" s="47" t="s">
        <v>177</v>
      </c>
      <c r="E1238" s="47" t="s">
        <v>274</v>
      </c>
      <c r="F1238" s="47" t="s">
        <v>242</v>
      </c>
      <c r="G1238" s="47">
        <v>1</v>
      </c>
      <c r="H1238" s="47" t="s">
        <v>62</v>
      </c>
      <c r="I1238" s="47" t="s">
        <v>47</v>
      </c>
      <c r="L1238" s="15" t="s">
        <v>275</v>
      </c>
      <c r="M1238" s="15" t="s">
        <v>523</v>
      </c>
      <c r="O1238" s="47" t="s">
        <v>30</v>
      </c>
      <c r="P1238" s="47" t="s">
        <v>46</v>
      </c>
    </row>
    <row r="1239" spans="2:35" ht="15" customHeight="1">
      <c r="B1239" s="47">
        <v>1226</v>
      </c>
      <c r="C1239" s="47" t="s">
        <v>102</v>
      </c>
      <c r="D1239" s="47" t="s">
        <v>177</v>
      </c>
      <c r="E1239" s="47" t="s">
        <v>274</v>
      </c>
      <c r="F1239" s="47" t="s">
        <v>242</v>
      </c>
      <c r="G1239" s="47">
        <v>1</v>
      </c>
      <c r="H1239" s="47" t="s">
        <v>62</v>
      </c>
      <c r="I1239" s="47" t="s">
        <v>47</v>
      </c>
      <c r="L1239" s="15" t="s">
        <v>275</v>
      </c>
      <c r="M1239" s="15" t="s">
        <v>523</v>
      </c>
      <c r="O1239" s="47" t="s">
        <v>30</v>
      </c>
      <c r="P1239" s="47" t="s">
        <v>46</v>
      </c>
    </row>
    <row r="1240" spans="2:35" ht="15" customHeight="1">
      <c r="B1240" s="47">
        <v>1227</v>
      </c>
      <c r="C1240" s="47" t="s">
        <v>102</v>
      </c>
      <c r="D1240" s="47" t="s">
        <v>177</v>
      </c>
      <c r="E1240" s="47" t="s">
        <v>274</v>
      </c>
      <c r="F1240" s="47" t="s">
        <v>242</v>
      </c>
      <c r="G1240" s="47">
        <v>1</v>
      </c>
      <c r="H1240" s="47" t="s">
        <v>62</v>
      </c>
      <c r="I1240" s="47" t="s">
        <v>47</v>
      </c>
      <c r="L1240" s="15" t="s">
        <v>275</v>
      </c>
      <c r="M1240" s="15" t="s">
        <v>523</v>
      </c>
      <c r="O1240" s="47" t="s">
        <v>30</v>
      </c>
      <c r="P1240" s="47" t="s">
        <v>46</v>
      </c>
    </row>
    <row r="1241" spans="2:35" ht="15" customHeight="1">
      <c r="B1241" s="47">
        <v>1228</v>
      </c>
      <c r="C1241" s="47" t="s">
        <v>102</v>
      </c>
      <c r="D1241" s="47" t="s">
        <v>177</v>
      </c>
      <c r="E1241" s="47" t="s">
        <v>274</v>
      </c>
      <c r="F1241" s="47" t="s">
        <v>245</v>
      </c>
      <c r="G1241" s="47">
        <v>1</v>
      </c>
      <c r="H1241" s="47" t="s">
        <v>62</v>
      </c>
      <c r="I1241" s="47" t="s">
        <v>47</v>
      </c>
      <c r="L1241" s="15" t="s">
        <v>275</v>
      </c>
      <c r="M1241" s="15" t="s">
        <v>523</v>
      </c>
      <c r="O1241" s="47" t="s">
        <v>30</v>
      </c>
      <c r="P1241" s="47" t="s">
        <v>46</v>
      </c>
      <c r="AF1241" s="48"/>
      <c r="AG1241" s="48"/>
      <c r="AH1241" s="48"/>
      <c r="AI1241" s="48"/>
    </row>
    <row r="1242" spans="2:35" ht="15" customHeight="1">
      <c r="B1242" s="47">
        <v>1229</v>
      </c>
      <c r="C1242" s="47" t="s">
        <v>102</v>
      </c>
      <c r="D1242" s="47" t="s">
        <v>177</v>
      </c>
      <c r="E1242" s="47" t="s">
        <v>274</v>
      </c>
      <c r="F1242" s="47" t="s">
        <v>245</v>
      </c>
      <c r="G1242" s="47">
        <v>1</v>
      </c>
      <c r="H1242" s="47" t="s">
        <v>62</v>
      </c>
      <c r="I1242" s="47" t="s">
        <v>47</v>
      </c>
      <c r="L1242" s="15" t="s">
        <v>275</v>
      </c>
      <c r="M1242" s="15" t="s">
        <v>523</v>
      </c>
      <c r="O1242" s="47" t="s">
        <v>30</v>
      </c>
      <c r="P1242" s="47" t="s">
        <v>46</v>
      </c>
      <c r="AF1242" s="48"/>
      <c r="AG1242" s="48"/>
      <c r="AH1242" s="48"/>
      <c r="AI1242" s="48"/>
    </row>
    <row r="1243" spans="2:35" ht="15" customHeight="1">
      <c r="B1243" s="47">
        <v>1230</v>
      </c>
      <c r="C1243" s="47" t="s">
        <v>102</v>
      </c>
      <c r="D1243" s="47" t="s">
        <v>177</v>
      </c>
      <c r="E1243" s="47" t="s">
        <v>274</v>
      </c>
      <c r="F1243" s="47" t="s">
        <v>525</v>
      </c>
      <c r="G1243" s="47" t="s">
        <v>254</v>
      </c>
      <c r="H1243" s="47" t="s">
        <v>62</v>
      </c>
      <c r="I1243" s="47" t="s">
        <v>47</v>
      </c>
      <c r="L1243" s="15" t="s">
        <v>275</v>
      </c>
      <c r="M1243" s="15" t="s">
        <v>523</v>
      </c>
      <c r="O1243" s="47" t="s">
        <v>30</v>
      </c>
      <c r="P1243" s="47" t="s">
        <v>46</v>
      </c>
    </row>
    <row r="1244" spans="2:35" ht="15" customHeight="1">
      <c r="B1244" s="47">
        <v>1231</v>
      </c>
      <c r="C1244" s="47" t="s">
        <v>102</v>
      </c>
      <c r="D1244" s="47" t="s">
        <v>177</v>
      </c>
      <c r="E1244" s="47" t="s">
        <v>274</v>
      </c>
      <c r="F1244" s="47" t="s">
        <v>525</v>
      </c>
      <c r="G1244" s="47" t="s">
        <v>254</v>
      </c>
      <c r="H1244" s="47" t="s">
        <v>62</v>
      </c>
      <c r="I1244" s="47" t="s">
        <v>47</v>
      </c>
      <c r="L1244" s="15" t="s">
        <v>275</v>
      </c>
      <c r="M1244" s="15" t="s">
        <v>523</v>
      </c>
      <c r="O1244" s="47" t="s">
        <v>30</v>
      </c>
      <c r="P1244" s="47" t="s">
        <v>46</v>
      </c>
    </row>
    <row r="1245" spans="2:35" ht="15" customHeight="1">
      <c r="B1245" s="47">
        <v>1232</v>
      </c>
      <c r="C1245" s="47" t="s">
        <v>102</v>
      </c>
      <c r="D1245" s="47" t="s">
        <v>177</v>
      </c>
      <c r="E1245" s="47" t="s">
        <v>274</v>
      </c>
      <c r="F1245" s="47" t="s">
        <v>324</v>
      </c>
      <c r="G1245" s="47">
        <v>1</v>
      </c>
      <c r="H1245" s="47" t="s">
        <v>62</v>
      </c>
      <c r="I1245" s="47" t="s">
        <v>47</v>
      </c>
      <c r="L1245" s="15" t="s">
        <v>275</v>
      </c>
      <c r="M1245" s="15" t="s">
        <v>523</v>
      </c>
      <c r="O1245" s="47" t="s">
        <v>30</v>
      </c>
      <c r="P1245" s="47" t="s">
        <v>46</v>
      </c>
    </row>
    <row r="1246" spans="2:35" ht="15" customHeight="1">
      <c r="B1246" s="47">
        <v>1233</v>
      </c>
      <c r="C1246" s="47" t="s">
        <v>102</v>
      </c>
      <c r="D1246" s="47" t="s">
        <v>177</v>
      </c>
      <c r="E1246" s="47" t="s">
        <v>274</v>
      </c>
      <c r="F1246" s="47" t="s">
        <v>324</v>
      </c>
      <c r="G1246" s="47">
        <v>1</v>
      </c>
      <c r="H1246" s="47" t="s">
        <v>62</v>
      </c>
      <c r="I1246" s="47" t="s">
        <v>47</v>
      </c>
      <c r="L1246" s="15" t="s">
        <v>275</v>
      </c>
      <c r="M1246" s="15" t="s">
        <v>523</v>
      </c>
      <c r="O1246" s="47" t="s">
        <v>30</v>
      </c>
      <c r="P1246" s="47" t="s">
        <v>46</v>
      </c>
    </row>
    <row r="1247" spans="2:35" ht="15" customHeight="1">
      <c r="B1247" s="47">
        <v>1234</v>
      </c>
      <c r="C1247" s="47" t="s">
        <v>102</v>
      </c>
      <c r="D1247" s="47" t="s">
        <v>177</v>
      </c>
      <c r="E1247" s="47" t="s">
        <v>274</v>
      </c>
      <c r="F1247" s="47" t="s">
        <v>191</v>
      </c>
      <c r="G1247" s="47" t="s">
        <v>254</v>
      </c>
      <c r="H1247" s="47" t="s">
        <v>62</v>
      </c>
      <c r="I1247" s="47" t="s">
        <v>47</v>
      </c>
      <c r="L1247" s="15" t="s">
        <v>275</v>
      </c>
      <c r="M1247" s="15" t="s">
        <v>523</v>
      </c>
      <c r="O1247" s="47" t="s">
        <v>30</v>
      </c>
      <c r="P1247" s="47" t="s">
        <v>46</v>
      </c>
    </row>
    <row r="1248" spans="2:35" ht="15" customHeight="1">
      <c r="B1248" s="47">
        <v>1235</v>
      </c>
      <c r="C1248" s="47" t="s">
        <v>102</v>
      </c>
      <c r="D1248" s="47" t="s">
        <v>177</v>
      </c>
      <c r="E1248" s="47" t="s">
        <v>274</v>
      </c>
      <c r="F1248" s="47" t="s">
        <v>191</v>
      </c>
      <c r="G1248" s="47">
        <v>1</v>
      </c>
      <c r="H1248" s="47" t="s">
        <v>62</v>
      </c>
      <c r="I1248" s="47" t="s">
        <v>47</v>
      </c>
      <c r="L1248" s="15" t="s">
        <v>275</v>
      </c>
      <c r="M1248" s="15" t="s">
        <v>523</v>
      </c>
      <c r="O1248" s="47" t="s">
        <v>30</v>
      </c>
      <c r="P1248" s="47" t="s">
        <v>46</v>
      </c>
    </row>
    <row r="1249" spans="2:35" ht="15" customHeight="1">
      <c r="B1249" s="47">
        <v>1236</v>
      </c>
      <c r="C1249" s="47" t="s">
        <v>102</v>
      </c>
      <c r="D1249" s="47" t="s">
        <v>204</v>
      </c>
      <c r="E1249" s="47" t="s">
        <v>274</v>
      </c>
      <c r="H1249" s="47" t="s">
        <v>62</v>
      </c>
      <c r="I1249" s="47" t="s">
        <v>47</v>
      </c>
      <c r="L1249" s="15" t="s">
        <v>275</v>
      </c>
      <c r="M1249" s="15" t="s">
        <v>523</v>
      </c>
      <c r="O1249" s="47" t="s">
        <v>30</v>
      </c>
      <c r="P1249" s="47" t="s">
        <v>46</v>
      </c>
    </row>
    <row r="1250" spans="2:35" ht="15" customHeight="1">
      <c r="B1250" s="47">
        <v>1237</v>
      </c>
      <c r="C1250" s="47" t="s">
        <v>102</v>
      </c>
      <c r="D1250" s="47" t="s">
        <v>204</v>
      </c>
      <c r="E1250" s="47" t="s">
        <v>274</v>
      </c>
      <c r="H1250" s="47" t="s">
        <v>62</v>
      </c>
      <c r="I1250" s="47" t="s">
        <v>47</v>
      </c>
      <c r="L1250" s="15" t="s">
        <v>275</v>
      </c>
      <c r="M1250" s="15" t="s">
        <v>523</v>
      </c>
      <c r="O1250" s="47" t="s">
        <v>30</v>
      </c>
      <c r="P1250" s="47" t="s">
        <v>46</v>
      </c>
    </row>
    <row r="1251" spans="2:35" ht="15" customHeight="1">
      <c r="B1251" s="47">
        <v>1238</v>
      </c>
      <c r="C1251" s="47" t="s">
        <v>102</v>
      </c>
      <c r="D1251" s="47" t="s">
        <v>204</v>
      </c>
      <c r="E1251" s="47" t="s">
        <v>274</v>
      </c>
      <c r="H1251" s="47" t="s">
        <v>62</v>
      </c>
      <c r="I1251" s="47" t="s">
        <v>47</v>
      </c>
      <c r="L1251" s="15" t="s">
        <v>275</v>
      </c>
      <c r="M1251" s="15" t="s">
        <v>523</v>
      </c>
      <c r="O1251" s="47" t="s">
        <v>30</v>
      </c>
      <c r="P1251" s="47" t="s">
        <v>46</v>
      </c>
    </row>
    <row r="1252" spans="2:35" ht="15" customHeight="1">
      <c r="B1252" s="47">
        <v>1239</v>
      </c>
      <c r="C1252" s="47" t="s">
        <v>106</v>
      </c>
      <c r="D1252" s="47" t="s">
        <v>177</v>
      </c>
      <c r="E1252" s="47" t="s">
        <v>274</v>
      </c>
      <c r="F1252" s="47" t="s">
        <v>258</v>
      </c>
      <c r="G1252" s="47">
        <v>1</v>
      </c>
      <c r="H1252" s="47" t="s">
        <v>62</v>
      </c>
      <c r="I1252" s="47" t="s">
        <v>30</v>
      </c>
      <c r="L1252" s="15" t="s">
        <v>275</v>
      </c>
      <c r="M1252" s="15" t="s">
        <v>527</v>
      </c>
      <c r="O1252" s="47" t="s">
        <v>30</v>
      </c>
      <c r="P1252" s="47" t="s">
        <v>46</v>
      </c>
    </row>
    <row r="1253" spans="2:35" ht="15" customHeight="1">
      <c r="B1253" s="47">
        <v>1240</v>
      </c>
      <c r="C1253" s="47" t="s">
        <v>106</v>
      </c>
      <c r="D1253" s="47" t="s">
        <v>177</v>
      </c>
      <c r="E1253" s="47" t="s">
        <v>274</v>
      </c>
      <c r="F1253" s="47" t="s">
        <v>258</v>
      </c>
      <c r="G1253" s="47">
        <v>1</v>
      </c>
      <c r="H1253" s="47" t="s">
        <v>62</v>
      </c>
      <c r="I1253" s="47" t="s">
        <v>30</v>
      </c>
      <c r="L1253" s="15" t="s">
        <v>275</v>
      </c>
      <c r="M1253" s="15" t="s">
        <v>527</v>
      </c>
      <c r="O1253" s="47" t="s">
        <v>30</v>
      </c>
      <c r="P1253" s="47" t="s">
        <v>46</v>
      </c>
    </row>
    <row r="1254" spans="2:35" ht="15" customHeight="1">
      <c r="B1254" s="47">
        <v>1241</v>
      </c>
      <c r="C1254" s="47" t="s">
        <v>106</v>
      </c>
      <c r="D1254" s="47" t="s">
        <v>177</v>
      </c>
      <c r="E1254" s="47" t="s">
        <v>274</v>
      </c>
      <c r="F1254" s="47" t="s">
        <v>186</v>
      </c>
      <c r="G1254" s="47">
        <v>1</v>
      </c>
      <c r="L1254" s="15" t="s">
        <v>275</v>
      </c>
      <c r="M1254" s="15" t="s">
        <v>527</v>
      </c>
      <c r="O1254" s="47" t="s">
        <v>30</v>
      </c>
      <c r="P1254" s="47" t="s">
        <v>46</v>
      </c>
    </row>
    <row r="1255" spans="2:35" ht="15" customHeight="1">
      <c r="B1255" s="47">
        <v>1242</v>
      </c>
      <c r="C1255" s="47" t="s">
        <v>106</v>
      </c>
      <c r="D1255" s="47" t="s">
        <v>177</v>
      </c>
      <c r="E1255" s="47" t="s">
        <v>274</v>
      </c>
      <c r="F1255" s="47" t="s">
        <v>324</v>
      </c>
      <c r="G1255" s="47">
        <v>1</v>
      </c>
      <c r="H1255" s="47" t="s">
        <v>62</v>
      </c>
      <c r="I1255" s="47" t="s">
        <v>30</v>
      </c>
      <c r="L1255" s="15" t="s">
        <v>275</v>
      </c>
      <c r="M1255" s="15" t="s">
        <v>527</v>
      </c>
      <c r="O1255" s="47" t="s">
        <v>30</v>
      </c>
      <c r="P1255" s="47" t="s">
        <v>46</v>
      </c>
    </row>
    <row r="1256" spans="2:35" ht="15" customHeight="1">
      <c r="B1256" s="47">
        <v>1243</v>
      </c>
      <c r="C1256" s="47" t="s">
        <v>106</v>
      </c>
      <c r="D1256" s="47" t="s">
        <v>177</v>
      </c>
      <c r="E1256" s="47" t="s">
        <v>274</v>
      </c>
      <c r="F1256" s="47" t="s">
        <v>285</v>
      </c>
      <c r="G1256" s="47" t="s">
        <v>254</v>
      </c>
      <c r="H1256" s="47" t="s">
        <v>62</v>
      </c>
      <c r="I1256" s="47" t="s">
        <v>30</v>
      </c>
      <c r="L1256" s="15" t="s">
        <v>275</v>
      </c>
      <c r="M1256" s="15" t="s">
        <v>527</v>
      </c>
      <c r="O1256" s="47" t="s">
        <v>30</v>
      </c>
      <c r="P1256" s="47" t="s">
        <v>46</v>
      </c>
    </row>
    <row r="1257" spans="2:35" ht="15" customHeight="1">
      <c r="B1257" s="47">
        <v>1244</v>
      </c>
      <c r="C1257" s="47" t="s">
        <v>106</v>
      </c>
      <c r="D1257" s="47" t="s">
        <v>177</v>
      </c>
      <c r="E1257" s="47" t="s">
        <v>274</v>
      </c>
      <c r="F1257" s="47" t="s">
        <v>285</v>
      </c>
      <c r="G1257" s="47" t="s">
        <v>254</v>
      </c>
      <c r="H1257" s="47" t="s">
        <v>62</v>
      </c>
      <c r="I1257" s="47" t="s">
        <v>30</v>
      </c>
      <c r="L1257" s="15" t="s">
        <v>275</v>
      </c>
      <c r="M1257" s="15" t="s">
        <v>527</v>
      </c>
      <c r="O1257" s="47" t="s">
        <v>30</v>
      </c>
      <c r="P1257" s="47" t="s">
        <v>46</v>
      </c>
    </row>
    <row r="1258" spans="2:35" ht="15" customHeight="1">
      <c r="B1258" s="47">
        <v>1245</v>
      </c>
      <c r="C1258" s="47" t="s">
        <v>106</v>
      </c>
      <c r="D1258" s="47" t="s">
        <v>177</v>
      </c>
      <c r="E1258" s="47" t="s">
        <v>274</v>
      </c>
      <c r="F1258" s="47" t="s">
        <v>285</v>
      </c>
      <c r="G1258" s="47" t="s">
        <v>254</v>
      </c>
      <c r="H1258" s="47" t="s">
        <v>62</v>
      </c>
      <c r="I1258" s="47" t="s">
        <v>30</v>
      </c>
      <c r="L1258" s="15" t="s">
        <v>275</v>
      </c>
      <c r="M1258" s="15" t="s">
        <v>527</v>
      </c>
      <c r="O1258" s="47" t="s">
        <v>30</v>
      </c>
      <c r="P1258" s="47" t="s">
        <v>46</v>
      </c>
    </row>
    <row r="1259" spans="2:35" ht="15" customHeight="1">
      <c r="B1259" s="47">
        <v>1246</v>
      </c>
      <c r="C1259" s="47" t="s">
        <v>102</v>
      </c>
      <c r="D1259" s="47" t="s">
        <v>177</v>
      </c>
      <c r="E1259" s="47" t="s">
        <v>274</v>
      </c>
      <c r="F1259" s="47" t="s">
        <v>245</v>
      </c>
      <c r="H1259" s="47" t="s">
        <v>62</v>
      </c>
      <c r="L1259" s="15" t="s">
        <v>275</v>
      </c>
      <c r="M1259" s="15" t="s">
        <v>523</v>
      </c>
      <c r="O1259" s="47" t="s">
        <v>30</v>
      </c>
      <c r="P1259" s="47" t="s">
        <v>46</v>
      </c>
      <c r="AF1259" s="48"/>
      <c r="AG1259" s="48"/>
      <c r="AH1259" s="48"/>
      <c r="AI1259" s="48"/>
    </row>
    <row r="1260" spans="2:35" ht="15" customHeight="1">
      <c r="B1260" s="47">
        <v>1247</v>
      </c>
      <c r="C1260" s="47" t="s">
        <v>102</v>
      </c>
      <c r="D1260" s="47" t="s">
        <v>177</v>
      </c>
      <c r="E1260" s="47" t="s">
        <v>274</v>
      </c>
      <c r="F1260" s="47" t="s">
        <v>192</v>
      </c>
      <c r="G1260" s="47">
        <v>1</v>
      </c>
      <c r="H1260" s="47" t="s">
        <v>62</v>
      </c>
      <c r="I1260" s="47" t="s">
        <v>47</v>
      </c>
      <c r="L1260" s="15" t="s">
        <v>275</v>
      </c>
      <c r="M1260" s="15" t="s">
        <v>523</v>
      </c>
      <c r="O1260" s="47" t="s">
        <v>30</v>
      </c>
      <c r="P1260" s="47" t="s">
        <v>46</v>
      </c>
    </row>
    <row r="1261" spans="2:35" ht="15" customHeight="1">
      <c r="B1261" s="47">
        <v>1248</v>
      </c>
      <c r="C1261" s="47" t="s">
        <v>102</v>
      </c>
      <c r="D1261" s="47" t="s">
        <v>177</v>
      </c>
      <c r="E1261" s="47" t="s">
        <v>274</v>
      </c>
      <c r="F1261" s="47" t="s">
        <v>192</v>
      </c>
      <c r="H1261" s="47" t="s">
        <v>62</v>
      </c>
      <c r="I1261" s="47" t="s">
        <v>47</v>
      </c>
      <c r="L1261" s="15" t="s">
        <v>275</v>
      </c>
      <c r="M1261" s="15" t="s">
        <v>523</v>
      </c>
      <c r="O1261" s="47" t="s">
        <v>30</v>
      </c>
      <c r="P1261" s="47" t="s">
        <v>46</v>
      </c>
    </row>
    <row r="1262" spans="2:35" ht="15" customHeight="1">
      <c r="B1262" s="47">
        <v>1249</v>
      </c>
      <c r="C1262" s="47" t="s">
        <v>102</v>
      </c>
      <c r="D1262" s="47" t="s">
        <v>177</v>
      </c>
      <c r="E1262" s="47" t="s">
        <v>274</v>
      </c>
      <c r="F1262" s="47" t="s">
        <v>247</v>
      </c>
      <c r="G1262" s="47">
        <v>1</v>
      </c>
      <c r="H1262" s="47" t="s">
        <v>62</v>
      </c>
      <c r="I1262" s="47" t="s">
        <v>47</v>
      </c>
      <c r="L1262" s="15" t="s">
        <v>275</v>
      </c>
      <c r="M1262" s="15" t="s">
        <v>523</v>
      </c>
      <c r="O1262" s="47" t="s">
        <v>30</v>
      </c>
      <c r="P1262" s="47" t="s">
        <v>46</v>
      </c>
    </row>
    <row r="1263" spans="2:35" ht="15" customHeight="1">
      <c r="B1263" s="47">
        <v>1250</v>
      </c>
      <c r="C1263" s="47" t="s">
        <v>102</v>
      </c>
      <c r="D1263" s="47" t="s">
        <v>177</v>
      </c>
      <c r="E1263" s="47" t="s">
        <v>274</v>
      </c>
      <c r="F1263" s="47" t="s">
        <v>247</v>
      </c>
      <c r="G1263" s="47">
        <v>1</v>
      </c>
      <c r="H1263" s="47" t="s">
        <v>62</v>
      </c>
      <c r="I1263" s="47" t="s">
        <v>47</v>
      </c>
      <c r="L1263" s="15" t="s">
        <v>275</v>
      </c>
      <c r="M1263" s="15" t="s">
        <v>523</v>
      </c>
      <c r="O1263" s="47" t="s">
        <v>30</v>
      </c>
      <c r="P1263" s="47" t="s">
        <v>46</v>
      </c>
    </row>
    <row r="1264" spans="2:35" ht="15" customHeight="1">
      <c r="B1264" s="47">
        <v>1251</v>
      </c>
      <c r="C1264" s="47" t="s">
        <v>102</v>
      </c>
      <c r="D1264" s="47" t="s">
        <v>177</v>
      </c>
      <c r="E1264" s="47" t="s">
        <v>274</v>
      </c>
      <c r="F1264" s="47" t="s">
        <v>247</v>
      </c>
      <c r="G1264" s="47">
        <v>1</v>
      </c>
      <c r="H1264" s="47" t="s">
        <v>62</v>
      </c>
      <c r="I1264" s="47" t="s">
        <v>47</v>
      </c>
      <c r="L1264" s="15" t="s">
        <v>275</v>
      </c>
      <c r="M1264" s="15" t="s">
        <v>523</v>
      </c>
      <c r="O1264" s="47" t="s">
        <v>30</v>
      </c>
      <c r="P1264" s="47" t="s">
        <v>46</v>
      </c>
    </row>
    <row r="1265" spans="2:35" ht="15" customHeight="1">
      <c r="B1265" s="47">
        <v>1252</v>
      </c>
      <c r="C1265" s="47" t="s">
        <v>102</v>
      </c>
      <c r="D1265" s="47" t="s">
        <v>177</v>
      </c>
      <c r="E1265" s="47" t="s">
        <v>274</v>
      </c>
      <c r="F1265" s="47" t="s">
        <v>247</v>
      </c>
      <c r="G1265" s="47">
        <v>1</v>
      </c>
      <c r="H1265" s="47" t="s">
        <v>62</v>
      </c>
      <c r="I1265" s="47" t="s">
        <v>47</v>
      </c>
      <c r="L1265" s="15" t="s">
        <v>275</v>
      </c>
      <c r="M1265" s="15" t="s">
        <v>523</v>
      </c>
      <c r="O1265" s="47" t="s">
        <v>30</v>
      </c>
      <c r="P1265" s="47" t="s">
        <v>46</v>
      </c>
    </row>
    <row r="1266" spans="2:35" ht="15" customHeight="1">
      <c r="B1266" s="47">
        <v>1253</v>
      </c>
      <c r="C1266" s="47" t="s">
        <v>102</v>
      </c>
      <c r="D1266" s="47" t="s">
        <v>177</v>
      </c>
      <c r="E1266" s="47" t="s">
        <v>274</v>
      </c>
      <c r="F1266" s="47" t="s">
        <v>247</v>
      </c>
      <c r="G1266" s="47">
        <v>1</v>
      </c>
      <c r="H1266" s="47" t="s">
        <v>62</v>
      </c>
      <c r="I1266" s="47" t="s">
        <v>47</v>
      </c>
      <c r="L1266" s="15" t="s">
        <v>275</v>
      </c>
      <c r="M1266" s="15" t="s">
        <v>523</v>
      </c>
      <c r="O1266" s="47" t="s">
        <v>30</v>
      </c>
      <c r="P1266" s="47" t="s">
        <v>46</v>
      </c>
      <c r="AC1266" s="48"/>
      <c r="AD1266" s="48"/>
      <c r="AE1266" s="48"/>
    </row>
    <row r="1267" spans="2:35" ht="15" customHeight="1">
      <c r="B1267" s="47">
        <v>1254</v>
      </c>
      <c r="C1267" s="47" t="s">
        <v>102</v>
      </c>
      <c r="D1267" s="47" t="s">
        <v>177</v>
      </c>
      <c r="E1267" s="47" t="s">
        <v>274</v>
      </c>
      <c r="F1267" s="47" t="s">
        <v>247</v>
      </c>
      <c r="G1267" s="47">
        <v>1</v>
      </c>
      <c r="H1267" s="47" t="s">
        <v>62</v>
      </c>
      <c r="I1267" s="47" t="s">
        <v>47</v>
      </c>
      <c r="L1267" s="15" t="s">
        <v>275</v>
      </c>
      <c r="M1267" s="15" t="s">
        <v>523</v>
      </c>
      <c r="O1267" s="47" t="s">
        <v>30</v>
      </c>
      <c r="P1267" s="47" t="s">
        <v>46</v>
      </c>
      <c r="AC1267" s="48"/>
      <c r="AD1267" s="48"/>
      <c r="AE1267" s="48"/>
    </row>
    <row r="1268" spans="2:35" ht="15" customHeight="1">
      <c r="B1268" s="47">
        <v>1255</v>
      </c>
      <c r="C1268" s="47" t="s">
        <v>102</v>
      </c>
      <c r="D1268" s="47" t="s">
        <v>177</v>
      </c>
      <c r="E1268" s="47" t="s">
        <v>274</v>
      </c>
      <c r="F1268" s="47" t="s">
        <v>248</v>
      </c>
      <c r="H1268" s="47" t="s">
        <v>62</v>
      </c>
      <c r="I1268" s="47" t="s">
        <v>47</v>
      </c>
      <c r="L1268" s="15" t="s">
        <v>275</v>
      </c>
      <c r="M1268" s="15" t="s">
        <v>523</v>
      </c>
      <c r="O1268" s="47" t="s">
        <v>30</v>
      </c>
      <c r="P1268" s="47" t="s">
        <v>46</v>
      </c>
    </row>
    <row r="1269" spans="2:35" ht="15" customHeight="1">
      <c r="B1269" s="47">
        <v>1256</v>
      </c>
      <c r="C1269" s="47" t="s">
        <v>106</v>
      </c>
      <c r="D1269" s="47" t="s">
        <v>177</v>
      </c>
      <c r="E1269" s="47" t="s">
        <v>274</v>
      </c>
      <c r="F1269" s="47" t="s">
        <v>281</v>
      </c>
      <c r="G1269" s="47">
        <v>1</v>
      </c>
      <c r="H1269" s="47" t="s">
        <v>62</v>
      </c>
      <c r="L1269" s="15" t="s">
        <v>275</v>
      </c>
      <c r="M1269" s="15" t="s">
        <v>523</v>
      </c>
      <c r="O1269" s="47" t="s">
        <v>30</v>
      </c>
      <c r="P1269" s="47" t="s">
        <v>46</v>
      </c>
    </row>
    <row r="1270" spans="2:35" ht="15" customHeight="1">
      <c r="B1270" s="47">
        <v>1257</v>
      </c>
      <c r="C1270" s="47" t="s">
        <v>106</v>
      </c>
      <c r="D1270" s="47" t="s">
        <v>177</v>
      </c>
      <c r="E1270" s="47" t="s">
        <v>274</v>
      </c>
      <c r="F1270" s="47" t="s">
        <v>281</v>
      </c>
      <c r="G1270" s="47">
        <v>1</v>
      </c>
      <c r="H1270" s="47" t="s">
        <v>62</v>
      </c>
      <c r="L1270" s="15" t="s">
        <v>275</v>
      </c>
      <c r="M1270" s="15" t="s">
        <v>523</v>
      </c>
      <c r="O1270" s="47" t="s">
        <v>30</v>
      </c>
      <c r="P1270" s="47" t="s">
        <v>46</v>
      </c>
    </row>
    <row r="1271" spans="2:35" ht="15" customHeight="1">
      <c r="B1271" s="47">
        <v>1258</v>
      </c>
      <c r="C1271" s="47" t="s">
        <v>106</v>
      </c>
      <c r="D1271" s="47" t="s">
        <v>177</v>
      </c>
      <c r="E1271" s="47" t="s">
        <v>274</v>
      </c>
      <c r="F1271" s="47" t="s">
        <v>245</v>
      </c>
      <c r="G1271" s="47">
        <v>1</v>
      </c>
      <c r="H1271" s="47" t="s">
        <v>62</v>
      </c>
      <c r="I1271" s="47" t="s">
        <v>30</v>
      </c>
      <c r="L1271" s="15" t="s">
        <v>275</v>
      </c>
      <c r="M1271" s="15" t="s">
        <v>523</v>
      </c>
      <c r="O1271" s="47" t="s">
        <v>30</v>
      </c>
      <c r="P1271" s="47" t="s">
        <v>46</v>
      </c>
      <c r="AF1271" s="48"/>
      <c r="AG1271" s="48"/>
      <c r="AH1271" s="48"/>
      <c r="AI1271" s="48"/>
    </row>
    <row r="1272" spans="2:35" ht="15" customHeight="1">
      <c r="B1272" s="47">
        <v>1259</v>
      </c>
      <c r="C1272" s="47" t="s">
        <v>106</v>
      </c>
      <c r="D1272" s="47" t="s">
        <v>177</v>
      </c>
      <c r="E1272" s="47" t="s">
        <v>274</v>
      </c>
      <c r="F1272" s="47" t="s">
        <v>284</v>
      </c>
      <c r="G1272" s="47">
        <v>1</v>
      </c>
      <c r="H1272" s="47" t="s">
        <v>62</v>
      </c>
      <c r="I1272" s="47" t="s">
        <v>30</v>
      </c>
      <c r="L1272" s="15" t="s">
        <v>275</v>
      </c>
      <c r="M1272" s="15" t="s">
        <v>523</v>
      </c>
      <c r="O1272" s="47" t="s">
        <v>30</v>
      </c>
      <c r="P1272" s="47" t="s">
        <v>46</v>
      </c>
      <c r="AC1272" s="48"/>
      <c r="AD1272" s="48"/>
      <c r="AE1272" s="48"/>
    </row>
    <row r="1273" spans="2:35" ht="15" customHeight="1">
      <c r="B1273" s="47">
        <v>1260</v>
      </c>
      <c r="C1273" s="47" t="s">
        <v>106</v>
      </c>
      <c r="D1273" s="47" t="s">
        <v>177</v>
      </c>
      <c r="E1273" s="47" t="s">
        <v>274</v>
      </c>
      <c r="F1273" s="47" t="s">
        <v>284</v>
      </c>
      <c r="G1273" s="47">
        <v>1</v>
      </c>
      <c r="H1273" s="47" t="s">
        <v>62</v>
      </c>
      <c r="I1273" s="47" t="s">
        <v>30</v>
      </c>
      <c r="L1273" s="15" t="s">
        <v>275</v>
      </c>
      <c r="M1273" s="15" t="s">
        <v>523</v>
      </c>
      <c r="O1273" s="47" t="s">
        <v>30</v>
      </c>
      <c r="P1273" s="47" t="s">
        <v>46</v>
      </c>
      <c r="AC1273" s="48"/>
      <c r="AD1273" s="48"/>
      <c r="AE1273" s="48"/>
    </row>
    <row r="1274" spans="2:35" ht="15" customHeight="1">
      <c r="B1274" s="47">
        <v>1261</v>
      </c>
      <c r="C1274" s="47" t="s">
        <v>106</v>
      </c>
      <c r="D1274" s="47" t="s">
        <v>177</v>
      </c>
      <c r="E1274" s="47" t="s">
        <v>274</v>
      </c>
      <c r="F1274" s="47" t="s">
        <v>185</v>
      </c>
      <c r="G1274" s="47">
        <v>1</v>
      </c>
      <c r="H1274" s="47" t="s">
        <v>62</v>
      </c>
      <c r="I1274" s="47" t="s">
        <v>30</v>
      </c>
      <c r="L1274" s="15" t="s">
        <v>275</v>
      </c>
      <c r="M1274" s="15" t="s">
        <v>523</v>
      </c>
      <c r="O1274" s="47" t="s">
        <v>30</v>
      </c>
      <c r="P1274" s="47" t="s">
        <v>46</v>
      </c>
    </row>
    <row r="1275" spans="2:35" ht="15" customHeight="1">
      <c r="B1275" s="47">
        <v>1262</v>
      </c>
      <c r="C1275" s="47" t="s">
        <v>106</v>
      </c>
      <c r="D1275" s="47" t="s">
        <v>177</v>
      </c>
      <c r="E1275" s="47" t="s">
        <v>274</v>
      </c>
      <c r="F1275" s="47" t="s">
        <v>185</v>
      </c>
      <c r="G1275" s="47">
        <v>1</v>
      </c>
      <c r="H1275" s="47" t="s">
        <v>62</v>
      </c>
      <c r="I1275" s="47" t="s">
        <v>30</v>
      </c>
      <c r="L1275" s="15" t="s">
        <v>275</v>
      </c>
      <c r="M1275" s="15" t="s">
        <v>523</v>
      </c>
      <c r="O1275" s="47" t="s">
        <v>30</v>
      </c>
      <c r="P1275" s="47" t="s">
        <v>46</v>
      </c>
    </row>
    <row r="1276" spans="2:35" ht="15" customHeight="1">
      <c r="B1276" s="47">
        <v>1263</v>
      </c>
      <c r="C1276" s="47" t="s">
        <v>106</v>
      </c>
      <c r="D1276" s="47" t="s">
        <v>177</v>
      </c>
      <c r="E1276" s="47" t="s">
        <v>274</v>
      </c>
      <c r="F1276" s="47" t="s">
        <v>185</v>
      </c>
      <c r="G1276" s="47">
        <v>1</v>
      </c>
      <c r="H1276" s="47" t="s">
        <v>62</v>
      </c>
      <c r="I1276" s="47" t="s">
        <v>30</v>
      </c>
      <c r="L1276" s="15" t="s">
        <v>275</v>
      </c>
      <c r="M1276" s="15" t="s">
        <v>523</v>
      </c>
      <c r="O1276" s="47" t="s">
        <v>30</v>
      </c>
      <c r="P1276" s="47" t="s">
        <v>46</v>
      </c>
    </row>
    <row r="1277" spans="2:35" ht="15" customHeight="1">
      <c r="B1277" s="47">
        <v>1264</v>
      </c>
      <c r="C1277" s="47" t="s">
        <v>106</v>
      </c>
      <c r="D1277" s="47" t="s">
        <v>177</v>
      </c>
      <c r="E1277" s="47" t="s">
        <v>274</v>
      </c>
      <c r="F1277" s="47" t="s">
        <v>185</v>
      </c>
      <c r="G1277" s="47">
        <v>1</v>
      </c>
      <c r="H1277" s="47" t="s">
        <v>62</v>
      </c>
      <c r="I1277" s="47" t="s">
        <v>30</v>
      </c>
      <c r="L1277" s="15" t="s">
        <v>275</v>
      </c>
      <c r="M1277" s="15" t="s">
        <v>523</v>
      </c>
      <c r="O1277" s="47" t="s">
        <v>30</v>
      </c>
      <c r="P1277" s="47" t="s">
        <v>46</v>
      </c>
    </row>
    <row r="1278" spans="2:35" ht="15" customHeight="1">
      <c r="B1278" s="47">
        <v>1265</v>
      </c>
      <c r="C1278" s="47" t="s">
        <v>106</v>
      </c>
      <c r="D1278" s="47" t="s">
        <v>177</v>
      </c>
      <c r="E1278" s="47" t="s">
        <v>274</v>
      </c>
      <c r="F1278" s="47" t="s">
        <v>185</v>
      </c>
      <c r="G1278" s="47">
        <v>1</v>
      </c>
      <c r="H1278" s="47" t="s">
        <v>62</v>
      </c>
      <c r="I1278" s="47" t="s">
        <v>30</v>
      </c>
      <c r="L1278" s="15" t="s">
        <v>275</v>
      </c>
      <c r="M1278" s="15" t="s">
        <v>523</v>
      </c>
      <c r="O1278" s="47" t="s">
        <v>30</v>
      </c>
      <c r="P1278" s="47" t="s">
        <v>46</v>
      </c>
    </row>
    <row r="1279" spans="2:35" ht="15" customHeight="1">
      <c r="B1279" s="47">
        <v>1266</v>
      </c>
      <c r="C1279" s="47" t="s">
        <v>106</v>
      </c>
      <c r="D1279" s="47" t="s">
        <v>177</v>
      </c>
      <c r="E1279" s="47" t="s">
        <v>274</v>
      </c>
      <c r="F1279" s="47" t="s">
        <v>185</v>
      </c>
      <c r="G1279" s="47">
        <v>1</v>
      </c>
      <c r="H1279" s="47" t="s">
        <v>62</v>
      </c>
      <c r="I1279" s="47" t="s">
        <v>30</v>
      </c>
      <c r="L1279" s="15" t="s">
        <v>275</v>
      </c>
      <c r="M1279" s="15" t="s">
        <v>523</v>
      </c>
      <c r="O1279" s="47" t="s">
        <v>30</v>
      </c>
      <c r="P1279" s="47" t="s">
        <v>46</v>
      </c>
    </row>
    <row r="1280" spans="2:35" ht="15" customHeight="1">
      <c r="B1280" s="47">
        <v>1267</v>
      </c>
      <c r="C1280" s="47" t="s">
        <v>106</v>
      </c>
      <c r="D1280" s="47" t="s">
        <v>177</v>
      </c>
      <c r="E1280" s="47" t="s">
        <v>274</v>
      </c>
      <c r="F1280" s="47" t="s">
        <v>185</v>
      </c>
      <c r="G1280" s="47">
        <v>1</v>
      </c>
      <c r="H1280" s="47" t="s">
        <v>62</v>
      </c>
      <c r="I1280" s="47" t="s">
        <v>30</v>
      </c>
      <c r="L1280" s="15" t="s">
        <v>275</v>
      </c>
      <c r="M1280" s="15" t="s">
        <v>523</v>
      </c>
      <c r="O1280" s="47" t="s">
        <v>30</v>
      </c>
      <c r="P1280" s="47" t="s">
        <v>46</v>
      </c>
    </row>
    <row r="1281" spans="2:16" ht="15" customHeight="1">
      <c r="B1281" s="47">
        <v>1268</v>
      </c>
      <c r="C1281" s="47" t="s">
        <v>106</v>
      </c>
      <c r="D1281" s="47" t="s">
        <v>177</v>
      </c>
      <c r="E1281" s="47" t="s">
        <v>274</v>
      </c>
      <c r="F1281" s="47" t="s">
        <v>284</v>
      </c>
      <c r="G1281" s="47">
        <v>1</v>
      </c>
      <c r="H1281" s="47" t="s">
        <v>62</v>
      </c>
      <c r="I1281" s="47" t="s">
        <v>30</v>
      </c>
      <c r="L1281" s="15" t="s">
        <v>275</v>
      </c>
      <c r="M1281" s="15" t="s">
        <v>523</v>
      </c>
      <c r="O1281" s="47" t="s">
        <v>30</v>
      </c>
      <c r="P1281" s="47" t="s">
        <v>46</v>
      </c>
    </row>
    <row r="1282" spans="2:16" ht="15" customHeight="1">
      <c r="B1282" s="47">
        <v>1269</v>
      </c>
      <c r="C1282" s="47" t="s">
        <v>106</v>
      </c>
      <c r="D1282" s="47" t="s">
        <v>177</v>
      </c>
      <c r="E1282" s="47" t="s">
        <v>274</v>
      </c>
      <c r="F1282" s="47" t="s">
        <v>284</v>
      </c>
      <c r="G1282" s="47">
        <v>1</v>
      </c>
      <c r="H1282" s="47" t="s">
        <v>62</v>
      </c>
      <c r="I1282" s="47" t="s">
        <v>30</v>
      </c>
      <c r="L1282" s="15" t="s">
        <v>275</v>
      </c>
      <c r="M1282" s="15" t="s">
        <v>523</v>
      </c>
      <c r="O1282" s="47" t="s">
        <v>30</v>
      </c>
      <c r="P1282" s="47" t="s">
        <v>46</v>
      </c>
    </row>
    <row r="1283" spans="2:16" ht="15" customHeight="1">
      <c r="B1283" s="47">
        <v>1270</v>
      </c>
      <c r="C1283" s="47" t="s">
        <v>106</v>
      </c>
      <c r="D1283" s="47" t="s">
        <v>177</v>
      </c>
      <c r="E1283" s="47" t="s">
        <v>274</v>
      </c>
      <c r="F1283" s="47" t="s">
        <v>281</v>
      </c>
      <c r="G1283" s="47">
        <v>1</v>
      </c>
      <c r="H1283" s="47" t="s">
        <v>62</v>
      </c>
      <c r="I1283" s="47" t="s">
        <v>30</v>
      </c>
      <c r="L1283" s="15" t="s">
        <v>275</v>
      </c>
      <c r="M1283" s="15" t="s">
        <v>523</v>
      </c>
      <c r="O1283" s="47" t="s">
        <v>30</v>
      </c>
      <c r="P1283" s="47" t="s">
        <v>46</v>
      </c>
    </row>
    <row r="1284" spans="2:16" ht="15" customHeight="1">
      <c r="B1284" s="47">
        <v>1271</v>
      </c>
      <c r="C1284" s="47" t="s">
        <v>106</v>
      </c>
      <c r="D1284" s="47" t="s">
        <v>177</v>
      </c>
      <c r="E1284" s="47" t="s">
        <v>274</v>
      </c>
      <c r="F1284" s="47" t="s">
        <v>245</v>
      </c>
      <c r="G1284" s="47">
        <v>1</v>
      </c>
      <c r="H1284" s="47" t="s">
        <v>62</v>
      </c>
      <c r="I1284" s="47" t="s">
        <v>30</v>
      </c>
      <c r="L1284" s="15" t="s">
        <v>275</v>
      </c>
      <c r="M1284" s="15" t="s">
        <v>523</v>
      </c>
      <c r="O1284" s="47" t="s">
        <v>30</v>
      </c>
      <c r="P1284" s="47" t="s">
        <v>46</v>
      </c>
    </row>
    <row r="1285" spans="2:16" ht="15" customHeight="1">
      <c r="B1285" s="47">
        <v>1272</v>
      </c>
      <c r="C1285" s="47" t="s">
        <v>106</v>
      </c>
      <c r="D1285" s="47" t="s">
        <v>177</v>
      </c>
      <c r="E1285" s="47" t="s">
        <v>274</v>
      </c>
      <c r="F1285" s="47" t="s">
        <v>245</v>
      </c>
      <c r="G1285" s="47">
        <v>1</v>
      </c>
      <c r="H1285" s="47" t="s">
        <v>62</v>
      </c>
      <c r="I1285" s="47" t="s">
        <v>30</v>
      </c>
      <c r="L1285" s="15" t="s">
        <v>275</v>
      </c>
      <c r="M1285" s="15" t="s">
        <v>523</v>
      </c>
      <c r="O1285" s="47" t="s">
        <v>30</v>
      </c>
      <c r="P1285" s="47" t="s">
        <v>46</v>
      </c>
    </row>
    <row r="1286" spans="2:16" ht="15" customHeight="1">
      <c r="B1286" s="47">
        <v>1273</v>
      </c>
      <c r="C1286" s="47" t="s">
        <v>106</v>
      </c>
      <c r="D1286" s="47" t="s">
        <v>177</v>
      </c>
      <c r="E1286" s="47" t="s">
        <v>274</v>
      </c>
      <c r="F1286" s="47" t="s">
        <v>245</v>
      </c>
      <c r="G1286" s="47">
        <v>1</v>
      </c>
      <c r="H1286" s="47" t="s">
        <v>62</v>
      </c>
      <c r="I1286" s="47" t="s">
        <v>30</v>
      </c>
      <c r="L1286" s="15" t="s">
        <v>275</v>
      </c>
      <c r="M1286" s="15" t="s">
        <v>523</v>
      </c>
      <c r="O1286" s="47" t="s">
        <v>30</v>
      </c>
      <c r="P1286" s="47" t="s">
        <v>46</v>
      </c>
    </row>
    <row r="1287" spans="2:16" ht="15" customHeight="1">
      <c r="B1287" s="47">
        <v>1274</v>
      </c>
      <c r="C1287" s="47" t="s">
        <v>106</v>
      </c>
      <c r="D1287" s="47" t="s">
        <v>177</v>
      </c>
      <c r="E1287" s="47" t="s">
        <v>274</v>
      </c>
      <c r="F1287" s="47" t="s">
        <v>284</v>
      </c>
      <c r="G1287" s="47">
        <v>1</v>
      </c>
      <c r="H1287" s="47" t="s">
        <v>62</v>
      </c>
      <c r="I1287" s="47" t="s">
        <v>30</v>
      </c>
      <c r="L1287" s="15" t="s">
        <v>275</v>
      </c>
      <c r="M1287" s="15" t="s">
        <v>523</v>
      </c>
      <c r="O1287" s="47" t="s">
        <v>30</v>
      </c>
      <c r="P1287" s="47" t="s">
        <v>46</v>
      </c>
    </row>
    <row r="1288" spans="2:16" ht="15" customHeight="1">
      <c r="B1288" s="47">
        <v>1275</v>
      </c>
      <c r="C1288" s="47" t="s">
        <v>106</v>
      </c>
      <c r="D1288" s="47" t="s">
        <v>177</v>
      </c>
      <c r="E1288" s="47" t="s">
        <v>274</v>
      </c>
      <c r="F1288" s="47" t="s">
        <v>284</v>
      </c>
      <c r="G1288" s="47">
        <v>1</v>
      </c>
      <c r="H1288" s="47" t="s">
        <v>62</v>
      </c>
      <c r="I1288" s="47" t="s">
        <v>30</v>
      </c>
      <c r="L1288" s="15" t="s">
        <v>275</v>
      </c>
      <c r="M1288" s="15" t="s">
        <v>523</v>
      </c>
      <c r="O1288" s="47" t="s">
        <v>30</v>
      </c>
      <c r="P1288" s="47" t="s">
        <v>46</v>
      </c>
    </row>
    <row r="1289" spans="2:16" ht="15" customHeight="1">
      <c r="B1289" s="47">
        <v>1276</v>
      </c>
      <c r="C1289" s="47" t="s">
        <v>106</v>
      </c>
      <c r="D1289" s="47" t="s">
        <v>177</v>
      </c>
      <c r="E1289" s="47" t="s">
        <v>274</v>
      </c>
      <c r="F1289" s="47" t="s">
        <v>284</v>
      </c>
      <c r="G1289" s="47">
        <v>1</v>
      </c>
      <c r="H1289" s="47" t="s">
        <v>62</v>
      </c>
      <c r="I1289" s="47" t="s">
        <v>30</v>
      </c>
      <c r="L1289" s="15" t="s">
        <v>275</v>
      </c>
      <c r="M1289" s="15" t="s">
        <v>523</v>
      </c>
      <c r="O1289" s="47" t="s">
        <v>30</v>
      </c>
      <c r="P1289" s="47" t="s">
        <v>46</v>
      </c>
    </row>
    <row r="1290" spans="2:16" ht="15" customHeight="1">
      <c r="B1290" s="47">
        <v>1277</v>
      </c>
      <c r="C1290" s="47" t="s">
        <v>106</v>
      </c>
      <c r="D1290" s="47" t="s">
        <v>177</v>
      </c>
      <c r="E1290" s="47" t="s">
        <v>274</v>
      </c>
      <c r="F1290" s="47" t="s">
        <v>284</v>
      </c>
      <c r="G1290" s="47">
        <v>1</v>
      </c>
      <c r="H1290" s="47" t="s">
        <v>62</v>
      </c>
      <c r="I1290" s="47" t="s">
        <v>30</v>
      </c>
      <c r="L1290" s="15" t="s">
        <v>275</v>
      </c>
      <c r="M1290" s="15" t="s">
        <v>523</v>
      </c>
      <c r="O1290" s="47" t="s">
        <v>30</v>
      </c>
      <c r="P1290" s="47" t="s">
        <v>46</v>
      </c>
    </row>
    <row r="1291" spans="2:16" ht="15" customHeight="1">
      <c r="B1291" s="47">
        <v>1278</v>
      </c>
      <c r="C1291" s="47" t="s">
        <v>106</v>
      </c>
      <c r="D1291" s="47" t="s">
        <v>177</v>
      </c>
      <c r="E1291" s="47" t="s">
        <v>274</v>
      </c>
      <c r="F1291" s="47" t="s">
        <v>284</v>
      </c>
      <c r="G1291" s="47">
        <v>1</v>
      </c>
      <c r="H1291" s="47" t="s">
        <v>62</v>
      </c>
      <c r="I1291" s="47" t="s">
        <v>30</v>
      </c>
      <c r="L1291" s="15" t="s">
        <v>275</v>
      </c>
      <c r="M1291" s="15" t="s">
        <v>523</v>
      </c>
      <c r="O1291" s="47" t="s">
        <v>30</v>
      </c>
      <c r="P1291" s="47" t="s">
        <v>46</v>
      </c>
    </row>
    <row r="1292" spans="2:16" ht="15" customHeight="1">
      <c r="B1292" s="47">
        <v>1279</v>
      </c>
      <c r="C1292" s="47" t="s">
        <v>106</v>
      </c>
      <c r="D1292" s="47" t="s">
        <v>177</v>
      </c>
      <c r="E1292" s="47" t="s">
        <v>274</v>
      </c>
      <c r="F1292" s="47" t="s">
        <v>284</v>
      </c>
      <c r="G1292" s="47">
        <v>1</v>
      </c>
      <c r="H1292" s="47" t="s">
        <v>62</v>
      </c>
      <c r="I1292" s="47" t="s">
        <v>30</v>
      </c>
      <c r="L1292" s="15" t="s">
        <v>275</v>
      </c>
      <c r="M1292" s="15" t="s">
        <v>523</v>
      </c>
      <c r="O1292" s="47" t="s">
        <v>30</v>
      </c>
      <c r="P1292" s="47" t="s">
        <v>46</v>
      </c>
    </row>
    <row r="1293" spans="2:16" ht="15" customHeight="1">
      <c r="B1293" s="47">
        <v>1280</v>
      </c>
      <c r="C1293" s="47" t="s">
        <v>106</v>
      </c>
      <c r="D1293" s="47" t="s">
        <v>177</v>
      </c>
      <c r="E1293" s="47" t="s">
        <v>274</v>
      </c>
      <c r="F1293" s="47" t="s">
        <v>284</v>
      </c>
      <c r="G1293" s="47">
        <v>1</v>
      </c>
      <c r="H1293" s="47" t="s">
        <v>62</v>
      </c>
      <c r="I1293" s="47" t="s">
        <v>30</v>
      </c>
      <c r="L1293" s="15" t="s">
        <v>275</v>
      </c>
      <c r="M1293" s="15" t="s">
        <v>523</v>
      </c>
      <c r="O1293" s="47" t="s">
        <v>30</v>
      </c>
      <c r="P1293" s="47" t="s">
        <v>46</v>
      </c>
    </row>
    <row r="1294" spans="2:16" ht="15" customHeight="1">
      <c r="B1294" s="47">
        <v>1281</v>
      </c>
      <c r="C1294" s="47" t="s">
        <v>106</v>
      </c>
      <c r="D1294" s="47" t="s">
        <v>177</v>
      </c>
      <c r="E1294" s="47" t="s">
        <v>274</v>
      </c>
      <c r="F1294" s="47" t="s">
        <v>284</v>
      </c>
      <c r="G1294" s="47">
        <v>1</v>
      </c>
      <c r="H1294" s="47" t="s">
        <v>62</v>
      </c>
      <c r="I1294" s="47" t="s">
        <v>30</v>
      </c>
      <c r="L1294" s="15" t="s">
        <v>275</v>
      </c>
      <c r="M1294" s="15" t="s">
        <v>523</v>
      </c>
      <c r="O1294" s="47" t="s">
        <v>30</v>
      </c>
      <c r="P1294" s="47" t="s">
        <v>46</v>
      </c>
    </row>
    <row r="1295" spans="2:16" ht="15" customHeight="1">
      <c r="B1295">
        <v>1283</v>
      </c>
      <c r="C1295" t="s">
        <v>851</v>
      </c>
      <c r="D1295" s="2" t="s">
        <v>177</v>
      </c>
      <c r="F1295" s="47" t="s">
        <v>185</v>
      </c>
      <c r="H1295" s="47" t="s">
        <v>47</v>
      </c>
      <c r="I1295" s="47" t="s">
        <v>30</v>
      </c>
      <c r="J1295" s="47" t="s">
        <v>35</v>
      </c>
    </row>
    <row r="1296" spans="2:16" ht="15" customHeight="1">
      <c r="B1296">
        <v>1284</v>
      </c>
      <c r="C1296" t="s">
        <v>851</v>
      </c>
      <c r="D1296" s="2" t="s">
        <v>177</v>
      </c>
      <c r="F1296" s="47" t="s">
        <v>185</v>
      </c>
      <c r="H1296" s="47" t="s">
        <v>47</v>
      </c>
      <c r="I1296" s="47" t="s">
        <v>30</v>
      </c>
      <c r="J1296" s="47" t="s">
        <v>35</v>
      </c>
    </row>
    <row r="1297" spans="2:10" ht="15" customHeight="1">
      <c r="B1297">
        <v>1285</v>
      </c>
      <c r="C1297" t="s">
        <v>851</v>
      </c>
      <c r="D1297" s="2" t="s">
        <v>177</v>
      </c>
      <c r="F1297" s="47" t="s">
        <v>185</v>
      </c>
      <c r="H1297" s="47" t="s">
        <v>47</v>
      </c>
      <c r="I1297" s="47" t="s">
        <v>30</v>
      </c>
      <c r="J1297" s="47" t="s">
        <v>35</v>
      </c>
    </row>
    <row r="1298" spans="2:10" ht="15" customHeight="1">
      <c r="B1298">
        <v>1286</v>
      </c>
      <c r="C1298" t="s">
        <v>851</v>
      </c>
      <c r="D1298" s="2" t="s">
        <v>177</v>
      </c>
      <c r="F1298" s="47" t="s">
        <v>185</v>
      </c>
      <c r="H1298" s="47" t="s">
        <v>47</v>
      </c>
      <c r="I1298" s="47" t="s">
        <v>30</v>
      </c>
      <c r="J1298" s="47" t="s">
        <v>35</v>
      </c>
    </row>
    <row r="1299" spans="2:10" ht="15" customHeight="1">
      <c r="B1299">
        <v>1287</v>
      </c>
      <c r="C1299" t="s">
        <v>851</v>
      </c>
      <c r="D1299" s="2" t="s">
        <v>177</v>
      </c>
      <c r="F1299" s="47" t="s">
        <v>185</v>
      </c>
      <c r="H1299" s="47" t="s">
        <v>47</v>
      </c>
      <c r="I1299" s="47" t="s">
        <v>30</v>
      </c>
      <c r="J1299" s="47" t="s">
        <v>35</v>
      </c>
    </row>
    <row r="1300" spans="2:10" ht="15" customHeight="1">
      <c r="B1300">
        <v>1288</v>
      </c>
      <c r="C1300" t="s">
        <v>851</v>
      </c>
      <c r="D1300" s="2" t="s">
        <v>177</v>
      </c>
      <c r="F1300" s="47" t="s">
        <v>185</v>
      </c>
      <c r="H1300" s="47" t="s">
        <v>47</v>
      </c>
      <c r="I1300" s="47" t="s">
        <v>30</v>
      </c>
      <c r="J1300" s="47" t="s">
        <v>35</v>
      </c>
    </row>
    <row r="1301" spans="2:10" ht="15" customHeight="1">
      <c r="B1301">
        <v>1289</v>
      </c>
      <c r="C1301" t="s">
        <v>851</v>
      </c>
      <c r="D1301" s="2" t="s">
        <v>177</v>
      </c>
      <c r="F1301" s="47" t="s">
        <v>185</v>
      </c>
      <c r="H1301" s="47" t="s">
        <v>47</v>
      </c>
      <c r="I1301" s="47" t="s">
        <v>30</v>
      </c>
      <c r="J1301" s="47" t="s">
        <v>35</v>
      </c>
    </row>
    <row r="1302" spans="2:10" ht="15" customHeight="1">
      <c r="B1302">
        <v>1290</v>
      </c>
      <c r="C1302" t="s">
        <v>851</v>
      </c>
      <c r="D1302" s="2" t="s">
        <v>177</v>
      </c>
      <c r="F1302" s="47" t="s">
        <v>185</v>
      </c>
      <c r="H1302" s="47" t="s">
        <v>47</v>
      </c>
      <c r="I1302" s="47" t="s">
        <v>30</v>
      </c>
      <c r="J1302" s="47" t="s">
        <v>35</v>
      </c>
    </row>
    <row r="1303" spans="2:10" ht="15" customHeight="1">
      <c r="B1303">
        <v>1291</v>
      </c>
      <c r="C1303" t="s">
        <v>851</v>
      </c>
      <c r="D1303" s="2" t="s">
        <v>177</v>
      </c>
      <c r="F1303" s="47" t="s">
        <v>185</v>
      </c>
      <c r="H1303" s="47" t="s">
        <v>47</v>
      </c>
      <c r="I1303" s="47" t="s">
        <v>30</v>
      </c>
      <c r="J1303" s="47" t="s">
        <v>35</v>
      </c>
    </row>
    <row r="1304" spans="2:10" ht="15" customHeight="1">
      <c r="B1304">
        <v>1292</v>
      </c>
      <c r="C1304" t="s">
        <v>851</v>
      </c>
      <c r="D1304" s="2" t="s">
        <v>177</v>
      </c>
      <c r="F1304" s="47" t="s">
        <v>185</v>
      </c>
      <c r="H1304" s="47" t="s">
        <v>47</v>
      </c>
      <c r="I1304" s="47" t="s">
        <v>30</v>
      </c>
      <c r="J1304" s="47" t="s">
        <v>35</v>
      </c>
    </row>
    <row r="1305" spans="2:10" ht="15" customHeight="1">
      <c r="B1305">
        <v>1293</v>
      </c>
      <c r="C1305" t="s">
        <v>851</v>
      </c>
      <c r="D1305" s="2" t="s">
        <v>177</v>
      </c>
      <c r="F1305" s="47" t="s">
        <v>185</v>
      </c>
      <c r="H1305" s="47" t="s">
        <v>47</v>
      </c>
      <c r="I1305" s="47" t="s">
        <v>30</v>
      </c>
      <c r="J1305" s="47" t="s">
        <v>35</v>
      </c>
    </row>
    <row r="1306" spans="2:10" ht="15" customHeight="1">
      <c r="B1306">
        <v>1294</v>
      </c>
      <c r="C1306" t="s">
        <v>851</v>
      </c>
      <c r="D1306" s="2" t="s">
        <v>177</v>
      </c>
      <c r="F1306" s="47" t="s">
        <v>185</v>
      </c>
      <c r="H1306" s="47" t="s">
        <v>47</v>
      </c>
      <c r="I1306" s="47" t="s">
        <v>30</v>
      </c>
      <c r="J1306" s="47" t="s">
        <v>35</v>
      </c>
    </row>
    <row r="1307" spans="2:10" ht="15" customHeight="1">
      <c r="B1307">
        <v>1295</v>
      </c>
      <c r="C1307" t="s">
        <v>851</v>
      </c>
      <c r="D1307" s="2" t="s">
        <v>177</v>
      </c>
      <c r="F1307" s="47" t="s">
        <v>185</v>
      </c>
      <c r="H1307" s="47" t="s">
        <v>47</v>
      </c>
      <c r="I1307" s="47" t="s">
        <v>30</v>
      </c>
      <c r="J1307" s="47" t="s">
        <v>35</v>
      </c>
    </row>
    <row r="1308" spans="2:10" ht="15" customHeight="1">
      <c r="B1308">
        <v>1296</v>
      </c>
      <c r="C1308" t="s">
        <v>851</v>
      </c>
      <c r="D1308" s="2" t="s">
        <v>177</v>
      </c>
      <c r="F1308" s="47" t="s">
        <v>185</v>
      </c>
      <c r="H1308" s="47" t="s">
        <v>47</v>
      </c>
      <c r="I1308" s="47" t="s">
        <v>30</v>
      </c>
      <c r="J1308" s="47" t="s">
        <v>35</v>
      </c>
    </row>
    <row r="1309" spans="2:10" ht="15" customHeight="1">
      <c r="B1309">
        <v>1297</v>
      </c>
      <c r="C1309" t="s">
        <v>851</v>
      </c>
      <c r="D1309" s="2" t="s">
        <v>177</v>
      </c>
      <c r="F1309" s="47" t="s">
        <v>185</v>
      </c>
      <c r="H1309" s="47" t="s">
        <v>47</v>
      </c>
      <c r="I1309" s="47" t="s">
        <v>30</v>
      </c>
      <c r="J1309" s="47" t="s">
        <v>35</v>
      </c>
    </row>
    <row r="1310" spans="2:10" ht="15" customHeight="1">
      <c r="B1310">
        <v>1298</v>
      </c>
      <c r="C1310" t="s">
        <v>851</v>
      </c>
      <c r="D1310" s="2" t="s">
        <v>177</v>
      </c>
      <c r="F1310" s="47" t="s">
        <v>185</v>
      </c>
      <c r="H1310" s="47" t="s">
        <v>47</v>
      </c>
      <c r="I1310" s="47" t="s">
        <v>30</v>
      </c>
      <c r="J1310" s="47" t="s">
        <v>35</v>
      </c>
    </row>
    <row r="1311" spans="2:10" ht="15" customHeight="1">
      <c r="B1311">
        <v>1299</v>
      </c>
      <c r="C1311" t="s">
        <v>851</v>
      </c>
      <c r="D1311" s="2" t="s">
        <v>177</v>
      </c>
      <c r="F1311" s="47" t="s">
        <v>185</v>
      </c>
      <c r="H1311" s="47" t="s">
        <v>47</v>
      </c>
      <c r="I1311" s="47" t="s">
        <v>30</v>
      </c>
      <c r="J1311" s="47" t="s">
        <v>35</v>
      </c>
    </row>
    <row r="1312" spans="2:10" ht="15" customHeight="1">
      <c r="B1312">
        <v>1300</v>
      </c>
      <c r="C1312" t="s">
        <v>851</v>
      </c>
      <c r="D1312" s="2" t="s">
        <v>177</v>
      </c>
      <c r="F1312" s="47" t="s">
        <v>185</v>
      </c>
      <c r="H1312" s="47" t="s">
        <v>47</v>
      </c>
      <c r="I1312" s="47" t="s">
        <v>30</v>
      </c>
      <c r="J1312" s="47" t="s">
        <v>35</v>
      </c>
    </row>
    <row r="1313" spans="2:10" ht="15" customHeight="1">
      <c r="B1313">
        <v>1301</v>
      </c>
      <c r="C1313" t="s">
        <v>851</v>
      </c>
      <c r="D1313" s="2" t="s">
        <v>177</v>
      </c>
      <c r="F1313" s="47" t="s">
        <v>185</v>
      </c>
      <c r="H1313" s="47" t="s">
        <v>47</v>
      </c>
      <c r="I1313" s="47" t="s">
        <v>30</v>
      </c>
      <c r="J1313" s="47" t="s">
        <v>35</v>
      </c>
    </row>
    <row r="1314" spans="2:10" ht="15" customHeight="1">
      <c r="B1314">
        <v>1302</v>
      </c>
      <c r="C1314" t="s">
        <v>851</v>
      </c>
      <c r="D1314" s="2" t="s">
        <v>177</v>
      </c>
      <c r="F1314" s="47" t="s">
        <v>185</v>
      </c>
      <c r="H1314" s="47" t="s">
        <v>47</v>
      </c>
      <c r="I1314" s="47" t="s">
        <v>30</v>
      </c>
      <c r="J1314" s="47" t="s">
        <v>35</v>
      </c>
    </row>
    <row r="1315" spans="2:10" ht="15" customHeight="1">
      <c r="B1315">
        <v>1303</v>
      </c>
      <c r="C1315" t="s">
        <v>851</v>
      </c>
      <c r="D1315" s="2" t="s">
        <v>177</v>
      </c>
      <c r="F1315" s="47" t="s">
        <v>185</v>
      </c>
      <c r="H1315" s="47" t="s">
        <v>47</v>
      </c>
      <c r="I1315" s="47" t="s">
        <v>30</v>
      </c>
      <c r="J1315" s="47" t="s">
        <v>35</v>
      </c>
    </row>
    <row r="1316" spans="2:10" ht="15" customHeight="1">
      <c r="B1316">
        <v>1304</v>
      </c>
      <c r="C1316" t="s">
        <v>851</v>
      </c>
      <c r="D1316" s="2" t="s">
        <v>177</v>
      </c>
      <c r="F1316" s="47" t="s">
        <v>185</v>
      </c>
      <c r="H1316" s="47" t="s">
        <v>47</v>
      </c>
      <c r="I1316" s="47" t="s">
        <v>30</v>
      </c>
      <c r="J1316" s="47" t="s">
        <v>35</v>
      </c>
    </row>
    <row r="1317" spans="2:10" ht="15" customHeight="1">
      <c r="B1317">
        <v>1305</v>
      </c>
      <c r="C1317" t="s">
        <v>851</v>
      </c>
      <c r="D1317" s="2" t="s">
        <v>177</v>
      </c>
      <c r="F1317" s="47" t="s">
        <v>185</v>
      </c>
      <c r="H1317" s="47" t="s">
        <v>47</v>
      </c>
      <c r="I1317" s="47" t="s">
        <v>30</v>
      </c>
      <c r="J1317" s="47" t="s">
        <v>35</v>
      </c>
    </row>
    <row r="1318" spans="2:10" ht="15" customHeight="1">
      <c r="B1318">
        <v>1306</v>
      </c>
      <c r="C1318" t="s">
        <v>851</v>
      </c>
      <c r="D1318" s="2" t="s">
        <v>177</v>
      </c>
      <c r="F1318" s="47" t="s">
        <v>185</v>
      </c>
      <c r="H1318" s="47" t="s">
        <v>47</v>
      </c>
      <c r="I1318" s="47" t="s">
        <v>30</v>
      </c>
      <c r="J1318" s="47" t="s">
        <v>35</v>
      </c>
    </row>
    <row r="1319" spans="2:10" ht="15" customHeight="1">
      <c r="B1319">
        <v>1307</v>
      </c>
      <c r="C1319" t="s">
        <v>851</v>
      </c>
      <c r="D1319" s="2" t="s">
        <v>177</v>
      </c>
      <c r="F1319" s="47" t="s">
        <v>185</v>
      </c>
      <c r="H1319" s="47" t="s">
        <v>47</v>
      </c>
      <c r="I1319" s="47" t="s">
        <v>30</v>
      </c>
      <c r="J1319" s="47" t="s">
        <v>35</v>
      </c>
    </row>
    <row r="1320" spans="2:10" ht="15" customHeight="1">
      <c r="B1320">
        <v>1308</v>
      </c>
      <c r="C1320" t="s">
        <v>851</v>
      </c>
      <c r="D1320" t="s">
        <v>224</v>
      </c>
    </row>
    <row r="1321" spans="2:10" ht="15" customHeight="1">
      <c r="B1321">
        <v>1309</v>
      </c>
      <c r="C1321" t="s">
        <v>851</v>
      </c>
      <c r="D1321" t="s">
        <v>224</v>
      </c>
    </row>
    <row r="1322" spans="2:10" ht="15" customHeight="1">
      <c r="B1322">
        <v>1310</v>
      </c>
      <c r="C1322" t="s">
        <v>851</v>
      </c>
      <c r="D1322" t="s">
        <v>224</v>
      </c>
    </row>
    <row r="1323" spans="2:10" ht="15" customHeight="1">
      <c r="B1323">
        <v>1311</v>
      </c>
      <c r="C1323" t="s">
        <v>851</v>
      </c>
      <c r="D1323" t="s">
        <v>204</v>
      </c>
    </row>
    <row r="1324" spans="2:10" ht="15" customHeight="1">
      <c r="B1324">
        <v>1312</v>
      </c>
      <c r="C1324" t="s">
        <v>851</v>
      </c>
      <c r="D1324" s="47" t="s">
        <v>1124</v>
      </c>
      <c r="E1324" t="s">
        <v>1117</v>
      </c>
    </row>
    <row r="1325" spans="2:10" ht="15" customHeight="1">
      <c r="B1325">
        <v>1313</v>
      </c>
      <c r="C1325" t="s">
        <v>851</v>
      </c>
      <c r="D1325" s="47" t="s">
        <v>1124</v>
      </c>
      <c r="E1325" t="s">
        <v>1118</v>
      </c>
    </row>
    <row r="1326" spans="2:10" ht="15" customHeight="1">
      <c r="B1326">
        <v>1314</v>
      </c>
      <c r="C1326" t="s">
        <v>851</v>
      </c>
      <c r="D1326" s="47" t="s">
        <v>1124</v>
      </c>
      <c r="E1326" t="s">
        <v>1119</v>
      </c>
    </row>
    <row r="1327" spans="2:10" ht="15" customHeight="1">
      <c r="B1327">
        <v>1315</v>
      </c>
      <c r="C1327" t="s">
        <v>851</v>
      </c>
      <c r="D1327" s="47" t="s">
        <v>1124</v>
      </c>
      <c r="E1327" t="s">
        <v>1120</v>
      </c>
    </row>
    <row r="1328" spans="2:10" ht="15" customHeight="1">
      <c r="B1328">
        <v>1316</v>
      </c>
      <c r="C1328" t="s">
        <v>851</v>
      </c>
      <c r="D1328" s="47" t="s">
        <v>1124</v>
      </c>
      <c r="E1328" t="s">
        <v>1121</v>
      </c>
    </row>
    <row r="1329" spans="2:16" ht="15" customHeight="1">
      <c r="B1329">
        <v>1317</v>
      </c>
      <c r="C1329" t="s">
        <v>851</v>
      </c>
      <c r="D1329" s="47" t="s">
        <v>1124</v>
      </c>
      <c r="E1329" t="s">
        <v>1122</v>
      </c>
    </row>
    <row r="1330" spans="2:16" ht="15" customHeight="1">
      <c r="B1330">
        <v>1318</v>
      </c>
      <c r="C1330" t="s">
        <v>851</v>
      </c>
      <c r="D1330" t="s">
        <v>224</v>
      </c>
    </row>
    <row r="1331" spans="2:16" ht="15" customHeight="1">
      <c r="B1331">
        <v>1319</v>
      </c>
      <c r="C1331" t="s">
        <v>851</v>
      </c>
      <c r="D1331" t="s">
        <v>224</v>
      </c>
    </row>
    <row r="1332" spans="2:16" ht="15" customHeight="1">
      <c r="B1332" s="47">
        <v>1321</v>
      </c>
      <c r="C1332" s="47" t="s">
        <v>868</v>
      </c>
      <c r="D1332" s="47" t="s">
        <v>177</v>
      </c>
      <c r="F1332" s="47" t="s">
        <v>179</v>
      </c>
      <c r="G1332" s="47">
        <v>300</v>
      </c>
      <c r="H1332" s="47" t="s">
        <v>528</v>
      </c>
      <c r="L1332" s="47" t="s">
        <v>182</v>
      </c>
      <c r="M1332" s="47" t="s">
        <v>529</v>
      </c>
    </row>
    <row r="1333" spans="2:16" ht="15" customHeight="1">
      <c r="B1333" s="47">
        <v>1322</v>
      </c>
      <c r="C1333" s="47" t="s">
        <v>886</v>
      </c>
      <c r="D1333" s="47" t="s">
        <v>177</v>
      </c>
      <c r="F1333" s="47" t="s">
        <v>179</v>
      </c>
      <c r="G1333" s="47">
        <v>300</v>
      </c>
      <c r="H1333" s="47" t="s">
        <v>528</v>
      </c>
      <c r="L1333" s="47" t="s">
        <v>182</v>
      </c>
      <c r="M1333" s="47" t="s">
        <v>529</v>
      </c>
    </row>
    <row r="1334" spans="2:16" ht="15" customHeight="1">
      <c r="B1334" s="47">
        <v>1340</v>
      </c>
      <c r="C1334" s="47" t="s">
        <v>852</v>
      </c>
      <c r="D1334" s="47" t="s">
        <v>204</v>
      </c>
      <c r="H1334" s="47" t="s">
        <v>58</v>
      </c>
      <c r="I1334" s="47" t="s">
        <v>231</v>
      </c>
      <c r="L1334" s="15"/>
      <c r="M1334" s="15"/>
      <c r="N1334" s="47" t="s">
        <v>232</v>
      </c>
      <c r="O1334" s="47" t="s">
        <v>30</v>
      </c>
      <c r="P1334" s="47" t="s">
        <v>46</v>
      </c>
    </row>
    <row r="1335" spans="2:16" ht="15" customHeight="1">
      <c r="B1335" s="47">
        <v>1341</v>
      </c>
      <c r="C1335" s="47" t="s">
        <v>852</v>
      </c>
      <c r="D1335" s="47" t="s">
        <v>204</v>
      </c>
      <c r="H1335" s="47" t="s">
        <v>58</v>
      </c>
      <c r="I1335" s="47" t="s">
        <v>231</v>
      </c>
      <c r="L1335" s="15"/>
      <c r="M1335" s="15"/>
    </row>
    <row r="1336" spans="2:16" ht="15" customHeight="1">
      <c r="B1336" s="47">
        <v>1342</v>
      </c>
      <c r="C1336" s="47" t="s">
        <v>852</v>
      </c>
      <c r="D1336" s="47" t="s">
        <v>204</v>
      </c>
      <c r="H1336" s="47" t="s">
        <v>58</v>
      </c>
      <c r="I1336" s="47" t="s">
        <v>231</v>
      </c>
      <c r="L1336" s="15"/>
      <c r="M1336" s="15"/>
      <c r="N1336" s="47" t="s">
        <v>232</v>
      </c>
      <c r="O1336" s="47" t="s">
        <v>30</v>
      </c>
      <c r="P1336" s="47" t="s">
        <v>46</v>
      </c>
    </row>
    <row r="1337" spans="2:16" ht="15" customHeight="1">
      <c r="B1337" s="47">
        <v>1356</v>
      </c>
      <c r="C1337" s="47" t="s">
        <v>859</v>
      </c>
      <c r="F1337" s="47" t="s">
        <v>1227</v>
      </c>
      <c r="G1337" s="47" t="s">
        <v>1273</v>
      </c>
      <c r="H1337" s="47" t="s">
        <v>530</v>
      </c>
      <c r="L1337" s="47" t="s">
        <v>314</v>
      </c>
      <c r="M1337" s="47" t="s">
        <v>1279</v>
      </c>
    </row>
    <row r="1338" spans="2:16" ht="15" customHeight="1">
      <c r="B1338" s="47">
        <v>1356</v>
      </c>
      <c r="C1338" s="47" t="s">
        <v>859</v>
      </c>
      <c r="D1338" s="47" t="s">
        <v>177</v>
      </c>
      <c r="F1338" s="47" t="s">
        <v>191</v>
      </c>
      <c r="H1338" s="47" t="s">
        <v>530</v>
      </c>
      <c r="L1338" s="47" t="s">
        <v>531</v>
      </c>
      <c r="M1338" s="47" t="s">
        <v>532</v>
      </c>
    </row>
    <row r="1339" spans="2:16" ht="15" customHeight="1">
      <c r="B1339" s="47">
        <v>1357</v>
      </c>
      <c r="C1339" s="47" t="s">
        <v>879</v>
      </c>
      <c r="F1339" s="47" t="s">
        <v>1241</v>
      </c>
      <c r="G1339" s="47">
        <v>1</v>
      </c>
      <c r="H1339" s="47" t="s">
        <v>1274</v>
      </c>
      <c r="L1339" s="47" t="s">
        <v>314</v>
      </c>
      <c r="M1339" s="47" t="s">
        <v>1279</v>
      </c>
    </row>
    <row r="1340" spans="2:16" ht="15" customHeight="1">
      <c r="B1340" s="47">
        <v>1357</v>
      </c>
      <c r="C1340" s="47" t="s">
        <v>859</v>
      </c>
      <c r="D1340" s="47" t="s">
        <v>177</v>
      </c>
      <c r="F1340" s="47" t="s">
        <v>858</v>
      </c>
      <c r="H1340" s="47" t="s">
        <v>530</v>
      </c>
      <c r="L1340" s="47" t="s">
        <v>531</v>
      </c>
      <c r="M1340" s="47" t="s">
        <v>532</v>
      </c>
    </row>
    <row r="1341" spans="2:16" ht="15" customHeight="1">
      <c r="B1341" s="47">
        <v>1358</v>
      </c>
      <c r="C1341" s="47" t="s">
        <v>890</v>
      </c>
      <c r="F1341" s="47" t="s">
        <v>1227</v>
      </c>
      <c r="G1341" s="47" t="s">
        <v>1273</v>
      </c>
      <c r="H1341" s="47" t="s">
        <v>530</v>
      </c>
      <c r="L1341" s="47" t="s">
        <v>314</v>
      </c>
      <c r="M1341" s="47" t="s">
        <v>1279</v>
      </c>
      <c r="N1341" s="47" t="s">
        <v>1290</v>
      </c>
    </row>
    <row r="1342" spans="2:16" ht="15" customHeight="1">
      <c r="B1342" s="47">
        <v>1358</v>
      </c>
      <c r="C1342" s="47" t="s">
        <v>859</v>
      </c>
      <c r="D1342" s="47" t="s">
        <v>177</v>
      </c>
      <c r="F1342" s="47" t="s">
        <v>191</v>
      </c>
      <c r="H1342" s="47" t="s">
        <v>530</v>
      </c>
      <c r="L1342" s="47" t="s">
        <v>531</v>
      </c>
      <c r="M1342" s="47" t="s">
        <v>532</v>
      </c>
    </row>
    <row r="1343" spans="2:16" ht="15" customHeight="1">
      <c r="B1343" s="47">
        <v>1359</v>
      </c>
      <c r="C1343" s="47" t="s">
        <v>913</v>
      </c>
      <c r="F1343" s="47" t="s">
        <v>1227</v>
      </c>
      <c r="G1343" s="47" t="s">
        <v>1273</v>
      </c>
      <c r="H1343" s="47" t="s">
        <v>530</v>
      </c>
      <c r="L1343" s="47" t="s">
        <v>314</v>
      </c>
      <c r="M1343" s="47" t="s">
        <v>1279</v>
      </c>
    </row>
    <row r="1344" spans="2:16" ht="15" customHeight="1">
      <c r="B1344" s="47">
        <v>1359</v>
      </c>
      <c r="C1344" s="47" t="s">
        <v>859</v>
      </c>
      <c r="D1344" s="47" t="s">
        <v>177</v>
      </c>
      <c r="F1344" s="47" t="s">
        <v>191</v>
      </c>
      <c r="H1344" s="47" t="s">
        <v>530</v>
      </c>
      <c r="L1344" s="47" t="s">
        <v>531</v>
      </c>
      <c r="M1344" s="47" t="s">
        <v>532</v>
      </c>
    </row>
    <row r="1345" spans="2:13" ht="15" customHeight="1">
      <c r="B1345" s="47">
        <v>1360</v>
      </c>
      <c r="C1345" s="47" t="s">
        <v>943</v>
      </c>
      <c r="F1345" s="47" t="s">
        <v>1241</v>
      </c>
      <c r="G1345" s="47">
        <v>1</v>
      </c>
      <c r="H1345" s="47" t="s">
        <v>1274</v>
      </c>
      <c r="L1345" s="47" t="s">
        <v>314</v>
      </c>
      <c r="M1345" s="47" t="s">
        <v>1279</v>
      </c>
    </row>
    <row r="1346" spans="2:13" ht="15" customHeight="1">
      <c r="B1346" s="47">
        <v>1360</v>
      </c>
      <c r="C1346" s="47" t="s">
        <v>859</v>
      </c>
      <c r="D1346" s="47" t="s">
        <v>177</v>
      </c>
      <c r="F1346" s="47" t="s">
        <v>858</v>
      </c>
      <c r="H1346" s="47" t="s">
        <v>530</v>
      </c>
      <c r="L1346" s="47" t="s">
        <v>531</v>
      </c>
      <c r="M1346" s="47" t="s">
        <v>532</v>
      </c>
    </row>
    <row r="1347" spans="2:13" ht="15" customHeight="1">
      <c r="B1347" s="47">
        <v>1361</v>
      </c>
      <c r="C1347" s="47" t="s">
        <v>1296</v>
      </c>
      <c r="F1347" s="47" t="s">
        <v>1241</v>
      </c>
      <c r="G1347" s="47">
        <v>1</v>
      </c>
      <c r="H1347" s="47" t="s">
        <v>1274</v>
      </c>
      <c r="L1347" s="47" t="s">
        <v>314</v>
      </c>
      <c r="M1347" s="47" t="s">
        <v>1279</v>
      </c>
    </row>
    <row r="1348" spans="2:13" ht="15" customHeight="1">
      <c r="B1348" s="47">
        <v>1361</v>
      </c>
      <c r="C1348" s="47" t="s">
        <v>859</v>
      </c>
      <c r="D1348" s="47" t="s">
        <v>177</v>
      </c>
      <c r="F1348" s="47" t="s">
        <v>858</v>
      </c>
      <c r="H1348" s="47" t="s">
        <v>530</v>
      </c>
      <c r="L1348" s="47" t="s">
        <v>531</v>
      </c>
      <c r="M1348" s="47" t="s">
        <v>532</v>
      </c>
    </row>
    <row r="1349" spans="2:13" ht="15" customHeight="1">
      <c r="B1349" s="47">
        <v>1362</v>
      </c>
      <c r="C1349" s="47" t="s">
        <v>1297</v>
      </c>
      <c r="F1349" s="47" t="s">
        <v>526</v>
      </c>
      <c r="G1349" s="47">
        <v>1</v>
      </c>
      <c r="H1349" s="47" t="s">
        <v>1274</v>
      </c>
      <c r="L1349" s="47" t="s">
        <v>314</v>
      </c>
      <c r="M1349" s="47" t="s">
        <v>1279</v>
      </c>
    </row>
    <row r="1350" spans="2:13" ht="15" customHeight="1">
      <c r="B1350" s="47">
        <v>1362</v>
      </c>
      <c r="C1350" s="47" t="s">
        <v>859</v>
      </c>
      <c r="D1350" s="47" t="s">
        <v>204</v>
      </c>
      <c r="H1350" s="47" t="s">
        <v>530</v>
      </c>
      <c r="L1350" s="47" t="s">
        <v>531</v>
      </c>
      <c r="M1350" s="47" t="s">
        <v>532</v>
      </c>
    </row>
    <row r="1351" spans="2:13" ht="15" customHeight="1">
      <c r="B1351" s="47">
        <v>1363</v>
      </c>
      <c r="C1351" s="47" t="s">
        <v>1298</v>
      </c>
      <c r="F1351" s="47" t="s">
        <v>1227</v>
      </c>
      <c r="G1351" s="47" t="s">
        <v>1273</v>
      </c>
      <c r="H1351" s="47" t="s">
        <v>530</v>
      </c>
      <c r="L1351" s="47" t="s">
        <v>314</v>
      </c>
      <c r="M1351" s="47" t="s">
        <v>1279</v>
      </c>
    </row>
    <row r="1352" spans="2:13" ht="15" customHeight="1">
      <c r="B1352" s="47">
        <v>1363</v>
      </c>
      <c r="C1352" s="47" t="s">
        <v>859</v>
      </c>
      <c r="D1352" s="47" t="s">
        <v>177</v>
      </c>
      <c r="F1352" s="47" t="s">
        <v>191</v>
      </c>
      <c r="H1352" s="47" t="s">
        <v>530</v>
      </c>
      <c r="L1352" s="47" t="s">
        <v>531</v>
      </c>
      <c r="M1352" s="47" t="s">
        <v>532</v>
      </c>
    </row>
    <row r="1353" spans="2:13" ht="15" customHeight="1">
      <c r="B1353" s="47">
        <v>1364</v>
      </c>
      <c r="C1353" s="47" t="s">
        <v>1299</v>
      </c>
      <c r="F1353" s="47" t="s">
        <v>526</v>
      </c>
      <c r="G1353" s="47">
        <v>1</v>
      </c>
      <c r="H1353" s="47" t="s">
        <v>1274</v>
      </c>
      <c r="L1353" s="47" t="s">
        <v>314</v>
      </c>
      <c r="M1353" s="47" t="s">
        <v>1279</v>
      </c>
    </row>
    <row r="1354" spans="2:13" ht="15" customHeight="1">
      <c r="B1354" s="47">
        <v>1364</v>
      </c>
      <c r="C1354" s="47" t="s">
        <v>859</v>
      </c>
      <c r="D1354" s="47" t="s">
        <v>204</v>
      </c>
      <c r="H1354" s="47" t="s">
        <v>530</v>
      </c>
      <c r="L1354" s="47" t="s">
        <v>531</v>
      </c>
      <c r="M1354" s="47" t="s">
        <v>532</v>
      </c>
    </row>
    <row r="1355" spans="2:13" ht="15" customHeight="1">
      <c r="B1355" s="47">
        <v>1365</v>
      </c>
      <c r="C1355" s="47" t="s">
        <v>1300</v>
      </c>
      <c r="F1355" s="47" t="s">
        <v>1227</v>
      </c>
      <c r="G1355" s="47" t="s">
        <v>1273</v>
      </c>
      <c r="H1355" s="47" t="s">
        <v>530</v>
      </c>
      <c r="L1355" s="47" t="s">
        <v>314</v>
      </c>
      <c r="M1355" s="47" t="s">
        <v>1279</v>
      </c>
    </row>
    <row r="1356" spans="2:13" ht="15" customHeight="1">
      <c r="B1356" s="47">
        <v>1365</v>
      </c>
      <c r="C1356" s="47" t="s">
        <v>859</v>
      </c>
      <c r="D1356" s="47" t="s">
        <v>177</v>
      </c>
      <c r="F1356" s="47" t="s">
        <v>191</v>
      </c>
      <c r="H1356" s="47" t="s">
        <v>530</v>
      </c>
      <c r="L1356" s="47" t="s">
        <v>531</v>
      </c>
      <c r="M1356" s="47" t="s">
        <v>532</v>
      </c>
    </row>
    <row r="1357" spans="2:13" ht="15" customHeight="1">
      <c r="B1357" s="47">
        <v>1366</v>
      </c>
      <c r="C1357" s="47" t="s">
        <v>1301</v>
      </c>
      <c r="F1357" s="47" t="s">
        <v>1241</v>
      </c>
      <c r="G1357" s="47">
        <v>1</v>
      </c>
      <c r="H1357" s="47" t="s">
        <v>1274</v>
      </c>
      <c r="L1357" s="47" t="s">
        <v>314</v>
      </c>
      <c r="M1357" s="47" t="s">
        <v>1279</v>
      </c>
    </row>
    <row r="1358" spans="2:13" ht="15" customHeight="1">
      <c r="B1358" s="47">
        <v>1366</v>
      </c>
      <c r="C1358" s="47" t="s">
        <v>859</v>
      </c>
      <c r="D1358" s="47" t="s">
        <v>177</v>
      </c>
      <c r="F1358" s="47" t="s">
        <v>858</v>
      </c>
      <c r="H1358" s="47" t="s">
        <v>530</v>
      </c>
      <c r="L1358" s="47" t="s">
        <v>531</v>
      </c>
      <c r="M1358" s="47" t="s">
        <v>532</v>
      </c>
    </row>
    <row r="1359" spans="2:13" ht="15" customHeight="1">
      <c r="B1359" s="47">
        <v>1367</v>
      </c>
      <c r="C1359" s="47" t="s">
        <v>1302</v>
      </c>
      <c r="F1359" s="47" t="s">
        <v>1241</v>
      </c>
      <c r="G1359" s="47">
        <v>1</v>
      </c>
      <c r="H1359" s="47" t="s">
        <v>1274</v>
      </c>
      <c r="L1359" s="47" t="s">
        <v>314</v>
      </c>
      <c r="M1359" s="47" t="s">
        <v>1279</v>
      </c>
    </row>
    <row r="1360" spans="2:13" ht="15" customHeight="1">
      <c r="B1360" s="47">
        <v>1367</v>
      </c>
      <c r="C1360" s="47" t="s">
        <v>859</v>
      </c>
      <c r="D1360" s="47" t="s">
        <v>177</v>
      </c>
      <c r="F1360" s="47" t="s">
        <v>858</v>
      </c>
      <c r="H1360" s="47" t="s">
        <v>530</v>
      </c>
      <c r="L1360" s="47" t="s">
        <v>531</v>
      </c>
      <c r="M1360" s="47" t="s">
        <v>532</v>
      </c>
    </row>
    <row r="1361" spans="2:13" ht="15" customHeight="1">
      <c r="B1361" s="47">
        <v>1368</v>
      </c>
      <c r="C1361" s="47" t="s">
        <v>1303</v>
      </c>
      <c r="F1361" s="47" t="s">
        <v>526</v>
      </c>
      <c r="G1361" s="47">
        <v>1</v>
      </c>
      <c r="H1361" s="47" t="s">
        <v>1274</v>
      </c>
      <c r="L1361" s="47" t="s">
        <v>314</v>
      </c>
      <c r="M1361" s="47" t="s">
        <v>1279</v>
      </c>
    </row>
    <row r="1362" spans="2:13" ht="15" customHeight="1">
      <c r="B1362" s="47">
        <v>1368</v>
      </c>
      <c r="C1362" s="47" t="s">
        <v>859</v>
      </c>
      <c r="D1362" s="47" t="s">
        <v>204</v>
      </c>
      <c r="H1362" s="47" t="s">
        <v>530</v>
      </c>
      <c r="L1362" s="47" t="s">
        <v>531</v>
      </c>
      <c r="M1362" s="47" t="s">
        <v>532</v>
      </c>
    </row>
    <row r="1363" spans="2:13" ht="15" customHeight="1">
      <c r="B1363" s="47">
        <v>1369</v>
      </c>
      <c r="C1363" s="47" t="s">
        <v>1304</v>
      </c>
      <c r="F1363" s="47" t="s">
        <v>1227</v>
      </c>
      <c r="G1363" s="47" t="s">
        <v>1273</v>
      </c>
      <c r="H1363" s="47" t="s">
        <v>530</v>
      </c>
      <c r="L1363" s="47" t="s">
        <v>1276</v>
      </c>
      <c r="M1363" s="47" t="s">
        <v>1279</v>
      </c>
    </row>
    <row r="1364" spans="2:13" ht="15" customHeight="1">
      <c r="B1364" s="47">
        <v>1369</v>
      </c>
      <c r="C1364" s="47" t="s">
        <v>859</v>
      </c>
      <c r="D1364" s="47" t="s">
        <v>177</v>
      </c>
      <c r="F1364" s="47" t="s">
        <v>191</v>
      </c>
      <c r="H1364" s="47" t="s">
        <v>530</v>
      </c>
      <c r="L1364" s="47" t="s">
        <v>534</v>
      </c>
      <c r="M1364" s="47" t="s">
        <v>532</v>
      </c>
    </row>
    <row r="1365" spans="2:13" ht="15" customHeight="1">
      <c r="B1365" s="47">
        <v>1370</v>
      </c>
      <c r="C1365" s="47" t="s">
        <v>1305</v>
      </c>
      <c r="F1365" s="47" t="s">
        <v>1227</v>
      </c>
      <c r="G1365" s="47" t="s">
        <v>1273</v>
      </c>
      <c r="H1365" s="47" t="s">
        <v>530</v>
      </c>
      <c r="L1365" s="47" t="s">
        <v>1276</v>
      </c>
      <c r="M1365" s="47" t="s">
        <v>1279</v>
      </c>
    </row>
    <row r="1366" spans="2:13" ht="15" customHeight="1">
      <c r="B1366" s="47">
        <v>1370</v>
      </c>
      <c r="C1366" s="47" t="s">
        <v>859</v>
      </c>
      <c r="D1366" s="47" t="s">
        <v>177</v>
      </c>
      <c r="F1366" s="47" t="s">
        <v>191</v>
      </c>
      <c r="H1366" s="47" t="s">
        <v>530</v>
      </c>
      <c r="L1366" s="47" t="s">
        <v>534</v>
      </c>
      <c r="M1366" s="47" t="s">
        <v>532</v>
      </c>
    </row>
    <row r="1367" spans="2:13" ht="15" customHeight="1">
      <c r="B1367" s="47">
        <v>1371</v>
      </c>
      <c r="C1367" s="47" t="s">
        <v>1306</v>
      </c>
      <c r="F1367" s="47" t="s">
        <v>1227</v>
      </c>
      <c r="G1367" s="47" t="s">
        <v>1273</v>
      </c>
      <c r="H1367" s="47" t="s">
        <v>530</v>
      </c>
      <c r="L1367" s="47" t="s">
        <v>1276</v>
      </c>
      <c r="M1367" s="47" t="s">
        <v>1279</v>
      </c>
    </row>
    <row r="1368" spans="2:13" ht="15" customHeight="1">
      <c r="B1368" s="47">
        <v>1371</v>
      </c>
      <c r="C1368" s="47" t="s">
        <v>859</v>
      </c>
      <c r="D1368" s="47" t="s">
        <v>177</v>
      </c>
      <c r="F1368" s="47" t="s">
        <v>191</v>
      </c>
      <c r="H1368" s="47" t="s">
        <v>530</v>
      </c>
      <c r="L1368" s="47" t="s">
        <v>534</v>
      </c>
      <c r="M1368" s="47" t="s">
        <v>532</v>
      </c>
    </row>
    <row r="1369" spans="2:13" ht="15" customHeight="1">
      <c r="B1369" s="47">
        <v>1372</v>
      </c>
      <c r="C1369" s="47" t="s">
        <v>1218</v>
      </c>
      <c r="F1369" s="47" t="s">
        <v>1241</v>
      </c>
      <c r="G1369" s="47">
        <v>1</v>
      </c>
      <c r="H1369" s="47" t="s">
        <v>1274</v>
      </c>
      <c r="L1369" s="47" t="s">
        <v>1276</v>
      </c>
      <c r="M1369" s="47" t="s">
        <v>1279</v>
      </c>
    </row>
    <row r="1370" spans="2:13" ht="15" customHeight="1">
      <c r="B1370" s="47">
        <v>1372</v>
      </c>
      <c r="C1370" s="47" t="s">
        <v>859</v>
      </c>
      <c r="D1370" s="47" t="s">
        <v>177</v>
      </c>
      <c r="F1370" s="47" t="s">
        <v>858</v>
      </c>
      <c r="H1370" s="47" t="s">
        <v>530</v>
      </c>
      <c r="L1370" s="47" t="s">
        <v>534</v>
      </c>
      <c r="M1370" s="47" t="s">
        <v>532</v>
      </c>
    </row>
    <row r="1371" spans="2:13" ht="15" customHeight="1">
      <c r="B1371" s="47">
        <v>1373</v>
      </c>
      <c r="C1371" s="47" t="s">
        <v>1307</v>
      </c>
      <c r="F1371" s="47" t="s">
        <v>1241</v>
      </c>
      <c r="G1371" s="47">
        <v>1</v>
      </c>
      <c r="H1371" s="47" t="s">
        <v>1274</v>
      </c>
      <c r="L1371" s="47" t="s">
        <v>1276</v>
      </c>
      <c r="M1371" s="47" t="s">
        <v>1279</v>
      </c>
    </row>
    <row r="1372" spans="2:13" ht="15" customHeight="1">
      <c r="B1372" s="47">
        <v>1373</v>
      </c>
      <c r="C1372" s="47" t="s">
        <v>859</v>
      </c>
      <c r="D1372" s="47" t="s">
        <v>177</v>
      </c>
      <c r="F1372" s="47" t="s">
        <v>858</v>
      </c>
      <c r="H1372" s="47" t="s">
        <v>530</v>
      </c>
      <c r="L1372" s="47" t="s">
        <v>534</v>
      </c>
      <c r="M1372" s="47" t="s">
        <v>532</v>
      </c>
    </row>
    <row r="1373" spans="2:13" ht="15" customHeight="1">
      <c r="B1373" s="47">
        <v>1374</v>
      </c>
      <c r="C1373" s="47" t="s">
        <v>1308</v>
      </c>
      <c r="F1373" s="47" t="s">
        <v>526</v>
      </c>
      <c r="G1373" s="47">
        <v>1</v>
      </c>
      <c r="H1373" s="47" t="s">
        <v>1274</v>
      </c>
      <c r="L1373" s="47" t="s">
        <v>1276</v>
      </c>
      <c r="M1373" s="47" t="s">
        <v>1279</v>
      </c>
    </row>
    <row r="1374" spans="2:13" ht="15" customHeight="1">
      <c r="B1374" s="47">
        <v>1374</v>
      </c>
      <c r="C1374" s="47" t="s">
        <v>859</v>
      </c>
      <c r="D1374" s="47" t="s">
        <v>204</v>
      </c>
      <c r="H1374" s="47" t="s">
        <v>530</v>
      </c>
      <c r="L1374" s="47" t="s">
        <v>534</v>
      </c>
      <c r="M1374" s="47" t="s">
        <v>532</v>
      </c>
    </row>
    <row r="1375" spans="2:13" ht="15" customHeight="1">
      <c r="B1375" s="47">
        <v>1375</v>
      </c>
      <c r="C1375" s="47" t="s">
        <v>1309</v>
      </c>
      <c r="F1375" s="47" t="s">
        <v>1227</v>
      </c>
      <c r="G1375" s="47" t="s">
        <v>1273</v>
      </c>
      <c r="H1375" s="47" t="s">
        <v>530</v>
      </c>
      <c r="L1375" s="47" t="s">
        <v>1276</v>
      </c>
      <c r="M1375" s="47" t="s">
        <v>1279</v>
      </c>
    </row>
    <row r="1376" spans="2:13" ht="15" customHeight="1">
      <c r="B1376" s="47">
        <v>1375</v>
      </c>
      <c r="C1376" s="47" t="s">
        <v>859</v>
      </c>
      <c r="D1376" s="47" t="s">
        <v>177</v>
      </c>
      <c r="F1376" s="47" t="s">
        <v>191</v>
      </c>
      <c r="H1376" s="47" t="s">
        <v>530</v>
      </c>
      <c r="L1376" s="47" t="s">
        <v>534</v>
      </c>
      <c r="M1376" s="47" t="s">
        <v>532</v>
      </c>
    </row>
    <row r="1377" spans="1:31" ht="15" customHeight="1">
      <c r="B1377" s="47">
        <v>1376</v>
      </c>
      <c r="C1377" s="47" t="s">
        <v>1310</v>
      </c>
      <c r="F1377" s="47" t="s">
        <v>526</v>
      </c>
      <c r="G1377" s="47">
        <v>1</v>
      </c>
      <c r="H1377" s="47" t="s">
        <v>1274</v>
      </c>
      <c r="L1377" s="47" t="s">
        <v>1276</v>
      </c>
      <c r="M1377" s="47" t="s">
        <v>1279</v>
      </c>
    </row>
    <row r="1378" spans="1:31" ht="15" customHeight="1">
      <c r="B1378" s="47">
        <v>1376</v>
      </c>
      <c r="C1378" s="47" t="s">
        <v>859</v>
      </c>
      <c r="D1378" s="47" t="s">
        <v>204</v>
      </c>
      <c r="H1378" s="47" t="s">
        <v>530</v>
      </c>
      <c r="L1378" s="47" t="s">
        <v>534</v>
      </c>
      <c r="M1378" s="47" t="s">
        <v>532</v>
      </c>
    </row>
    <row r="1379" spans="1:31" ht="15" customHeight="1">
      <c r="B1379" s="47">
        <v>1377</v>
      </c>
      <c r="C1379" s="47" t="s">
        <v>1311</v>
      </c>
      <c r="F1379" s="47" t="s">
        <v>1227</v>
      </c>
      <c r="G1379" s="47" t="s">
        <v>1273</v>
      </c>
      <c r="H1379" s="47" t="s">
        <v>530</v>
      </c>
      <c r="L1379" s="47" t="s">
        <v>1276</v>
      </c>
      <c r="M1379" s="47" t="s">
        <v>1279</v>
      </c>
    </row>
    <row r="1380" spans="1:31" ht="15" customHeight="1">
      <c r="B1380" s="47">
        <v>1377</v>
      </c>
      <c r="C1380" s="47" t="s">
        <v>859</v>
      </c>
      <c r="D1380" s="47" t="s">
        <v>177</v>
      </c>
      <c r="F1380" s="47" t="s">
        <v>191</v>
      </c>
      <c r="H1380" s="47" t="s">
        <v>530</v>
      </c>
      <c r="L1380" s="47" t="s">
        <v>534</v>
      </c>
      <c r="M1380" s="47" t="s">
        <v>532</v>
      </c>
    </row>
    <row r="1381" spans="1:31" ht="15" customHeight="1">
      <c r="B1381" s="47">
        <v>1378</v>
      </c>
      <c r="C1381" s="47" t="s">
        <v>1312</v>
      </c>
      <c r="F1381" s="47" t="s">
        <v>1241</v>
      </c>
      <c r="G1381" s="47">
        <v>1</v>
      </c>
      <c r="H1381" s="47" t="s">
        <v>1274</v>
      </c>
      <c r="L1381" s="47" t="s">
        <v>1276</v>
      </c>
      <c r="M1381" s="47" t="s">
        <v>1279</v>
      </c>
    </row>
    <row r="1382" spans="1:31" ht="15" customHeight="1">
      <c r="B1382" s="47">
        <v>1378</v>
      </c>
      <c r="C1382" s="47" t="s">
        <v>859</v>
      </c>
      <c r="D1382" s="47" t="s">
        <v>177</v>
      </c>
      <c r="F1382" s="47" t="s">
        <v>858</v>
      </c>
      <c r="H1382" s="47" t="s">
        <v>530</v>
      </c>
      <c r="L1382" s="47" t="s">
        <v>534</v>
      </c>
      <c r="M1382" s="47" t="s">
        <v>532</v>
      </c>
    </row>
    <row r="1383" spans="1:31" ht="15" customHeight="1">
      <c r="B1383" s="47">
        <v>1379</v>
      </c>
      <c r="C1383" s="47" t="s">
        <v>1313</v>
      </c>
      <c r="F1383" s="47" t="s">
        <v>526</v>
      </c>
      <c r="G1383" s="47">
        <v>1</v>
      </c>
      <c r="H1383" s="47" t="s">
        <v>1274</v>
      </c>
      <c r="L1383" s="47" t="s">
        <v>1276</v>
      </c>
      <c r="M1383" s="47" t="s">
        <v>1279</v>
      </c>
    </row>
    <row r="1384" spans="1:31" ht="15" customHeight="1">
      <c r="B1384" s="47">
        <v>1379</v>
      </c>
      <c r="C1384" s="47" t="s">
        <v>859</v>
      </c>
      <c r="D1384" s="47" t="s">
        <v>204</v>
      </c>
      <c r="H1384" s="47" t="s">
        <v>530</v>
      </c>
      <c r="L1384" s="47" t="s">
        <v>534</v>
      </c>
      <c r="M1384" s="47" t="s">
        <v>532</v>
      </c>
    </row>
    <row r="1385" spans="1:31" ht="15" customHeight="1">
      <c r="A1385" s="2"/>
      <c r="B1385" s="2">
        <v>1380</v>
      </c>
      <c r="C1385" s="2" t="s">
        <v>868</v>
      </c>
      <c r="D1385" s="2" t="s">
        <v>177</v>
      </c>
      <c r="E1385" s="2"/>
      <c r="F1385" s="2" t="s">
        <v>1075</v>
      </c>
      <c r="G1385" s="2">
        <v>500</v>
      </c>
      <c r="H1385" s="2" t="s">
        <v>46</v>
      </c>
      <c r="I1385" s="2"/>
      <c r="J1385" s="2"/>
      <c r="K1385" s="2"/>
      <c r="L1385" s="2" t="s">
        <v>1070</v>
      </c>
      <c r="M1385" s="2" t="s">
        <v>183</v>
      </c>
      <c r="N1385" s="2" t="s">
        <v>1079</v>
      </c>
      <c r="O1385" s="2" t="s">
        <v>35</v>
      </c>
      <c r="P1385" s="2" t="s">
        <v>47</v>
      </c>
      <c r="Q1385" s="2"/>
      <c r="R1385" s="2"/>
      <c r="S1385" s="2"/>
      <c r="T1385" s="2"/>
      <c r="U1385" s="2"/>
      <c r="V1385" s="2"/>
      <c r="W1385" s="2"/>
      <c r="X1385" s="2"/>
      <c r="Y1385" s="2"/>
      <c r="Z1385" s="2"/>
      <c r="AA1385" s="2"/>
      <c r="AB1385" s="2"/>
    </row>
    <row r="1386" spans="1:31" ht="15" customHeight="1">
      <c r="A1386" s="2"/>
      <c r="B1386" s="2">
        <v>1401</v>
      </c>
      <c r="C1386" s="2" t="s">
        <v>1080</v>
      </c>
      <c r="D1386" s="2" t="s">
        <v>177</v>
      </c>
      <c r="E1386" s="2"/>
      <c r="F1386" s="2" t="s">
        <v>308</v>
      </c>
      <c r="G1386" s="2">
        <v>2</v>
      </c>
      <c r="H1386" s="2" t="s">
        <v>46</v>
      </c>
      <c r="I1386" s="2"/>
      <c r="J1386" s="2"/>
      <c r="K1386" s="2"/>
      <c r="L1386" s="2" t="s">
        <v>1070</v>
      </c>
      <c r="M1386" s="2" t="s">
        <v>181</v>
      </c>
      <c r="N1386" s="2"/>
      <c r="O1386" s="2" t="s">
        <v>35</v>
      </c>
      <c r="P1386" s="2" t="s">
        <v>47</v>
      </c>
      <c r="Q1386" s="2"/>
      <c r="R1386" s="2"/>
      <c r="S1386" s="2"/>
      <c r="T1386" s="2"/>
      <c r="U1386" s="2"/>
      <c r="V1386" s="2"/>
      <c r="W1386" s="2"/>
      <c r="X1386" s="2"/>
      <c r="Y1386" s="2"/>
      <c r="Z1386" s="2"/>
      <c r="AA1386" s="2"/>
      <c r="AB1386" s="2"/>
    </row>
    <row r="1387" spans="1:31" ht="15" customHeight="1">
      <c r="A1387" s="2"/>
      <c r="B1387" s="2">
        <v>1402</v>
      </c>
      <c r="C1387" s="2" t="s">
        <v>1080</v>
      </c>
      <c r="D1387" s="2" t="s">
        <v>177</v>
      </c>
      <c r="E1387" s="2"/>
      <c r="F1387" s="2" t="s">
        <v>191</v>
      </c>
      <c r="G1387" s="2">
        <v>500</v>
      </c>
      <c r="H1387" s="2" t="s">
        <v>46</v>
      </c>
      <c r="I1387" s="2"/>
      <c r="J1387" s="2"/>
      <c r="K1387" s="2"/>
      <c r="L1387" s="2" t="s">
        <v>1070</v>
      </c>
      <c r="M1387" s="2" t="s">
        <v>183</v>
      </c>
      <c r="N1387" s="2"/>
      <c r="O1387" s="2" t="s">
        <v>35</v>
      </c>
      <c r="P1387" s="2" t="s">
        <v>47</v>
      </c>
      <c r="Q1387" s="2"/>
      <c r="R1387" s="2"/>
      <c r="S1387" s="2"/>
      <c r="T1387" s="2"/>
      <c r="U1387" s="2"/>
      <c r="V1387" s="2"/>
      <c r="W1387" s="2"/>
      <c r="X1387" s="2"/>
      <c r="Y1387" s="2"/>
      <c r="Z1387" s="2"/>
      <c r="AA1387" s="2"/>
      <c r="AB1387" s="2"/>
      <c r="AC1387" s="48"/>
      <c r="AD1387" s="48"/>
      <c r="AE1387" s="48"/>
    </row>
    <row r="1388" spans="1:31" ht="15" customHeight="1">
      <c r="A1388" s="2"/>
      <c r="B1388" s="2">
        <v>1403</v>
      </c>
      <c r="C1388" s="2" t="s">
        <v>1080</v>
      </c>
      <c r="D1388" s="2" t="s">
        <v>177</v>
      </c>
      <c r="E1388" s="2"/>
      <c r="F1388" s="2" t="s">
        <v>1081</v>
      </c>
      <c r="G1388" s="2">
        <v>10</v>
      </c>
      <c r="H1388" s="2" t="s">
        <v>46</v>
      </c>
      <c r="I1388" s="2"/>
      <c r="J1388" s="2"/>
      <c r="K1388" s="2"/>
      <c r="L1388" s="2" t="s">
        <v>1070</v>
      </c>
      <c r="M1388" s="2" t="s">
        <v>283</v>
      </c>
      <c r="N1388" s="2"/>
      <c r="O1388" s="2" t="s">
        <v>35</v>
      </c>
      <c r="P1388" s="2" t="s">
        <v>47</v>
      </c>
      <c r="Q1388" s="2"/>
      <c r="R1388" s="2"/>
      <c r="S1388" s="2"/>
      <c r="T1388" s="2"/>
      <c r="U1388" s="2"/>
      <c r="V1388" s="2"/>
      <c r="W1388" s="2"/>
      <c r="X1388" s="2"/>
      <c r="Y1388" s="2"/>
      <c r="Z1388" s="2"/>
      <c r="AA1388" s="2"/>
      <c r="AB1388" s="2"/>
    </row>
    <row r="1389" spans="1:31" ht="15" customHeight="1">
      <c r="A1389" s="2"/>
      <c r="B1389" s="2">
        <v>1404</v>
      </c>
      <c r="C1389" s="2" t="s">
        <v>1080</v>
      </c>
      <c r="D1389" s="2" t="s">
        <v>177</v>
      </c>
      <c r="E1389" s="2"/>
      <c r="F1389" s="2" t="s">
        <v>1082</v>
      </c>
      <c r="G1389" s="2">
        <v>1</v>
      </c>
      <c r="H1389" s="2" t="s">
        <v>46</v>
      </c>
      <c r="I1389" s="2"/>
      <c r="J1389" s="2"/>
      <c r="K1389" s="2"/>
      <c r="L1389" s="2" t="s">
        <v>1070</v>
      </c>
      <c r="M1389" s="2" t="s">
        <v>1083</v>
      </c>
      <c r="N1389" s="2"/>
      <c r="O1389" s="2" t="s">
        <v>35</v>
      </c>
      <c r="P1389" s="2" t="s">
        <v>47</v>
      </c>
      <c r="Q1389" s="2"/>
      <c r="R1389" s="2"/>
      <c r="S1389" s="2"/>
      <c r="T1389" s="2"/>
      <c r="U1389" s="2"/>
      <c r="V1389" s="2"/>
      <c r="W1389" s="2"/>
      <c r="X1389" s="2"/>
      <c r="Y1389" s="2"/>
      <c r="Z1389" s="2"/>
      <c r="AA1389" s="2"/>
      <c r="AB1389" s="2"/>
    </row>
    <row r="1390" spans="1:31" ht="15" customHeight="1">
      <c r="B1390" s="47">
        <v>1424</v>
      </c>
      <c r="C1390" s="47" t="s">
        <v>865</v>
      </c>
      <c r="F1390" s="47" t="s">
        <v>1233</v>
      </c>
      <c r="G1390" s="47">
        <v>1</v>
      </c>
      <c r="H1390" s="47" t="s">
        <v>1274</v>
      </c>
      <c r="L1390" s="47" t="s">
        <v>314</v>
      </c>
      <c r="M1390" s="47" t="s">
        <v>1281</v>
      </c>
    </row>
    <row r="1391" spans="1:31" ht="15" customHeight="1">
      <c r="B1391" s="47">
        <v>1425</v>
      </c>
      <c r="C1391" s="47" t="s">
        <v>865</v>
      </c>
      <c r="F1391" s="47" t="s">
        <v>1233</v>
      </c>
      <c r="G1391" s="47">
        <v>1</v>
      </c>
      <c r="H1391" s="47" t="s">
        <v>1274</v>
      </c>
      <c r="L1391" s="47" t="s">
        <v>1276</v>
      </c>
      <c r="M1391" s="47" t="s">
        <v>1279</v>
      </c>
    </row>
    <row r="1392" spans="1:31" ht="15" customHeight="1">
      <c r="B1392" s="47">
        <v>1426</v>
      </c>
      <c r="C1392" s="47" t="s">
        <v>865</v>
      </c>
      <c r="F1392" s="47" t="s">
        <v>1233</v>
      </c>
      <c r="G1392" s="47">
        <v>1</v>
      </c>
      <c r="H1392" s="47" t="s">
        <v>1274</v>
      </c>
      <c r="L1392" s="47" t="s">
        <v>1277</v>
      </c>
      <c r="M1392" s="47" t="s">
        <v>1282</v>
      </c>
    </row>
    <row r="1393" spans="1:28" ht="15" customHeight="1">
      <c r="B1393" s="47">
        <v>1428</v>
      </c>
      <c r="C1393" s="47" t="s">
        <v>865</v>
      </c>
      <c r="F1393" s="47" t="s">
        <v>1233</v>
      </c>
      <c r="G1393" s="47">
        <v>1</v>
      </c>
      <c r="H1393" s="47" t="s">
        <v>1274</v>
      </c>
      <c r="L1393" s="47" t="s">
        <v>314</v>
      </c>
      <c r="M1393" s="47" t="s">
        <v>1281</v>
      </c>
    </row>
    <row r="1394" spans="1:28" ht="15" customHeight="1">
      <c r="B1394" s="47">
        <v>1429</v>
      </c>
      <c r="C1394" s="47" t="s">
        <v>865</v>
      </c>
      <c r="F1394" s="47" t="s">
        <v>1233</v>
      </c>
      <c r="G1394" s="47">
        <v>1</v>
      </c>
      <c r="H1394" s="47" t="s">
        <v>1274</v>
      </c>
      <c r="L1394" s="47" t="s">
        <v>1276</v>
      </c>
      <c r="M1394" s="47" t="s">
        <v>1279</v>
      </c>
    </row>
    <row r="1395" spans="1:28" ht="15" customHeight="1">
      <c r="B1395" s="47">
        <v>1430</v>
      </c>
      <c r="C1395" s="47" t="s">
        <v>865</v>
      </c>
      <c r="F1395" s="47" t="s">
        <v>1233</v>
      </c>
      <c r="G1395" s="47">
        <v>1</v>
      </c>
      <c r="H1395" s="47" t="s">
        <v>1274</v>
      </c>
      <c r="L1395" s="47" t="s">
        <v>1277</v>
      </c>
      <c r="M1395" s="47" t="s">
        <v>1282</v>
      </c>
    </row>
    <row r="1396" spans="1:28" ht="15" customHeight="1">
      <c r="B1396" s="47">
        <v>1432</v>
      </c>
      <c r="C1396" s="47" t="s">
        <v>865</v>
      </c>
      <c r="F1396" s="47" t="s">
        <v>1233</v>
      </c>
      <c r="G1396" s="47">
        <v>1</v>
      </c>
      <c r="H1396" s="47" t="s">
        <v>1274</v>
      </c>
      <c r="L1396" s="47" t="s">
        <v>314</v>
      </c>
      <c r="M1396" s="47" t="s">
        <v>1281</v>
      </c>
    </row>
    <row r="1397" spans="1:28" ht="15" customHeight="1">
      <c r="B1397" s="47">
        <v>1433</v>
      </c>
      <c r="C1397" s="47" t="s">
        <v>865</v>
      </c>
      <c r="F1397" s="47" t="s">
        <v>1233</v>
      </c>
      <c r="G1397" s="47">
        <v>1</v>
      </c>
      <c r="H1397" s="47" t="s">
        <v>1274</v>
      </c>
      <c r="L1397" s="47" t="s">
        <v>1276</v>
      </c>
      <c r="M1397" s="47" t="s">
        <v>1279</v>
      </c>
    </row>
    <row r="1398" spans="1:28" ht="15" customHeight="1">
      <c r="B1398" s="47">
        <v>1434</v>
      </c>
      <c r="C1398" s="47" t="s">
        <v>865</v>
      </c>
      <c r="F1398" s="47" t="s">
        <v>1233</v>
      </c>
      <c r="G1398" s="47">
        <v>1</v>
      </c>
      <c r="H1398" s="47" t="s">
        <v>1274</v>
      </c>
      <c r="L1398" s="47" t="s">
        <v>1277</v>
      </c>
      <c r="M1398" s="47" t="s">
        <v>1282</v>
      </c>
    </row>
    <row r="1399" spans="1:28" ht="15" customHeight="1">
      <c r="B1399" s="47">
        <v>1435</v>
      </c>
      <c r="C1399" s="47" t="s">
        <v>865</v>
      </c>
      <c r="F1399" s="47" t="s">
        <v>1233</v>
      </c>
      <c r="G1399" s="47">
        <v>1</v>
      </c>
      <c r="H1399" s="47" t="s">
        <v>1274</v>
      </c>
      <c r="L1399" s="47" t="s">
        <v>314</v>
      </c>
      <c r="M1399" s="47" t="s">
        <v>1281</v>
      </c>
    </row>
    <row r="1400" spans="1:28" ht="15" customHeight="1">
      <c r="B1400" s="47">
        <v>1436</v>
      </c>
      <c r="C1400" s="47" t="s">
        <v>865</v>
      </c>
      <c r="F1400" s="47" t="s">
        <v>1233</v>
      </c>
      <c r="G1400" s="47">
        <v>1</v>
      </c>
      <c r="H1400" s="47" t="s">
        <v>1274</v>
      </c>
      <c r="L1400" s="47" t="s">
        <v>314</v>
      </c>
      <c r="M1400" s="47" t="s">
        <v>1281</v>
      </c>
    </row>
    <row r="1401" spans="1:28" ht="15" customHeight="1">
      <c r="B1401" s="47">
        <v>1437</v>
      </c>
      <c r="C1401" s="47" t="s">
        <v>865</v>
      </c>
      <c r="F1401" s="47" t="s">
        <v>1233</v>
      </c>
      <c r="G1401" s="47">
        <v>1</v>
      </c>
      <c r="H1401" s="47" t="s">
        <v>1274</v>
      </c>
      <c r="L1401" s="47" t="s">
        <v>314</v>
      </c>
      <c r="M1401" s="47" t="s">
        <v>1281</v>
      </c>
    </row>
    <row r="1402" spans="1:28" ht="15" customHeight="1">
      <c r="A1402" s="2"/>
      <c r="B1402" s="2">
        <v>1455</v>
      </c>
      <c r="C1402" s="2" t="s">
        <v>853</v>
      </c>
      <c r="D1402" s="2" t="s">
        <v>177</v>
      </c>
      <c r="E1402" s="2"/>
      <c r="F1402" s="2" t="s">
        <v>1069</v>
      </c>
      <c r="G1402" s="2">
        <v>1</v>
      </c>
      <c r="H1402" s="2" t="s">
        <v>47</v>
      </c>
      <c r="I1402" s="2"/>
      <c r="J1402" s="2" t="s">
        <v>1070</v>
      </c>
      <c r="K1402" s="2"/>
      <c r="L1402" s="2" t="s">
        <v>1071</v>
      </c>
      <c r="M1402" s="2" t="s">
        <v>1072</v>
      </c>
      <c r="N1402" s="2" t="s">
        <v>35</v>
      </c>
      <c r="O1402" s="2" t="s">
        <v>47</v>
      </c>
      <c r="P1402" s="2"/>
      <c r="Q1402" s="2"/>
      <c r="R1402" s="2"/>
      <c r="S1402" s="2"/>
      <c r="T1402" s="2"/>
      <c r="U1402" s="2"/>
      <c r="V1402" s="2"/>
      <c r="W1402" s="2"/>
      <c r="X1402" s="2"/>
      <c r="Y1402" s="2"/>
      <c r="Z1402" s="2"/>
      <c r="AA1402" s="2"/>
      <c r="AB1402" s="2"/>
    </row>
    <row r="1403" spans="1:28" ht="15" customHeight="1">
      <c r="A1403" s="2"/>
      <c r="B1403" s="2">
        <v>1456</v>
      </c>
      <c r="C1403" s="2" t="s">
        <v>853</v>
      </c>
      <c r="D1403" s="2" t="s">
        <v>177</v>
      </c>
      <c r="E1403" s="2"/>
      <c r="F1403" s="2" t="s">
        <v>319</v>
      </c>
      <c r="G1403" s="2">
        <v>2</v>
      </c>
      <c r="H1403" s="2" t="s">
        <v>47</v>
      </c>
      <c r="I1403" s="2"/>
      <c r="J1403" s="2" t="s">
        <v>1070</v>
      </c>
      <c r="K1403" s="2"/>
      <c r="L1403" s="2" t="s">
        <v>283</v>
      </c>
      <c r="M1403" s="2" t="s">
        <v>1072</v>
      </c>
      <c r="N1403" s="2" t="s">
        <v>35</v>
      </c>
      <c r="O1403" s="2" t="s">
        <v>47</v>
      </c>
      <c r="P1403" s="2"/>
      <c r="Q1403" s="2"/>
      <c r="R1403" s="2"/>
      <c r="S1403" s="2"/>
      <c r="T1403" s="2"/>
      <c r="U1403" s="2"/>
      <c r="V1403" s="2"/>
      <c r="W1403" s="2"/>
      <c r="X1403" s="2"/>
      <c r="Y1403" s="2"/>
      <c r="Z1403" s="2"/>
      <c r="AA1403" s="2"/>
      <c r="AB1403" s="2"/>
    </row>
    <row r="1404" spans="1:28" ht="15" customHeight="1">
      <c r="A1404" s="2"/>
      <c r="B1404" s="2">
        <v>1457</v>
      </c>
      <c r="C1404" s="2" t="s">
        <v>853</v>
      </c>
      <c r="D1404" s="2" t="s">
        <v>177</v>
      </c>
      <c r="E1404" s="2"/>
      <c r="F1404" s="2" t="s">
        <v>1073</v>
      </c>
      <c r="G1404" s="2">
        <v>1</v>
      </c>
      <c r="H1404" s="2" t="s">
        <v>47</v>
      </c>
      <c r="I1404" s="2"/>
      <c r="J1404" s="2" t="s">
        <v>1070</v>
      </c>
      <c r="K1404" s="2"/>
      <c r="L1404" s="2" t="s">
        <v>283</v>
      </c>
      <c r="M1404" s="2" t="s">
        <v>1072</v>
      </c>
      <c r="N1404" s="2" t="s">
        <v>35</v>
      </c>
      <c r="O1404" s="2" t="s">
        <v>47</v>
      </c>
      <c r="P1404" s="2"/>
      <c r="Q1404" s="2"/>
      <c r="R1404" s="2"/>
      <c r="S1404" s="2"/>
      <c r="T1404" s="2"/>
      <c r="U1404" s="2"/>
      <c r="V1404" s="2"/>
      <c r="W1404" s="2"/>
      <c r="X1404" s="2"/>
      <c r="Y1404" s="2"/>
      <c r="Z1404" s="2"/>
      <c r="AA1404" s="2"/>
      <c r="AB1404" s="2"/>
    </row>
    <row r="1405" spans="1:28" ht="15" customHeight="1">
      <c r="A1405" s="2"/>
      <c r="B1405" s="2">
        <v>1458</v>
      </c>
      <c r="C1405" s="2" t="s">
        <v>853</v>
      </c>
      <c r="D1405" s="2" t="s">
        <v>177</v>
      </c>
      <c r="E1405" s="2"/>
      <c r="F1405" s="2" t="s">
        <v>1074</v>
      </c>
      <c r="G1405" s="2">
        <v>1</v>
      </c>
      <c r="H1405" s="2" t="s">
        <v>47</v>
      </c>
      <c r="I1405" s="2"/>
      <c r="J1405" s="2" t="s">
        <v>1070</v>
      </c>
      <c r="K1405" s="2"/>
      <c r="L1405" s="2" t="s">
        <v>283</v>
      </c>
      <c r="M1405" s="2" t="s">
        <v>1072</v>
      </c>
      <c r="N1405" s="2" t="s">
        <v>35</v>
      </c>
      <c r="O1405" s="2" t="s">
        <v>47</v>
      </c>
      <c r="P1405" s="2"/>
      <c r="Q1405" s="2"/>
      <c r="R1405" s="2"/>
      <c r="S1405" s="2"/>
      <c r="T1405" s="2"/>
      <c r="U1405" s="2"/>
      <c r="V1405" s="2"/>
      <c r="W1405" s="2"/>
      <c r="X1405" s="2"/>
      <c r="Y1405" s="2"/>
      <c r="Z1405" s="2"/>
      <c r="AA1405" s="2"/>
      <c r="AB1405" s="2"/>
    </row>
    <row r="1406" spans="1:28" ht="15" customHeight="1">
      <c r="A1406" s="2"/>
      <c r="B1406" s="2">
        <v>1459</v>
      </c>
      <c r="C1406" s="2" t="s">
        <v>853</v>
      </c>
      <c r="D1406" s="2" t="s">
        <v>177</v>
      </c>
      <c r="E1406" s="2"/>
      <c r="F1406" s="2" t="s">
        <v>318</v>
      </c>
      <c r="G1406" s="2">
        <v>1</v>
      </c>
      <c r="H1406" s="2" t="s">
        <v>47</v>
      </c>
      <c r="I1406" s="2"/>
      <c r="J1406" s="2" t="s">
        <v>1070</v>
      </c>
      <c r="K1406" s="2"/>
      <c r="L1406" s="2" t="s">
        <v>283</v>
      </c>
      <c r="M1406" s="2" t="s">
        <v>1072</v>
      </c>
      <c r="N1406" s="2" t="s">
        <v>35</v>
      </c>
      <c r="O1406" s="2" t="s">
        <v>47</v>
      </c>
      <c r="P1406" s="2"/>
      <c r="Q1406" s="2"/>
      <c r="R1406" s="2"/>
      <c r="S1406" s="2"/>
      <c r="T1406" s="2"/>
      <c r="U1406" s="2"/>
      <c r="V1406" s="2"/>
      <c r="W1406" s="2"/>
      <c r="X1406" s="2"/>
      <c r="Y1406" s="2"/>
      <c r="Z1406" s="2"/>
      <c r="AA1406" s="2"/>
      <c r="AB1406" s="2"/>
    </row>
    <row r="1407" spans="1:28" ht="15" customHeight="1">
      <c r="A1407" s="2"/>
      <c r="B1407" s="2">
        <v>1460</v>
      </c>
      <c r="C1407" s="2" t="s">
        <v>853</v>
      </c>
      <c r="D1407" s="2" t="s">
        <v>177</v>
      </c>
      <c r="E1407" s="2"/>
      <c r="F1407" s="2" t="s">
        <v>1075</v>
      </c>
      <c r="G1407" s="2">
        <v>50</v>
      </c>
      <c r="H1407" s="2" t="s">
        <v>47</v>
      </c>
      <c r="I1407" s="2"/>
      <c r="J1407" s="2" t="s">
        <v>1070</v>
      </c>
      <c r="K1407" s="2"/>
      <c r="L1407" s="2" t="s">
        <v>283</v>
      </c>
      <c r="M1407" s="2" t="s">
        <v>1072</v>
      </c>
      <c r="N1407" s="2" t="s">
        <v>35</v>
      </c>
      <c r="O1407" s="2" t="s">
        <v>47</v>
      </c>
      <c r="P1407" s="2"/>
      <c r="Q1407" s="2"/>
      <c r="R1407" s="2"/>
      <c r="S1407" s="2"/>
      <c r="T1407" s="2"/>
      <c r="U1407" s="2"/>
      <c r="V1407" s="2"/>
      <c r="W1407" s="2"/>
      <c r="X1407" s="2"/>
      <c r="Y1407" s="2"/>
      <c r="Z1407" s="2"/>
      <c r="AA1407" s="2"/>
      <c r="AB1407" s="2"/>
    </row>
    <row r="1408" spans="1:28" ht="15" customHeight="1">
      <c r="A1408" s="2"/>
      <c r="B1408" s="2">
        <v>1461</v>
      </c>
      <c r="C1408" s="2" t="s">
        <v>853</v>
      </c>
      <c r="D1408" s="2" t="s">
        <v>177</v>
      </c>
      <c r="E1408" s="2"/>
      <c r="F1408" s="2" t="s">
        <v>1076</v>
      </c>
      <c r="G1408" s="2">
        <v>1</v>
      </c>
      <c r="H1408" s="2" t="s">
        <v>47</v>
      </c>
      <c r="I1408" s="2"/>
      <c r="J1408" s="2" t="s">
        <v>1070</v>
      </c>
      <c r="K1408" s="2"/>
      <c r="L1408" s="2" t="s">
        <v>183</v>
      </c>
      <c r="M1408" s="2" t="s">
        <v>1072</v>
      </c>
      <c r="N1408" s="2" t="s">
        <v>35</v>
      </c>
      <c r="O1408" s="2" t="s">
        <v>47</v>
      </c>
      <c r="P1408" s="2"/>
      <c r="Q1408" s="2"/>
      <c r="R1408" s="2"/>
      <c r="S1408" s="2"/>
      <c r="T1408" s="2"/>
      <c r="U1408" s="2"/>
      <c r="V1408" s="2"/>
      <c r="W1408" s="2"/>
      <c r="X1408" s="2"/>
      <c r="Y1408" s="2"/>
      <c r="Z1408" s="2"/>
      <c r="AA1408" s="2"/>
      <c r="AB1408" s="2"/>
    </row>
    <row r="1409" spans="1:28" ht="15" customHeight="1">
      <c r="A1409" s="2"/>
      <c r="B1409" s="2">
        <v>1462</v>
      </c>
      <c r="C1409" s="2" t="s">
        <v>853</v>
      </c>
      <c r="D1409" s="2" t="s">
        <v>177</v>
      </c>
      <c r="E1409" s="2"/>
      <c r="F1409" s="2" t="s">
        <v>322</v>
      </c>
      <c r="G1409" s="2">
        <v>1</v>
      </c>
      <c r="H1409" s="2" t="s">
        <v>47</v>
      </c>
      <c r="I1409" s="2"/>
      <c r="J1409" s="2" t="s">
        <v>1070</v>
      </c>
      <c r="K1409" s="2"/>
      <c r="L1409" s="2" t="s">
        <v>1077</v>
      </c>
      <c r="M1409" s="2" t="s">
        <v>1072</v>
      </c>
      <c r="N1409" s="2" t="s">
        <v>35</v>
      </c>
      <c r="O1409" s="2" t="s">
        <v>47</v>
      </c>
      <c r="P1409" s="2"/>
      <c r="Q1409" s="2"/>
      <c r="R1409" s="2"/>
      <c r="S1409" s="2"/>
      <c r="T1409" s="2"/>
      <c r="U1409" s="2"/>
      <c r="V1409" s="2"/>
      <c r="W1409" s="2"/>
      <c r="X1409" s="2"/>
      <c r="Y1409" s="2"/>
      <c r="Z1409" s="2"/>
      <c r="AA1409" s="2"/>
      <c r="AB1409" s="2"/>
    </row>
    <row r="1410" spans="1:28" ht="15" customHeight="1">
      <c r="A1410" s="2"/>
      <c r="B1410" s="2">
        <v>1463</v>
      </c>
      <c r="C1410" s="2" t="s">
        <v>853</v>
      </c>
      <c r="D1410" s="2" t="s">
        <v>177</v>
      </c>
      <c r="E1410" s="2"/>
      <c r="F1410" s="2" t="s">
        <v>1075</v>
      </c>
      <c r="G1410" s="2">
        <v>20</v>
      </c>
      <c r="H1410" s="2" t="s">
        <v>47</v>
      </c>
      <c r="I1410" s="2"/>
      <c r="J1410" s="2" t="s">
        <v>1070</v>
      </c>
      <c r="K1410" s="2"/>
      <c r="L1410" s="2" t="s">
        <v>1077</v>
      </c>
      <c r="M1410" s="2" t="s">
        <v>1072</v>
      </c>
      <c r="N1410" s="2" t="s">
        <v>35</v>
      </c>
      <c r="O1410" s="2" t="s">
        <v>47</v>
      </c>
      <c r="P1410" s="2"/>
      <c r="Q1410" s="2"/>
      <c r="R1410" s="2"/>
      <c r="S1410" s="2"/>
      <c r="T1410" s="2"/>
      <c r="U1410" s="2"/>
      <c r="V1410" s="2"/>
      <c r="W1410" s="2"/>
      <c r="X1410" s="2"/>
      <c r="Y1410" s="2"/>
      <c r="Z1410" s="2"/>
      <c r="AA1410" s="2"/>
      <c r="AB1410" s="2"/>
    </row>
    <row r="1411" spans="1:28" ht="15" customHeight="1">
      <c r="A1411" s="2"/>
      <c r="B1411" s="2">
        <v>1464</v>
      </c>
      <c r="C1411" s="2" t="s">
        <v>853</v>
      </c>
      <c r="D1411" s="2" t="s">
        <v>177</v>
      </c>
      <c r="E1411" s="2"/>
      <c r="F1411" s="2" t="s">
        <v>524</v>
      </c>
      <c r="G1411" s="2">
        <v>1</v>
      </c>
      <c r="H1411" s="2" t="s">
        <v>47</v>
      </c>
      <c r="I1411" s="2"/>
      <c r="J1411" s="2" t="s">
        <v>1070</v>
      </c>
      <c r="K1411" s="2"/>
      <c r="L1411" s="2" t="s">
        <v>1077</v>
      </c>
      <c r="M1411" s="2" t="s">
        <v>1072</v>
      </c>
      <c r="N1411" s="2" t="s">
        <v>35</v>
      </c>
      <c r="O1411" s="2" t="s">
        <v>47</v>
      </c>
      <c r="P1411" s="2"/>
      <c r="Q1411" s="2"/>
      <c r="R1411" s="2"/>
      <c r="S1411" s="2"/>
      <c r="T1411" s="2"/>
      <c r="U1411" s="2"/>
      <c r="V1411" s="2"/>
      <c r="W1411" s="2"/>
      <c r="X1411" s="2"/>
      <c r="Y1411" s="2"/>
      <c r="Z1411" s="2"/>
      <c r="AA1411" s="2"/>
      <c r="AB1411" s="2"/>
    </row>
    <row r="1412" spans="1:28" ht="15" customHeight="1">
      <c r="A1412" s="2"/>
      <c r="B1412" s="2">
        <v>1465</v>
      </c>
      <c r="C1412" s="2" t="s">
        <v>853</v>
      </c>
      <c r="D1412" s="2" t="s">
        <v>177</v>
      </c>
      <c r="E1412" s="2"/>
      <c r="F1412" s="2" t="s">
        <v>1078</v>
      </c>
      <c r="G1412" s="2">
        <v>1</v>
      </c>
      <c r="H1412" s="2" t="s">
        <v>47</v>
      </c>
      <c r="I1412" s="2"/>
      <c r="J1412" s="2" t="s">
        <v>1070</v>
      </c>
      <c r="K1412" s="2"/>
      <c r="L1412" s="2" t="s">
        <v>1077</v>
      </c>
      <c r="M1412" s="2" t="s">
        <v>1072</v>
      </c>
      <c r="N1412" s="2" t="s">
        <v>35</v>
      </c>
      <c r="O1412" s="2" t="s">
        <v>47</v>
      </c>
      <c r="P1412" s="2"/>
      <c r="Q1412" s="2"/>
      <c r="R1412" s="2"/>
      <c r="S1412" s="2"/>
      <c r="T1412" s="2"/>
      <c r="U1412" s="2"/>
      <c r="V1412" s="2"/>
      <c r="W1412" s="2"/>
      <c r="X1412" s="2"/>
      <c r="Y1412" s="2"/>
      <c r="Z1412" s="2"/>
      <c r="AA1412" s="2"/>
      <c r="AB1412" s="2"/>
    </row>
    <row r="1413" spans="1:28" ht="15" customHeight="1">
      <c r="A1413" s="2"/>
      <c r="B1413" s="2">
        <v>1466</v>
      </c>
      <c r="C1413" s="2" t="s">
        <v>853</v>
      </c>
      <c r="D1413" s="2" t="s">
        <v>177</v>
      </c>
      <c r="E1413" s="2"/>
      <c r="F1413" s="2" t="s">
        <v>325</v>
      </c>
      <c r="G1413" s="2">
        <v>1</v>
      </c>
      <c r="H1413" s="2" t="s">
        <v>47</v>
      </c>
      <c r="I1413" s="2"/>
      <c r="J1413" s="2" t="s">
        <v>1070</v>
      </c>
      <c r="K1413" s="2"/>
      <c r="L1413" s="2" t="s">
        <v>1077</v>
      </c>
      <c r="M1413" s="2" t="s">
        <v>1072</v>
      </c>
      <c r="N1413" s="2" t="s">
        <v>35</v>
      </c>
      <c r="O1413" s="2" t="s">
        <v>47</v>
      </c>
      <c r="P1413" s="2"/>
      <c r="Q1413" s="2"/>
      <c r="R1413" s="2"/>
      <c r="S1413" s="2"/>
      <c r="T1413" s="2"/>
      <c r="U1413" s="2"/>
      <c r="V1413" s="2"/>
      <c r="W1413" s="2"/>
      <c r="X1413" s="2"/>
      <c r="Y1413" s="2"/>
      <c r="Z1413" s="2"/>
      <c r="AA1413" s="2"/>
      <c r="AB1413" s="2"/>
    </row>
    <row r="1414" spans="1:28" ht="15" customHeight="1">
      <c r="A1414" s="2"/>
      <c r="B1414" s="2">
        <v>1467</v>
      </c>
      <c r="C1414" s="2" t="s">
        <v>853</v>
      </c>
      <c r="D1414" s="2" t="s">
        <v>177</v>
      </c>
      <c r="E1414" s="2"/>
      <c r="F1414" s="2" t="s">
        <v>1075</v>
      </c>
      <c r="G1414" s="2">
        <v>50</v>
      </c>
      <c r="H1414" s="2" t="s">
        <v>47</v>
      </c>
      <c r="I1414" s="2"/>
      <c r="J1414" s="2" t="s">
        <v>1070</v>
      </c>
      <c r="K1414" s="2"/>
      <c r="L1414" s="2" t="s">
        <v>1077</v>
      </c>
      <c r="M1414" s="2" t="s">
        <v>1072</v>
      </c>
      <c r="N1414" s="2" t="s">
        <v>35</v>
      </c>
      <c r="O1414" s="2" t="s">
        <v>47</v>
      </c>
      <c r="P1414" s="2"/>
      <c r="Q1414" s="2"/>
      <c r="R1414" s="2"/>
      <c r="S1414" s="2"/>
      <c r="T1414" s="2"/>
      <c r="U1414" s="2"/>
      <c r="V1414" s="2"/>
      <c r="W1414" s="2"/>
      <c r="X1414" s="2"/>
      <c r="Y1414" s="2"/>
      <c r="Z1414" s="2"/>
      <c r="AA1414" s="2"/>
      <c r="AB1414" s="2"/>
    </row>
    <row r="1415" spans="1:28" ht="15" customHeight="1">
      <c r="A1415" s="2"/>
      <c r="B1415" s="2">
        <v>1468</v>
      </c>
      <c r="C1415" s="2" t="s">
        <v>853</v>
      </c>
      <c r="D1415" s="2" t="s">
        <v>177</v>
      </c>
      <c r="E1415" s="2"/>
      <c r="F1415" s="2" t="s">
        <v>1075</v>
      </c>
      <c r="G1415" s="2">
        <v>50</v>
      </c>
      <c r="H1415" s="2" t="s">
        <v>47</v>
      </c>
      <c r="I1415" s="2"/>
      <c r="J1415" s="2" t="s">
        <v>1070</v>
      </c>
      <c r="K1415" s="2"/>
      <c r="L1415" s="2" t="s">
        <v>1077</v>
      </c>
      <c r="M1415" s="2" t="s">
        <v>1072</v>
      </c>
      <c r="N1415" s="2" t="s">
        <v>35</v>
      </c>
      <c r="O1415" s="2" t="s">
        <v>47</v>
      </c>
      <c r="P1415" s="2"/>
      <c r="Q1415" s="2"/>
      <c r="R1415" s="2"/>
      <c r="S1415" s="2"/>
      <c r="T1415" s="2"/>
      <c r="U1415" s="2"/>
      <c r="V1415" s="2"/>
      <c r="W1415" s="2"/>
      <c r="X1415" s="2"/>
      <c r="Y1415" s="2"/>
      <c r="Z1415" s="2"/>
      <c r="AA1415" s="2"/>
      <c r="AB1415" s="2"/>
    </row>
    <row r="1416" spans="1:28" ht="15" customHeight="1">
      <c r="B1416" s="47">
        <v>1469</v>
      </c>
      <c r="C1416" s="2" t="s">
        <v>853</v>
      </c>
      <c r="F1416" s="47" t="s">
        <v>1221</v>
      </c>
      <c r="G1416" s="47">
        <v>1</v>
      </c>
      <c r="H1416" s="47" t="s">
        <v>530</v>
      </c>
      <c r="L1416" s="47" t="s">
        <v>314</v>
      </c>
      <c r="M1416" s="47" t="s">
        <v>1279</v>
      </c>
    </row>
    <row r="1417" spans="1:28" ht="15" customHeight="1">
      <c r="B1417" s="47">
        <v>1470</v>
      </c>
      <c r="C1417" s="2" t="s">
        <v>853</v>
      </c>
      <c r="F1417" s="47" t="s">
        <v>1246</v>
      </c>
      <c r="G1417" s="47">
        <v>1</v>
      </c>
      <c r="H1417" s="47" t="s">
        <v>530</v>
      </c>
      <c r="L1417" s="47" t="s">
        <v>314</v>
      </c>
      <c r="M1417" s="47" t="s">
        <v>1279</v>
      </c>
    </row>
    <row r="1418" spans="1:28" ht="15" customHeight="1">
      <c r="B1418" s="47">
        <v>1471</v>
      </c>
      <c r="C1418" s="2" t="s">
        <v>853</v>
      </c>
      <c r="F1418" s="47" t="s">
        <v>1242</v>
      </c>
      <c r="G1418" s="47">
        <v>1</v>
      </c>
      <c r="H1418" s="47" t="s">
        <v>530</v>
      </c>
      <c r="L1418" s="47" t="s">
        <v>314</v>
      </c>
      <c r="M1418" s="47" t="s">
        <v>1279</v>
      </c>
    </row>
    <row r="1419" spans="1:28" ht="15" customHeight="1">
      <c r="B1419" s="47">
        <v>1472</v>
      </c>
      <c r="C1419" s="2" t="s">
        <v>853</v>
      </c>
      <c r="F1419" s="47" t="s">
        <v>281</v>
      </c>
      <c r="G1419" s="47">
        <v>1</v>
      </c>
      <c r="H1419" s="47" t="s">
        <v>530</v>
      </c>
      <c r="L1419" s="47" t="s">
        <v>314</v>
      </c>
      <c r="M1419" s="47" t="s">
        <v>1279</v>
      </c>
    </row>
    <row r="1420" spans="1:28" ht="15" customHeight="1">
      <c r="B1420" s="47">
        <v>1473</v>
      </c>
      <c r="C1420" s="2" t="s">
        <v>853</v>
      </c>
      <c r="F1420" s="47" t="s">
        <v>1234</v>
      </c>
      <c r="G1420" s="47">
        <v>1</v>
      </c>
      <c r="H1420" s="47" t="s">
        <v>530</v>
      </c>
      <c r="L1420" s="47" t="s">
        <v>314</v>
      </c>
      <c r="M1420" s="47" t="s">
        <v>1279</v>
      </c>
    </row>
    <row r="1421" spans="1:28" ht="15" customHeight="1">
      <c r="B1421" s="47">
        <v>1474</v>
      </c>
      <c r="C1421" s="2" t="s">
        <v>853</v>
      </c>
      <c r="F1421" s="47" t="s">
        <v>1234</v>
      </c>
      <c r="G1421" s="47">
        <v>1</v>
      </c>
      <c r="H1421" s="47" t="s">
        <v>530</v>
      </c>
      <c r="L1421" s="47" t="s">
        <v>314</v>
      </c>
      <c r="M1421" s="47" t="s">
        <v>1279</v>
      </c>
    </row>
    <row r="1422" spans="1:28" ht="15" customHeight="1">
      <c r="B1422" s="47">
        <v>1475</v>
      </c>
      <c r="C1422" s="2" t="s">
        <v>853</v>
      </c>
      <c r="F1422" s="47" t="s">
        <v>1224</v>
      </c>
      <c r="G1422" s="47">
        <v>1</v>
      </c>
      <c r="H1422" s="47" t="s">
        <v>530</v>
      </c>
      <c r="L1422" s="47" t="s">
        <v>314</v>
      </c>
      <c r="M1422" s="47" t="s">
        <v>1279</v>
      </c>
    </row>
    <row r="1423" spans="1:28" ht="15" customHeight="1">
      <c r="B1423" s="47">
        <v>1476</v>
      </c>
      <c r="C1423" s="2" t="s">
        <v>853</v>
      </c>
      <c r="F1423" s="47" t="s">
        <v>1224</v>
      </c>
      <c r="G1423" s="47">
        <v>1</v>
      </c>
      <c r="H1423" s="47" t="s">
        <v>530</v>
      </c>
      <c r="L1423" s="47" t="s">
        <v>314</v>
      </c>
      <c r="M1423" s="47" t="s">
        <v>1279</v>
      </c>
    </row>
    <row r="1424" spans="1:28" ht="15" customHeight="1">
      <c r="B1424" s="47">
        <v>1477</v>
      </c>
      <c r="C1424" s="2" t="s">
        <v>853</v>
      </c>
      <c r="F1424" s="47" t="s">
        <v>1225</v>
      </c>
      <c r="G1424" s="47">
        <v>1</v>
      </c>
      <c r="H1424" s="47" t="s">
        <v>530</v>
      </c>
      <c r="L1424" s="47" t="s">
        <v>314</v>
      </c>
      <c r="M1424" s="47" t="s">
        <v>1279</v>
      </c>
    </row>
    <row r="1425" spans="2:13" ht="15" customHeight="1">
      <c r="B1425" s="47">
        <v>1478</v>
      </c>
      <c r="C1425" s="2" t="s">
        <v>853</v>
      </c>
      <c r="F1425" s="47" t="s">
        <v>1230</v>
      </c>
      <c r="G1425" s="47">
        <v>1</v>
      </c>
      <c r="H1425" s="47" t="s">
        <v>530</v>
      </c>
      <c r="L1425" s="47" t="s">
        <v>314</v>
      </c>
      <c r="M1425" s="47" t="s">
        <v>1279</v>
      </c>
    </row>
    <row r="1426" spans="2:13" ht="15" customHeight="1">
      <c r="B1426" s="47">
        <v>1479</v>
      </c>
      <c r="C1426" s="2" t="s">
        <v>853</v>
      </c>
      <c r="F1426" s="47" t="s">
        <v>1230</v>
      </c>
      <c r="G1426" s="47">
        <v>1</v>
      </c>
      <c r="H1426" s="47" t="s">
        <v>530</v>
      </c>
      <c r="L1426" s="47" t="s">
        <v>314</v>
      </c>
      <c r="M1426" s="47" t="s">
        <v>1279</v>
      </c>
    </row>
    <row r="1427" spans="2:13" ht="15" customHeight="1">
      <c r="B1427" s="47">
        <v>1480</v>
      </c>
      <c r="C1427" s="2" t="s">
        <v>853</v>
      </c>
      <c r="F1427" s="47" t="s">
        <v>1230</v>
      </c>
      <c r="G1427" s="47">
        <v>1</v>
      </c>
      <c r="H1427" s="47" t="s">
        <v>530</v>
      </c>
      <c r="L1427" s="47" t="s">
        <v>314</v>
      </c>
      <c r="M1427" s="47" t="s">
        <v>1279</v>
      </c>
    </row>
    <row r="1428" spans="2:13" ht="15" customHeight="1">
      <c r="B1428" s="47">
        <v>1481</v>
      </c>
      <c r="C1428" s="2" t="s">
        <v>853</v>
      </c>
      <c r="F1428" s="47" t="s">
        <v>1230</v>
      </c>
      <c r="G1428" s="47">
        <v>1</v>
      </c>
      <c r="H1428" s="47" t="s">
        <v>530</v>
      </c>
      <c r="L1428" s="47" t="s">
        <v>314</v>
      </c>
      <c r="M1428" s="47" t="s">
        <v>1279</v>
      </c>
    </row>
    <row r="1429" spans="2:13" ht="15" customHeight="1">
      <c r="B1429" s="47">
        <v>1482</v>
      </c>
      <c r="C1429" s="2" t="s">
        <v>853</v>
      </c>
      <c r="F1429" s="47" t="s">
        <v>980</v>
      </c>
      <c r="G1429" s="47">
        <v>1</v>
      </c>
      <c r="H1429" s="47" t="s">
        <v>530</v>
      </c>
      <c r="L1429" s="47" t="s">
        <v>314</v>
      </c>
      <c r="M1429" s="47" t="s">
        <v>1279</v>
      </c>
    </row>
    <row r="1430" spans="2:13" ht="15" customHeight="1">
      <c r="B1430" s="47">
        <v>1483</v>
      </c>
      <c r="C1430" s="2" t="s">
        <v>853</v>
      </c>
      <c r="F1430" s="47" t="s">
        <v>1236</v>
      </c>
      <c r="G1430" s="47">
        <v>1</v>
      </c>
      <c r="H1430" s="47" t="s">
        <v>530</v>
      </c>
      <c r="L1430" s="47" t="s">
        <v>314</v>
      </c>
      <c r="M1430" s="47" t="s">
        <v>1279</v>
      </c>
    </row>
    <row r="1431" spans="2:13" ht="15" customHeight="1">
      <c r="B1431" s="47">
        <v>1484</v>
      </c>
      <c r="C1431" s="2" t="s">
        <v>853</v>
      </c>
      <c r="F1431" s="47" t="s">
        <v>1223</v>
      </c>
      <c r="G1431" s="47">
        <v>1</v>
      </c>
      <c r="H1431" s="47" t="s">
        <v>1274</v>
      </c>
      <c r="L1431" s="47" t="s">
        <v>314</v>
      </c>
      <c r="M1431" s="47" t="s">
        <v>1279</v>
      </c>
    </row>
    <row r="1432" spans="2:13" ht="15" customHeight="1">
      <c r="B1432" s="47">
        <v>1485</v>
      </c>
      <c r="C1432" s="2" t="s">
        <v>853</v>
      </c>
      <c r="F1432" s="47" t="s">
        <v>1223</v>
      </c>
      <c r="G1432" s="47">
        <v>1</v>
      </c>
      <c r="H1432" s="47" t="s">
        <v>1274</v>
      </c>
      <c r="L1432" s="47" t="s">
        <v>314</v>
      </c>
      <c r="M1432" s="47" t="s">
        <v>1279</v>
      </c>
    </row>
    <row r="1433" spans="2:13" ht="15" customHeight="1">
      <c r="B1433" s="47">
        <v>1486</v>
      </c>
      <c r="C1433" s="2" t="s">
        <v>853</v>
      </c>
      <c r="F1433" s="47" t="s">
        <v>1247</v>
      </c>
      <c r="G1433" s="47">
        <v>1</v>
      </c>
      <c r="H1433" s="47" t="s">
        <v>1274</v>
      </c>
      <c r="L1433" s="47" t="s">
        <v>314</v>
      </c>
      <c r="M1433" s="47" t="s">
        <v>1279</v>
      </c>
    </row>
    <row r="1434" spans="2:13" ht="15" customHeight="1">
      <c r="B1434" s="47">
        <v>1487</v>
      </c>
      <c r="C1434" s="2" t="s">
        <v>853</v>
      </c>
      <c r="F1434" s="47" t="s">
        <v>1248</v>
      </c>
      <c r="G1434" s="47">
        <v>1</v>
      </c>
      <c r="H1434" s="47" t="s">
        <v>1274</v>
      </c>
      <c r="L1434" s="47" t="s">
        <v>314</v>
      </c>
      <c r="M1434" s="47" t="s">
        <v>1279</v>
      </c>
    </row>
    <row r="1435" spans="2:13" ht="15" customHeight="1">
      <c r="B1435" s="47">
        <v>1488</v>
      </c>
      <c r="C1435" s="2" t="s">
        <v>853</v>
      </c>
      <c r="F1435" s="47" t="s">
        <v>1223</v>
      </c>
      <c r="G1435" s="47">
        <v>1</v>
      </c>
      <c r="H1435" s="47" t="s">
        <v>1274</v>
      </c>
      <c r="L1435" s="47" t="s">
        <v>314</v>
      </c>
      <c r="M1435" s="47" t="s">
        <v>1279</v>
      </c>
    </row>
    <row r="1436" spans="2:13" ht="15" customHeight="1">
      <c r="B1436" s="47">
        <v>1489</v>
      </c>
      <c r="C1436" s="2" t="s">
        <v>853</v>
      </c>
      <c r="F1436" s="47" t="s">
        <v>1223</v>
      </c>
      <c r="G1436" s="47">
        <v>1</v>
      </c>
      <c r="H1436" s="47" t="s">
        <v>1274</v>
      </c>
      <c r="L1436" s="47" t="s">
        <v>314</v>
      </c>
      <c r="M1436" s="47" t="s">
        <v>1279</v>
      </c>
    </row>
    <row r="1437" spans="2:13" ht="15" customHeight="1">
      <c r="B1437" s="47">
        <v>1490</v>
      </c>
      <c r="C1437" s="2" t="s">
        <v>853</v>
      </c>
      <c r="F1437" s="47" t="s">
        <v>1223</v>
      </c>
      <c r="G1437" s="47">
        <v>1</v>
      </c>
      <c r="H1437" s="47" t="s">
        <v>1274</v>
      </c>
      <c r="L1437" s="47" t="s">
        <v>314</v>
      </c>
      <c r="M1437" s="47" t="s">
        <v>1279</v>
      </c>
    </row>
    <row r="1438" spans="2:13" ht="15" customHeight="1">
      <c r="B1438" s="47">
        <v>1491</v>
      </c>
      <c r="C1438" s="2" t="s">
        <v>853</v>
      </c>
      <c r="F1438" s="47" t="s">
        <v>1069</v>
      </c>
      <c r="G1438" s="47">
        <v>1</v>
      </c>
      <c r="H1438" s="47" t="s">
        <v>530</v>
      </c>
      <c r="L1438" s="47" t="s">
        <v>314</v>
      </c>
      <c r="M1438" s="47" t="s">
        <v>1279</v>
      </c>
    </row>
    <row r="1439" spans="2:13" ht="15" customHeight="1">
      <c r="B1439" s="47">
        <v>1492</v>
      </c>
      <c r="C1439" s="2" t="s">
        <v>853</v>
      </c>
      <c r="F1439" s="47" t="s">
        <v>1249</v>
      </c>
      <c r="G1439" s="47">
        <v>1</v>
      </c>
      <c r="H1439" s="47" t="s">
        <v>530</v>
      </c>
      <c r="L1439" s="47" t="s">
        <v>314</v>
      </c>
      <c r="M1439" s="47" t="s">
        <v>1279</v>
      </c>
    </row>
    <row r="1440" spans="2:13" ht="15" customHeight="1">
      <c r="B1440" s="47">
        <v>1493</v>
      </c>
      <c r="C1440" s="2" t="s">
        <v>853</v>
      </c>
      <c r="F1440" s="47" t="s">
        <v>1223</v>
      </c>
      <c r="G1440" s="47">
        <v>1</v>
      </c>
      <c r="H1440" s="47" t="s">
        <v>1274</v>
      </c>
      <c r="L1440" s="47" t="s">
        <v>314</v>
      </c>
      <c r="M1440" s="47" t="s">
        <v>1279</v>
      </c>
    </row>
    <row r="1441" spans="2:13" ht="15" customHeight="1">
      <c r="B1441" s="47">
        <v>1494</v>
      </c>
      <c r="C1441" s="2" t="s">
        <v>853</v>
      </c>
      <c r="F1441" s="47" t="s">
        <v>1250</v>
      </c>
      <c r="G1441" s="47">
        <v>1</v>
      </c>
      <c r="H1441" s="47" t="s">
        <v>530</v>
      </c>
      <c r="L1441" s="47" t="s">
        <v>314</v>
      </c>
      <c r="M1441" s="47" t="s">
        <v>1279</v>
      </c>
    </row>
    <row r="1442" spans="2:13" ht="15" customHeight="1">
      <c r="B1442" s="47">
        <v>1495</v>
      </c>
      <c r="C1442" s="2" t="s">
        <v>853</v>
      </c>
      <c r="F1442" s="47" t="s">
        <v>1237</v>
      </c>
      <c r="G1442" s="47">
        <v>1</v>
      </c>
      <c r="H1442" s="47" t="s">
        <v>1274</v>
      </c>
      <c r="L1442" s="47" t="s">
        <v>314</v>
      </c>
      <c r="M1442" s="47" t="s">
        <v>1279</v>
      </c>
    </row>
    <row r="1443" spans="2:13" ht="15" customHeight="1">
      <c r="B1443" s="47">
        <v>1496</v>
      </c>
      <c r="C1443" s="2" t="s">
        <v>853</v>
      </c>
      <c r="F1443" s="47" t="s">
        <v>1243</v>
      </c>
      <c r="G1443" s="47">
        <v>1</v>
      </c>
      <c r="H1443" s="47" t="s">
        <v>530</v>
      </c>
      <c r="L1443" s="47" t="s">
        <v>314</v>
      </c>
      <c r="M1443" s="47" t="s">
        <v>1279</v>
      </c>
    </row>
    <row r="1444" spans="2:13" ht="15" customHeight="1">
      <c r="B1444" s="47">
        <v>1497</v>
      </c>
      <c r="C1444" s="2" t="s">
        <v>853</v>
      </c>
      <c r="F1444" s="47" t="s">
        <v>1243</v>
      </c>
      <c r="G1444" s="47">
        <v>1</v>
      </c>
      <c r="H1444" s="47" t="s">
        <v>530</v>
      </c>
      <c r="L1444" s="47" t="s">
        <v>314</v>
      </c>
      <c r="M1444" s="47" t="s">
        <v>1279</v>
      </c>
    </row>
    <row r="1445" spans="2:13" ht="15" customHeight="1">
      <c r="B1445" s="47">
        <v>1498</v>
      </c>
      <c r="C1445" s="2" t="s">
        <v>853</v>
      </c>
      <c r="F1445" s="47" t="s">
        <v>1243</v>
      </c>
      <c r="G1445" s="47">
        <v>1</v>
      </c>
      <c r="H1445" s="47" t="s">
        <v>530</v>
      </c>
      <c r="L1445" s="47" t="s">
        <v>314</v>
      </c>
      <c r="M1445" s="47" t="s">
        <v>1279</v>
      </c>
    </row>
    <row r="1446" spans="2:13" ht="15" customHeight="1">
      <c r="B1446" s="47">
        <v>1499</v>
      </c>
      <c r="C1446" s="2" t="s">
        <v>853</v>
      </c>
      <c r="F1446" s="47" t="s">
        <v>1243</v>
      </c>
      <c r="G1446" s="47">
        <v>1</v>
      </c>
      <c r="H1446" s="47" t="s">
        <v>530</v>
      </c>
      <c r="L1446" s="47" t="s">
        <v>314</v>
      </c>
      <c r="M1446" s="47" t="s">
        <v>1279</v>
      </c>
    </row>
    <row r="1447" spans="2:13" ht="15" customHeight="1">
      <c r="B1447" s="47">
        <v>1500</v>
      </c>
      <c r="C1447" s="2" t="s">
        <v>853</v>
      </c>
      <c r="F1447" s="47" t="s">
        <v>1243</v>
      </c>
      <c r="G1447" s="47">
        <v>1</v>
      </c>
      <c r="H1447" s="47" t="s">
        <v>530</v>
      </c>
      <c r="L1447" s="47" t="s">
        <v>314</v>
      </c>
      <c r="M1447" s="47" t="s">
        <v>1279</v>
      </c>
    </row>
    <row r="1448" spans="2:13" ht="15" customHeight="1">
      <c r="B1448" s="47">
        <v>1501</v>
      </c>
      <c r="C1448" s="2" t="s">
        <v>853</v>
      </c>
      <c r="F1448" s="47" t="s">
        <v>1243</v>
      </c>
      <c r="G1448" s="47">
        <v>1</v>
      </c>
      <c r="H1448" s="47" t="s">
        <v>530</v>
      </c>
      <c r="L1448" s="47" t="s">
        <v>314</v>
      </c>
      <c r="M1448" s="47" t="s">
        <v>1279</v>
      </c>
    </row>
    <row r="1449" spans="2:13" ht="15" customHeight="1">
      <c r="B1449" s="47">
        <v>1502</v>
      </c>
      <c r="C1449" s="2" t="s">
        <v>853</v>
      </c>
      <c r="F1449" s="47" t="s">
        <v>1251</v>
      </c>
      <c r="G1449" s="47">
        <v>1</v>
      </c>
      <c r="H1449" s="47" t="s">
        <v>530</v>
      </c>
      <c r="L1449" s="47" t="s">
        <v>314</v>
      </c>
      <c r="M1449" s="47" t="s">
        <v>1279</v>
      </c>
    </row>
    <row r="1450" spans="2:13" ht="15" customHeight="1">
      <c r="B1450" s="47">
        <v>1503</v>
      </c>
      <c r="C1450" s="2" t="s">
        <v>853</v>
      </c>
      <c r="F1450" s="47" t="s">
        <v>1251</v>
      </c>
      <c r="G1450" s="47">
        <v>1</v>
      </c>
      <c r="H1450" s="47" t="s">
        <v>530</v>
      </c>
      <c r="L1450" s="47" t="s">
        <v>314</v>
      </c>
      <c r="M1450" s="47" t="s">
        <v>1279</v>
      </c>
    </row>
    <row r="1451" spans="2:13" ht="15" customHeight="1">
      <c r="B1451" s="47">
        <v>1504</v>
      </c>
      <c r="C1451" s="2" t="s">
        <v>853</v>
      </c>
      <c r="F1451" s="47" t="s">
        <v>1251</v>
      </c>
      <c r="G1451" s="47">
        <v>1</v>
      </c>
      <c r="H1451" s="47" t="s">
        <v>530</v>
      </c>
      <c r="L1451" s="47" t="s">
        <v>314</v>
      </c>
      <c r="M1451" s="47" t="s">
        <v>1279</v>
      </c>
    </row>
    <row r="1452" spans="2:13" ht="15" customHeight="1">
      <c r="B1452" s="47">
        <v>1505</v>
      </c>
      <c r="C1452" s="2" t="s">
        <v>853</v>
      </c>
      <c r="F1452" s="47" t="s">
        <v>1251</v>
      </c>
      <c r="G1452" s="47">
        <v>1</v>
      </c>
      <c r="H1452" s="47" t="s">
        <v>530</v>
      </c>
      <c r="L1452" s="47" t="s">
        <v>314</v>
      </c>
      <c r="M1452" s="47" t="s">
        <v>1279</v>
      </c>
    </row>
    <row r="1453" spans="2:13" ht="15" customHeight="1">
      <c r="B1453" s="47">
        <v>1506</v>
      </c>
      <c r="C1453" s="2" t="s">
        <v>853</v>
      </c>
      <c r="F1453" s="47" t="s">
        <v>1251</v>
      </c>
      <c r="G1453" s="47">
        <v>1</v>
      </c>
      <c r="H1453" s="47" t="s">
        <v>530</v>
      </c>
      <c r="L1453" s="47" t="s">
        <v>314</v>
      </c>
      <c r="M1453" s="47" t="s">
        <v>1279</v>
      </c>
    </row>
    <row r="1454" spans="2:13" ht="15" customHeight="1">
      <c r="B1454" s="47">
        <v>1508</v>
      </c>
      <c r="C1454" s="2" t="s">
        <v>853</v>
      </c>
      <c r="F1454" s="47" t="s">
        <v>1227</v>
      </c>
      <c r="G1454" s="47" t="s">
        <v>1273</v>
      </c>
      <c r="H1454" s="47" t="s">
        <v>530</v>
      </c>
      <c r="L1454" s="47" t="s">
        <v>314</v>
      </c>
      <c r="M1454" s="47" t="s">
        <v>1279</v>
      </c>
    </row>
    <row r="1455" spans="2:13" ht="15" customHeight="1">
      <c r="B1455" s="47">
        <v>1509</v>
      </c>
      <c r="C1455" s="2" t="s">
        <v>853</v>
      </c>
      <c r="F1455" s="47" t="s">
        <v>980</v>
      </c>
      <c r="G1455" s="47">
        <v>1</v>
      </c>
      <c r="H1455" s="47" t="s">
        <v>530</v>
      </c>
      <c r="L1455" s="47" t="s">
        <v>314</v>
      </c>
      <c r="M1455" s="47" t="s">
        <v>1279</v>
      </c>
    </row>
    <row r="1456" spans="2:13" ht="15" customHeight="1">
      <c r="B1456" s="47">
        <v>1510</v>
      </c>
      <c r="C1456" s="2" t="s">
        <v>853</v>
      </c>
      <c r="F1456" s="47" t="s">
        <v>980</v>
      </c>
      <c r="G1456" s="47">
        <v>1</v>
      </c>
      <c r="H1456" s="47" t="s">
        <v>530</v>
      </c>
      <c r="L1456" s="47" t="s">
        <v>314</v>
      </c>
      <c r="M1456" s="47" t="s">
        <v>1279</v>
      </c>
    </row>
    <row r="1457" spans="2:13" ht="15" customHeight="1">
      <c r="B1457" s="47">
        <v>1511</v>
      </c>
      <c r="C1457" s="2" t="s">
        <v>853</v>
      </c>
      <c r="F1457" s="47" t="s">
        <v>1251</v>
      </c>
      <c r="G1457" s="47">
        <v>1</v>
      </c>
      <c r="H1457" s="47" t="s">
        <v>530</v>
      </c>
      <c r="L1457" s="47" t="s">
        <v>314</v>
      </c>
      <c r="M1457" s="47" t="s">
        <v>1279</v>
      </c>
    </row>
    <row r="1458" spans="2:13" ht="15" customHeight="1">
      <c r="B1458" s="47">
        <v>1512</v>
      </c>
      <c r="C1458" s="2" t="s">
        <v>853</v>
      </c>
      <c r="F1458" s="47" t="s">
        <v>1252</v>
      </c>
      <c r="G1458" s="47">
        <v>1</v>
      </c>
      <c r="H1458" s="47" t="s">
        <v>530</v>
      </c>
      <c r="L1458" s="47" t="s">
        <v>314</v>
      </c>
      <c r="M1458" s="47" t="s">
        <v>1279</v>
      </c>
    </row>
    <row r="1459" spans="2:13" ht="15" customHeight="1">
      <c r="B1459" s="47">
        <v>1513</v>
      </c>
      <c r="C1459" s="2" t="s">
        <v>853</v>
      </c>
      <c r="F1459" s="47" t="s">
        <v>1250</v>
      </c>
      <c r="G1459" s="47">
        <v>1</v>
      </c>
      <c r="H1459" s="47" t="s">
        <v>530</v>
      </c>
      <c r="L1459" s="47" t="s">
        <v>314</v>
      </c>
      <c r="M1459" s="47" t="s">
        <v>1279</v>
      </c>
    </row>
    <row r="1460" spans="2:13" ht="15" customHeight="1">
      <c r="B1460" s="47">
        <v>1514</v>
      </c>
      <c r="C1460" s="2" t="s">
        <v>853</v>
      </c>
      <c r="F1460" s="47" t="s">
        <v>1249</v>
      </c>
      <c r="G1460" s="47">
        <v>1</v>
      </c>
      <c r="H1460" s="47" t="s">
        <v>530</v>
      </c>
      <c r="L1460" s="47" t="s">
        <v>314</v>
      </c>
      <c r="M1460" s="47" t="s">
        <v>1279</v>
      </c>
    </row>
    <row r="1461" spans="2:13" ht="15" customHeight="1">
      <c r="B1461" s="47">
        <v>1515</v>
      </c>
      <c r="C1461" s="2" t="s">
        <v>853</v>
      </c>
      <c r="F1461" s="47" t="s">
        <v>1227</v>
      </c>
      <c r="G1461" s="47" t="s">
        <v>1273</v>
      </c>
      <c r="H1461" s="47" t="s">
        <v>530</v>
      </c>
      <c r="L1461" s="47" t="s">
        <v>314</v>
      </c>
      <c r="M1461" s="47" t="s">
        <v>1279</v>
      </c>
    </row>
    <row r="1462" spans="2:13" ht="15" customHeight="1">
      <c r="B1462" s="47">
        <v>1516</v>
      </c>
      <c r="C1462" s="2" t="s">
        <v>853</v>
      </c>
      <c r="F1462" s="47" t="s">
        <v>1221</v>
      </c>
      <c r="G1462" s="47">
        <v>1</v>
      </c>
      <c r="H1462" s="47" t="s">
        <v>530</v>
      </c>
      <c r="L1462" s="47" t="s">
        <v>314</v>
      </c>
      <c r="M1462" s="47" t="s">
        <v>1279</v>
      </c>
    </row>
    <row r="1463" spans="2:13" ht="15" customHeight="1">
      <c r="B1463" s="47">
        <v>1517</v>
      </c>
      <c r="C1463" s="2" t="s">
        <v>853</v>
      </c>
      <c r="F1463" s="47" t="s">
        <v>1246</v>
      </c>
      <c r="G1463" s="47">
        <v>1</v>
      </c>
      <c r="H1463" s="47" t="s">
        <v>530</v>
      </c>
      <c r="L1463" s="47" t="s">
        <v>314</v>
      </c>
      <c r="M1463" s="47" t="s">
        <v>1279</v>
      </c>
    </row>
    <row r="1464" spans="2:13" ht="15" customHeight="1">
      <c r="B1464" s="47">
        <v>1518</v>
      </c>
      <c r="C1464" s="2" t="s">
        <v>853</v>
      </c>
      <c r="F1464" s="47" t="s">
        <v>1246</v>
      </c>
      <c r="G1464" s="47">
        <v>1</v>
      </c>
      <c r="H1464" s="47" t="s">
        <v>530</v>
      </c>
      <c r="L1464" s="47" t="s">
        <v>314</v>
      </c>
      <c r="M1464" s="47" t="s">
        <v>1279</v>
      </c>
    </row>
    <row r="1465" spans="2:13" ht="15" customHeight="1">
      <c r="B1465" s="47">
        <v>1519</v>
      </c>
      <c r="C1465" s="2" t="s">
        <v>853</v>
      </c>
      <c r="F1465" s="47" t="s">
        <v>1221</v>
      </c>
      <c r="G1465" s="47">
        <v>1</v>
      </c>
      <c r="H1465" s="47" t="s">
        <v>530</v>
      </c>
      <c r="L1465" s="47" t="s">
        <v>314</v>
      </c>
      <c r="M1465" s="47" t="s">
        <v>1279</v>
      </c>
    </row>
    <row r="1466" spans="2:13" ht="15" customHeight="1">
      <c r="B1466" s="47">
        <v>1520</v>
      </c>
      <c r="C1466" s="2" t="s">
        <v>853</v>
      </c>
      <c r="F1466" s="47" t="s">
        <v>1253</v>
      </c>
      <c r="G1466" s="47">
        <v>1</v>
      </c>
      <c r="H1466" s="47" t="s">
        <v>1274</v>
      </c>
      <c r="L1466" s="47" t="s">
        <v>314</v>
      </c>
      <c r="M1466" s="47" t="s">
        <v>1279</v>
      </c>
    </row>
    <row r="1467" spans="2:13" ht="15" customHeight="1">
      <c r="B1467" s="47">
        <v>1521</v>
      </c>
      <c r="C1467" s="2" t="s">
        <v>853</v>
      </c>
      <c r="F1467" s="47" t="s">
        <v>1230</v>
      </c>
      <c r="G1467" s="47">
        <v>1</v>
      </c>
      <c r="H1467" s="47" t="s">
        <v>530</v>
      </c>
      <c r="L1467" s="47" t="s">
        <v>314</v>
      </c>
      <c r="M1467" s="47" t="s">
        <v>1279</v>
      </c>
    </row>
    <row r="1468" spans="2:13" ht="15" customHeight="1">
      <c r="B1468" s="47">
        <v>1522</v>
      </c>
      <c r="C1468" s="2" t="s">
        <v>853</v>
      </c>
      <c r="F1468" s="47" t="s">
        <v>1230</v>
      </c>
      <c r="G1468" s="47">
        <v>1</v>
      </c>
      <c r="H1468" s="47" t="s">
        <v>530</v>
      </c>
      <c r="L1468" s="47" t="s">
        <v>314</v>
      </c>
      <c r="M1468" s="47" t="s">
        <v>1279</v>
      </c>
    </row>
    <row r="1469" spans="2:13" ht="15" customHeight="1">
      <c r="B1469" s="47">
        <v>1523</v>
      </c>
      <c r="C1469" s="2" t="s">
        <v>853</v>
      </c>
      <c r="F1469" s="47" t="s">
        <v>1247</v>
      </c>
      <c r="G1469" s="47">
        <v>1</v>
      </c>
      <c r="H1469" s="47" t="s">
        <v>1274</v>
      </c>
      <c r="L1469" s="47" t="s">
        <v>314</v>
      </c>
      <c r="M1469" s="47" t="s">
        <v>1279</v>
      </c>
    </row>
    <row r="1470" spans="2:13" ht="15" customHeight="1">
      <c r="B1470" s="47">
        <v>1524</v>
      </c>
      <c r="C1470" s="2" t="s">
        <v>853</v>
      </c>
      <c r="F1470" s="47" t="s">
        <v>1250</v>
      </c>
      <c r="G1470" s="47">
        <v>1</v>
      </c>
      <c r="H1470" s="47" t="s">
        <v>530</v>
      </c>
      <c r="L1470" s="47" t="s">
        <v>314</v>
      </c>
      <c r="M1470" s="47" t="s">
        <v>1279</v>
      </c>
    </row>
    <row r="1471" spans="2:13" ht="15" customHeight="1">
      <c r="B1471" s="47">
        <v>1525</v>
      </c>
      <c r="C1471" s="2" t="s">
        <v>853</v>
      </c>
      <c r="F1471" s="47" t="s">
        <v>1242</v>
      </c>
      <c r="G1471" s="47">
        <v>1</v>
      </c>
      <c r="H1471" s="47" t="s">
        <v>530</v>
      </c>
      <c r="L1471" s="47" t="s">
        <v>314</v>
      </c>
      <c r="M1471" s="47" t="s">
        <v>1279</v>
      </c>
    </row>
    <row r="1472" spans="2:13" ht="15" customHeight="1">
      <c r="B1472" s="47">
        <v>1526</v>
      </c>
      <c r="C1472" s="2" t="s">
        <v>853</v>
      </c>
      <c r="F1472" s="47" t="s">
        <v>1227</v>
      </c>
      <c r="G1472" s="47" t="s">
        <v>1273</v>
      </c>
      <c r="H1472" s="47" t="s">
        <v>530</v>
      </c>
      <c r="L1472" s="47" t="s">
        <v>314</v>
      </c>
      <c r="M1472" s="47" t="s">
        <v>1279</v>
      </c>
    </row>
    <row r="1473" spans="2:13" ht="15" customHeight="1">
      <c r="B1473" s="47">
        <v>1527</v>
      </c>
      <c r="C1473" s="2" t="s">
        <v>853</v>
      </c>
      <c r="F1473" s="47" t="s">
        <v>1223</v>
      </c>
      <c r="G1473" s="47">
        <v>1</v>
      </c>
      <c r="H1473" s="47" t="s">
        <v>1274</v>
      </c>
      <c r="L1473" s="47" t="s">
        <v>314</v>
      </c>
      <c r="M1473" s="47" t="s">
        <v>1279</v>
      </c>
    </row>
    <row r="1474" spans="2:13" ht="15" customHeight="1">
      <c r="B1474" s="47">
        <v>1528</v>
      </c>
      <c r="C1474" s="2" t="s">
        <v>853</v>
      </c>
      <c r="F1474" s="47" t="s">
        <v>1223</v>
      </c>
      <c r="G1474" s="47">
        <v>1</v>
      </c>
      <c r="H1474" s="47" t="s">
        <v>1274</v>
      </c>
      <c r="L1474" s="47" t="s">
        <v>314</v>
      </c>
      <c r="M1474" s="47" t="s">
        <v>1279</v>
      </c>
    </row>
    <row r="1475" spans="2:13" ht="15" customHeight="1">
      <c r="B1475" s="47">
        <v>1529</v>
      </c>
      <c r="C1475" s="2" t="s">
        <v>853</v>
      </c>
      <c r="F1475" s="47" t="s">
        <v>1223</v>
      </c>
      <c r="G1475" s="47">
        <v>1</v>
      </c>
      <c r="H1475" s="47" t="s">
        <v>1274</v>
      </c>
      <c r="L1475" s="47" t="s">
        <v>314</v>
      </c>
      <c r="M1475" s="47" t="s">
        <v>1279</v>
      </c>
    </row>
    <row r="1476" spans="2:13" ht="15" customHeight="1">
      <c r="B1476" s="47">
        <v>1530</v>
      </c>
      <c r="C1476" s="2" t="s">
        <v>853</v>
      </c>
      <c r="F1476" s="47" t="s">
        <v>1221</v>
      </c>
      <c r="G1476" s="47">
        <v>1</v>
      </c>
      <c r="H1476" s="47" t="s">
        <v>530</v>
      </c>
      <c r="L1476" s="47" t="s">
        <v>1276</v>
      </c>
      <c r="M1476" s="47" t="s">
        <v>1279</v>
      </c>
    </row>
    <row r="1477" spans="2:13" ht="15" customHeight="1">
      <c r="B1477" s="47">
        <v>1531</v>
      </c>
      <c r="C1477" s="2" t="s">
        <v>853</v>
      </c>
      <c r="F1477" s="47" t="s">
        <v>1246</v>
      </c>
      <c r="G1477" s="47">
        <v>1</v>
      </c>
      <c r="H1477" s="47" t="s">
        <v>530</v>
      </c>
      <c r="L1477" s="47" t="s">
        <v>1276</v>
      </c>
      <c r="M1477" s="47" t="s">
        <v>1279</v>
      </c>
    </row>
    <row r="1478" spans="2:13" ht="15" customHeight="1">
      <c r="B1478" s="47">
        <v>1532</v>
      </c>
      <c r="C1478" s="2" t="s">
        <v>853</v>
      </c>
      <c r="F1478" s="47" t="s">
        <v>1242</v>
      </c>
      <c r="G1478" s="47">
        <v>1</v>
      </c>
      <c r="H1478" s="47" t="s">
        <v>530</v>
      </c>
      <c r="L1478" s="47" t="s">
        <v>1276</v>
      </c>
      <c r="M1478" s="47" t="s">
        <v>1279</v>
      </c>
    </row>
    <row r="1479" spans="2:13" ht="15" customHeight="1">
      <c r="B1479" s="47">
        <v>1533</v>
      </c>
      <c r="C1479" s="2" t="s">
        <v>853</v>
      </c>
      <c r="F1479" s="47" t="s">
        <v>281</v>
      </c>
      <c r="G1479" s="47">
        <v>1</v>
      </c>
      <c r="H1479" s="47" t="s">
        <v>530</v>
      </c>
      <c r="L1479" s="47" t="s">
        <v>1276</v>
      </c>
      <c r="M1479" s="47" t="s">
        <v>1279</v>
      </c>
    </row>
    <row r="1480" spans="2:13" ht="15" customHeight="1">
      <c r="B1480" s="47">
        <v>1534</v>
      </c>
      <c r="C1480" s="2" t="s">
        <v>853</v>
      </c>
      <c r="F1480" s="47" t="s">
        <v>1234</v>
      </c>
      <c r="G1480" s="47">
        <v>1</v>
      </c>
      <c r="H1480" s="47" t="s">
        <v>530</v>
      </c>
      <c r="L1480" s="47" t="s">
        <v>1276</v>
      </c>
      <c r="M1480" s="47" t="s">
        <v>1279</v>
      </c>
    </row>
    <row r="1481" spans="2:13" ht="15" customHeight="1">
      <c r="B1481" s="47">
        <v>1535</v>
      </c>
      <c r="C1481" s="2" t="s">
        <v>853</v>
      </c>
      <c r="F1481" s="47" t="s">
        <v>1234</v>
      </c>
      <c r="G1481" s="47">
        <v>1</v>
      </c>
      <c r="H1481" s="47" t="s">
        <v>530</v>
      </c>
      <c r="L1481" s="47" t="s">
        <v>1276</v>
      </c>
      <c r="M1481" s="47" t="s">
        <v>1279</v>
      </c>
    </row>
    <row r="1482" spans="2:13" ht="15" customHeight="1">
      <c r="B1482" s="47">
        <v>1536</v>
      </c>
      <c r="C1482" s="2" t="s">
        <v>853</v>
      </c>
      <c r="F1482" s="47" t="s">
        <v>1224</v>
      </c>
      <c r="G1482" s="47">
        <v>1</v>
      </c>
      <c r="H1482" s="47" t="s">
        <v>530</v>
      </c>
      <c r="L1482" s="47" t="s">
        <v>1276</v>
      </c>
      <c r="M1482" s="47" t="s">
        <v>1279</v>
      </c>
    </row>
    <row r="1483" spans="2:13" ht="15" customHeight="1">
      <c r="B1483" s="47">
        <v>1537</v>
      </c>
      <c r="C1483" s="2" t="s">
        <v>853</v>
      </c>
      <c r="F1483" s="47" t="s">
        <v>1224</v>
      </c>
      <c r="G1483" s="47">
        <v>1</v>
      </c>
      <c r="H1483" s="47" t="s">
        <v>530</v>
      </c>
      <c r="L1483" s="47" t="s">
        <v>1276</v>
      </c>
      <c r="M1483" s="47" t="s">
        <v>1279</v>
      </c>
    </row>
    <row r="1484" spans="2:13" ht="15" customHeight="1">
      <c r="B1484" s="47">
        <v>1538</v>
      </c>
      <c r="C1484" s="2" t="s">
        <v>853</v>
      </c>
      <c r="F1484" s="47" t="s">
        <v>1225</v>
      </c>
      <c r="G1484" s="47">
        <v>1</v>
      </c>
      <c r="H1484" s="47" t="s">
        <v>530</v>
      </c>
      <c r="L1484" s="47" t="s">
        <v>1276</v>
      </c>
      <c r="M1484" s="47" t="s">
        <v>1279</v>
      </c>
    </row>
    <row r="1485" spans="2:13" ht="15" customHeight="1">
      <c r="B1485" s="47">
        <v>1539</v>
      </c>
      <c r="C1485" s="2" t="s">
        <v>853</v>
      </c>
      <c r="F1485" s="47" t="s">
        <v>1230</v>
      </c>
      <c r="G1485" s="47">
        <v>1</v>
      </c>
      <c r="H1485" s="47" t="s">
        <v>530</v>
      </c>
      <c r="L1485" s="47" t="s">
        <v>1276</v>
      </c>
      <c r="M1485" s="47" t="s">
        <v>1279</v>
      </c>
    </row>
    <row r="1486" spans="2:13" ht="15" customHeight="1">
      <c r="B1486" s="47">
        <v>1540</v>
      </c>
      <c r="C1486" s="2" t="s">
        <v>853</v>
      </c>
      <c r="F1486" s="47" t="s">
        <v>1230</v>
      </c>
      <c r="G1486" s="47">
        <v>1</v>
      </c>
      <c r="H1486" s="47" t="s">
        <v>530</v>
      </c>
      <c r="L1486" s="47" t="s">
        <v>1276</v>
      </c>
      <c r="M1486" s="47" t="s">
        <v>1279</v>
      </c>
    </row>
    <row r="1487" spans="2:13" ht="15" customHeight="1">
      <c r="B1487" s="47">
        <v>1541</v>
      </c>
      <c r="C1487" s="2" t="s">
        <v>853</v>
      </c>
      <c r="F1487" s="47" t="s">
        <v>1230</v>
      </c>
      <c r="G1487" s="47">
        <v>1</v>
      </c>
      <c r="H1487" s="47" t="s">
        <v>530</v>
      </c>
      <c r="L1487" s="47" t="s">
        <v>1276</v>
      </c>
      <c r="M1487" s="47" t="s">
        <v>1279</v>
      </c>
    </row>
    <row r="1488" spans="2:13" ht="15" customHeight="1">
      <c r="B1488" s="47">
        <v>1542</v>
      </c>
      <c r="C1488" s="2" t="s">
        <v>853</v>
      </c>
      <c r="F1488" s="47" t="s">
        <v>1230</v>
      </c>
      <c r="G1488" s="47">
        <v>1</v>
      </c>
      <c r="H1488" s="47" t="s">
        <v>530</v>
      </c>
      <c r="L1488" s="47" t="s">
        <v>1276</v>
      </c>
      <c r="M1488" s="47" t="s">
        <v>1279</v>
      </c>
    </row>
    <row r="1489" spans="2:13" ht="15" customHeight="1">
      <c r="B1489" s="47">
        <v>1543</v>
      </c>
      <c r="C1489" s="2" t="s">
        <v>853</v>
      </c>
      <c r="F1489" s="47" t="s">
        <v>980</v>
      </c>
      <c r="G1489" s="47">
        <v>1</v>
      </c>
      <c r="H1489" s="47" t="s">
        <v>530</v>
      </c>
      <c r="L1489" s="47" t="s">
        <v>1276</v>
      </c>
      <c r="M1489" s="47" t="s">
        <v>1279</v>
      </c>
    </row>
    <row r="1490" spans="2:13" ht="15" customHeight="1">
      <c r="B1490" s="47">
        <v>1544</v>
      </c>
      <c r="C1490" s="2" t="s">
        <v>853</v>
      </c>
      <c r="F1490" s="47" t="s">
        <v>1236</v>
      </c>
      <c r="G1490" s="47">
        <v>1</v>
      </c>
      <c r="H1490" s="47" t="s">
        <v>530</v>
      </c>
      <c r="L1490" s="47" t="s">
        <v>1276</v>
      </c>
      <c r="M1490" s="47" t="s">
        <v>1279</v>
      </c>
    </row>
    <row r="1491" spans="2:13" ht="15" customHeight="1">
      <c r="B1491" s="47">
        <v>1545</v>
      </c>
      <c r="C1491" s="2" t="s">
        <v>853</v>
      </c>
      <c r="F1491" s="47" t="s">
        <v>1223</v>
      </c>
      <c r="G1491" s="47">
        <v>1</v>
      </c>
      <c r="H1491" s="47" t="s">
        <v>1274</v>
      </c>
      <c r="L1491" s="47" t="s">
        <v>1276</v>
      </c>
      <c r="M1491" s="47" t="s">
        <v>1279</v>
      </c>
    </row>
    <row r="1492" spans="2:13" ht="15" customHeight="1">
      <c r="B1492" s="47">
        <v>1546</v>
      </c>
      <c r="C1492" s="2" t="s">
        <v>853</v>
      </c>
      <c r="F1492" s="47" t="s">
        <v>1223</v>
      </c>
      <c r="G1492" s="47">
        <v>1</v>
      </c>
      <c r="H1492" s="47" t="s">
        <v>1274</v>
      </c>
      <c r="L1492" s="47" t="s">
        <v>1276</v>
      </c>
      <c r="M1492" s="47" t="s">
        <v>1279</v>
      </c>
    </row>
    <row r="1493" spans="2:13" ht="15" customHeight="1">
      <c r="B1493" s="47">
        <v>1547</v>
      </c>
      <c r="C1493" s="2" t="s">
        <v>853</v>
      </c>
      <c r="F1493" s="47" t="s">
        <v>1247</v>
      </c>
      <c r="G1493" s="47">
        <v>1</v>
      </c>
      <c r="H1493" s="47" t="s">
        <v>1274</v>
      </c>
      <c r="L1493" s="47" t="s">
        <v>1276</v>
      </c>
      <c r="M1493" s="47" t="s">
        <v>1279</v>
      </c>
    </row>
    <row r="1494" spans="2:13" ht="15" customHeight="1">
      <c r="B1494" s="47">
        <v>1548</v>
      </c>
      <c r="C1494" s="2" t="s">
        <v>853</v>
      </c>
      <c r="F1494" s="47" t="s">
        <v>1248</v>
      </c>
      <c r="G1494" s="47">
        <v>1</v>
      </c>
      <c r="H1494" s="47" t="s">
        <v>1274</v>
      </c>
      <c r="L1494" s="47" t="s">
        <v>1276</v>
      </c>
      <c r="M1494" s="47" t="s">
        <v>1279</v>
      </c>
    </row>
    <row r="1495" spans="2:13" ht="15" customHeight="1">
      <c r="B1495" s="47">
        <v>1549</v>
      </c>
      <c r="C1495" s="2" t="s">
        <v>853</v>
      </c>
      <c r="F1495" s="47" t="s">
        <v>1223</v>
      </c>
      <c r="G1495" s="47">
        <v>1</v>
      </c>
      <c r="H1495" s="47" t="s">
        <v>1274</v>
      </c>
      <c r="L1495" s="47" t="s">
        <v>1276</v>
      </c>
      <c r="M1495" s="47" t="s">
        <v>1279</v>
      </c>
    </row>
    <row r="1496" spans="2:13" ht="15" customHeight="1">
      <c r="B1496" s="47">
        <v>1550</v>
      </c>
      <c r="C1496" s="2" t="s">
        <v>853</v>
      </c>
      <c r="F1496" s="47" t="s">
        <v>1223</v>
      </c>
      <c r="G1496" s="47">
        <v>1</v>
      </c>
      <c r="H1496" s="47" t="s">
        <v>1274</v>
      </c>
      <c r="L1496" s="47" t="s">
        <v>1276</v>
      </c>
      <c r="M1496" s="47" t="s">
        <v>1279</v>
      </c>
    </row>
    <row r="1497" spans="2:13" ht="15" customHeight="1">
      <c r="B1497" s="47">
        <v>1551</v>
      </c>
      <c r="C1497" s="2" t="s">
        <v>853</v>
      </c>
      <c r="F1497" s="47" t="s">
        <v>1223</v>
      </c>
      <c r="G1497" s="47">
        <v>1</v>
      </c>
      <c r="H1497" s="47" t="s">
        <v>1274</v>
      </c>
      <c r="L1497" s="47" t="s">
        <v>1276</v>
      </c>
      <c r="M1497" s="47" t="s">
        <v>1279</v>
      </c>
    </row>
    <row r="1498" spans="2:13" ht="15" customHeight="1">
      <c r="B1498" s="47">
        <v>1552</v>
      </c>
      <c r="C1498" s="2" t="s">
        <v>853</v>
      </c>
      <c r="F1498" s="47" t="s">
        <v>1069</v>
      </c>
      <c r="G1498" s="47">
        <v>1</v>
      </c>
      <c r="H1498" s="47" t="s">
        <v>530</v>
      </c>
      <c r="L1498" s="47" t="s">
        <v>1276</v>
      </c>
      <c r="M1498" s="47" t="s">
        <v>1279</v>
      </c>
    </row>
    <row r="1499" spans="2:13" ht="15" customHeight="1">
      <c r="B1499" s="47">
        <v>1553</v>
      </c>
      <c r="C1499" s="2" t="s">
        <v>853</v>
      </c>
      <c r="F1499" s="47" t="s">
        <v>1249</v>
      </c>
      <c r="G1499" s="47">
        <v>1</v>
      </c>
      <c r="H1499" s="47" t="s">
        <v>530</v>
      </c>
      <c r="L1499" s="47" t="s">
        <v>1276</v>
      </c>
      <c r="M1499" s="47" t="s">
        <v>1279</v>
      </c>
    </row>
    <row r="1500" spans="2:13" ht="15" customHeight="1">
      <c r="B1500" s="47">
        <v>1554</v>
      </c>
      <c r="C1500" s="2" t="s">
        <v>853</v>
      </c>
      <c r="F1500" s="47" t="s">
        <v>1223</v>
      </c>
      <c r="G1500" s="47">
        <v>1</v>
      </c>
      <c r="H1500" s="47" t="s">
        <v>1274</v>
      </c>
      <c r="L1500" s="47" t="s">
        <v>1276</v>
      </c>
      <c r="M1500" s="47" t="s">
        <v>1279</v>
      </c>
    </row>
    <row r="1501" spans="2:13" ht="15" customHeight="1">
      <c r="B1501" s="47">
        <v>1555</v>
      </c>
      <c r="C1501" s="2" t="s">
        <v>853</v>
      </c>
      <c r="F1501" s="47" t="s">
        <v>1250</v>
      </c>
      <c r="G1501" s="47">
        <v>1</v>
      </c>
      <c r="H1501" s="47" t="s">
        <v>530</v>
      </c>
      <c r="L1501" s="47" t="s">
        <v>1276</v>
      </c>
      <c r="M1501" s="47" t="s">
        <v>1279</v>
      </c>
    </row>
    <row r="1502" spans="2:13" ht="15" customHeight="1">
      <c r="B1502" s="47">
        <v>1556</v>
      </c>
      <c r="C1502" s="2" t="s">
        <v>853</v>
      </c>
      <c r="F1502" s="47" t="s">
        <v>1237</v>
      </c>
      <c r="G1502" s="47">
        <v>1</v>
      </c>
      <c r="H1502" s="47" t="s">
        <v>1274</v>
      </c>
      <c r="L1502" s="47" t="s">
        <v>1276</v>
      </c>
      <c r="M1502" s="47" t="s">
        <v>1279</v>
      </c>
    </row>
    <row r="1503" spans="2:13" ht="15" customHeight="1">
      <c r="B1503" s="47">
        <v>1557</v>
      </c>
      <c r="C1503" s="2" t="s">
        <v>853</v>
      </c>
      <c r="F1503" s="47" t="s">
        <v>1243</v>
      </c>
      <c r="G1503" s="47">
        <v>1</v>
      </c>
      <c r="H1503" s="47" t="s">
        <v>530</v>
      </c>
      <c r="L1503" s="47" t="s">
        <v>1276</v>
      </c>
      <c r="M1503" s="47" t="s">
        <v>1279</v>
      </c>
    </row>
    <row r="1504" spans="2:13" ht="15" customHeight="1">
      <c r="B1504" s="47">
        <v>1558</v>
      </c>
      <c r="C1504" s="2" t="s">
        <v>853</v>
      </c>
      <c r="F1504" s="47" t="s">
        <v>1243</v>
      </c>
      <c r="G1504" s="47">
        <v>1</v>
      </c>
      <c r="H1504" s="47" t="s">
        <v>530</v>
      </c>
      <c r="L1504" s="47" t="s">
        <v>1276</v>
      </c>
      <c r="M1504" s="47" t="s">
        <v>1279</v>
      </c>
    </row>
    <row r="1505" spans="2:13" ht="15" customHeight="1">
      <c r="B1505" s="47">
        <v>1559</v>
      </c>
      <c r="C1505" s="2" t="s">
        <v>853</v>
      </c>
      <c r="F1505" s="47" t="s">
        <v>1243</v>
      </c>
      <c r="G1505" s="47">
        <v>1</v>
      </c>
      <c r="H1505" s="47" t="s">
        <v>530</v>
      </c>
      <c r="L1505" s="47" t="s">
        <v>1276</v>
      </c>
      <c r="M1505" s="47" t="s">
        <v>1279</v>
      </c>
    </row>
    <row r="1506" spans="2:13" ht="15" customHeight="1">
      <c r="B1506" s="47">
        <v>1560</v>
      </c>
      <c r="C1506" s="2" t="s">
        <v>853</v>
      </c>
      <c r="F1506" s="47" t="s">
        <v>1243</v>
      </c>
      <c r="G1506" s="47">
        <v>1</v>
      </c>
      <c r="H1506" s="47" t="s">
        <v>530</v>
      </c>
      <c r="L1506" s="47" t="s">
        <v>1276</v>
      </c>
      <c r="M1506" s="47" t="s">
        <v>1279</v>
      </c>
    </row>
    <row r="1507" spans="2:13" ht="15" customHeight="1">
      <c r="B1507" s="47">
        <v>1561</v>
      </c>
      <c r="C1507" s="2" t="s">
        <v>853</v>
      </c>
      <c r="F1507" s="47" t="s">
        <v>1251</v>
      </c>
      <c r="G1507" s="47">
        <v>1</v>
      </c>
      <c r="H1507" s="47" t="s">
        <v>530</v>
      </c>
      <c r="L1507" s="47" t="s">
        <v>1276</v>
      </c>
      <c r="M1507" s="47" t="s">
        <v>1279</v>
      </c>
    </row>
    <row r="1508" spans="2:13" ht="15" customHeight="1">
      <c r="B1508" s="47">
        <v>1562</v>
      </c>
      <c r="C1508" s="2" t="s">
        <v>853</v>
      </c>
      <c r="F1508" s="47" t="s">
        <v>1251</v>
      </c>
      <c r="G1508" s="47">
        <v>1</v>
      </c>
      <c r="H1508" s="47" t="s">
        <v>530</v>
      </c>
      <c r="L1508" s="47" t="s">
        <v>1276</v>
      </c>
      <c r="M1508" s="47" t="s">
        <v>1279</v>
      </c>
    </row>
    <row r="1509" spans="2:13" ht="15" customHeight="1">
      <c r="B1509" s="47">
        <v>1563</v>
      </c>
      <c r="C1509" s="2" t="s">
        <v>853</v>
      </c>
      <c r="F1509" s="47" t="s">
        <v>1227</v>
      </c>
      <c r="G1509" s="47" t="s">
        <v>1273</v>
      </c>
      <c r="H1509" s="47" t="s">
        <v>530</v>
      </c>
      <c r="L1509" s="47" t="s">
        <v>1276</v>
      </c>
      <c r="M1509" s="47" t="s">
        <v>1279</v>
      </c>
    </row>
    <row r="1510" spans="2:13" ht="15" customHeight="1">
      <c r="B1510" s="47">
        <v>1564</v>
      </c>
      <c r="C1510" s="2" t="s">
        <v>853</v>
      </c>
      <c r="F1510" s="47" t="s">
        <v>980</v>
      </c>
      <c r="G1510" s="47">
        <v>1</v>
      </c>
      <c r="H1510" s="47" t="s">
        <v>530</v>
      </c>
      <c r="L1510" s="47" t="s">
        <v>1276</v>
      </c>
      <c r="M1510" s="47" t="s">
        <v>1279</v>
      </c>
    </row>
    <row r="1511" spans="2:13" ht="15" customHeight="1">
      <c r="B1511" s="47">
        <v>1565</v>
      </c>
      <c r="C1511" s="2" t="s">
        <v>853</v>
      </c>
      <c r="F1511" s="47" t="s">
        <v>980</v>
      </c>
      <c r="G1511" s="47">
        <v>1</v>
      </c>
      <c r="H1511" s="47" t="s">
        <v>530</v>
      </c>
      <c r="L1511" s="47" t="s">
        <v>1276</v>
      </c>
      <c r="M1511" s="47" t="s">
        <v>1279</v>
      </c>
    </row>
    <row r="1512" spans="2:13" ht="15" customHeight="1">
      <c r="B1512" s="47">
        <v>1566</v>
      </c>
      <c r="C1512" s="2" t="s">
        <v>853</v>
      </c>
      <c r="F1512" s="47" t="s">
        <v>1251</v>
      </c>
      <c r="G1512" s="47">
        <v>1</v>
      </c>
      <c r="H1512" s="47" t="s">
        <v>530</v>
      </c>
      <c r="L1512" s="47" t="s">
        <v>1276</v>
      </c>
      <c r="M1512" s="47" t="s">
        <v>1279</v>
      </c>
    </row>
    <row r="1513" spans="2:13" ht="15" customHeight="1">
      <c r="B1513" s="47">
        <v>1567</v>
      </c>
      <c r="C1513" s="2" t="s">
        <v>853</v>
      </c>
      <c r="F1513" s="47" t="s">
        <v>1254</v>
      </c>
      <c r="G1513" s="47">
        <v>1</v>
      </c>
      <c r="H1513" s="47" t="s">
        <v>530</v>
      </c>
      <c r="L1513" s="47" t="s">
        <v>1276</v>
      </c>
      <c r="M1513" s="47" t="s">
        <v>1279</v>
      </c>
    </row>
    <row r="1514" spans="2:13" ht="15" customHeight="1">
      <c r="B1514" s="47">
        <v>1568</v>
      </c>
      <c r="C1514" s="2" t="s">
        <v>853</v>
      </c>
      <c r="F1514" s="47" t="s">
        <v>1250</v>
      </c>
      <c r="G1514" s="47">
        <v>1</v>
      </c>
      <c r="H1514" s="47" t="s">
        <v>530</v>
      </c>
      <c r="L1514" s="47" t="s">
        <v>1276</v>
      </c>
      <c r="M1514" s="47" t="s">
        <v>1279</v>
      </c>
    </row>
    <row r="1515" spans="2:13" ht="15" customHeight="1">
      <c r="B1515" s="47">
        <v>1569</v>
      </c>
      <c r="C1515" s="2" t="s">
        <v>853</v>
      </c>
      <c r="F1515" s="47" t="s">
        <v>1249</v>
      </c>
      <c r="G1515" s="47">
        <v>1</v>
      </c>
      <c r="H1515" s="47" t="s">
        <v>530</v>
      </c>
      <c r="L1515" s="47" t="s">
        <v>1276</v>
      </c>
      <c r="M1515" s="47" t="s">
        <v>1279</v>
      </c>
    </row>
    <row r="1516" spans="2:13" ht="15" customHeight="1">
      <c r="B1516" s="47">
        <v>1570</v>
      </c>
      <c r="C1516" s="2" t="s">
        <v>853</v>
      </c>
      <c r="F1516" s="47" t="s">
        <v>1243</v>
      </c>
      <c r="G1516" s="47">
        <v>1</v>
      </c>
      <c r="H1516" s="47" t="s">
        <v>530</v>
      </c>
      <c r="L1516" s="47" t="s">
        <v>1276</v>
      </c>
      <c r="M1516" s="47" t="s">
        <v>1279</v>
      </c>
    </row>
    <row r="1517" spans="2:13" ht="15" customHeight="1">
      <c r="B1517" s="47">
        <v>1571</v>
      </c>
      <c r="C1517" s="2" t="s">
        <v>853</v>
      </c>
      <c r="F1517" s="47" t="s">
        <v>1227</v>
      </c>
      <c r="G1517" s="47" t="s">
        <v>1273</v>
      </c>
      <c r="H1517" s="47" t="s">
        <v>530</v>
      </c>
      <c r="L1517" s="47" t="s">
        <v>1276</v>
      </c>
      <c r="M1517" s="47" t="s">
        <v>1279</v>
      </c>
    </row>
    <row r="1518" spans="2:13" ht="15" customHeight="1">
      <c r="B1518" s="47">
        <v>1572</v>
      </c>
      <c r="C1518" s="2" t="s">
        <v>853</v>
      </c>
      <c r="F1518" s="47" t="s">
        <v>1221</v>
      </c>
      <c r="G1518" s="47">
        <v>1</v>
      </c>
      <c r="H1518" s="47" t="s">
        <v>530</v>
      </c>
      <c r="L1518" s="47" t="s">
        <v>1276</v>
      </c>
      <c r="M1518" s="47" t="s">
        <v>1279</v>
      </c>
    </row>
    <row r="1519" spans="2:13" ht="15" customHeight="1">
      <c r="B1519" s="47">
        <v>1573</v>
      </c>
      <c r="C1519" s="2" t="s">
        <v>853</v>
      </c>
      <c r="F1519" s="47" t="s">
        <v>1246</v>
      </c>
      <c r="G1519" s="47">
        <v>1</v>
      </c>
      <c r="H1519" s="47" t="s">
        <v>530</v>
      </c>
      <c r="L1519" s="47" t="s">
        <v>1276</v>
      </c>
      <c r="M1519" s="47" t="s">
        <v>1279</v>
      </c>
    </row>
    <row r="1520" spans="2:13" ht="15" customHeight="1">
      <c r="B1520" s="47">
        <v>1574</v>
      </c>
      <c r="C1520" s="2" t="s">
        <v>853</v>
      </c>
      <c r="F1520" s="47" t="s">
        <v>1246</v>
      </c>
      <c r="G1520" s="47">
        <v>1</v>
      </c>
      <c r="H1520" s="47" t="s">
        <v>530</v>
      </c>
      <c r="L1520" s="47" t="s">
        <v>1276</v>
      </c>
      <c r="M1520" s="47" t="s">
        <v>1279</v>
      </c>
    </row>
    <row r="1521" spans="2:13" ht="15" customHeight="1">
      <c r="B1521" s="47">
        <v>1575</v>
      </c>
      <c r="C1521" s="2" t="s">
        <v>853</v>
      </c>
      <c r="F1521" s="47" t="s">
        <v>1221</v>
      </c>
      <c r="G1521" s="47">
        <v>1</v>
      </c>
      <c r="H1521" s="47" t="s">
        <v>530</v>
      </c>
      <c r="L1521" s="47" t="s">
        <v>1276</v>
      </c>
      <c r="M1521" s="47" t="s">
        <v>1279</v>
      </c>
    </row>
    <row r="1522" spans="2:13" ht="15" customHeight="1">
      <c r="B1522" s="47">
        <v>1576</v>
      </c>
      <c r="C1522" s="2" t="s">
        <v>853</v>
      </c>
      <c r="F1522" s="47" t="s">
        <v>1253</v>
      </c>
      <c r="G1522" s="47">
        <v>1</v>
      </c>
      <c r="H1522" s="47" t="s">
        <v>1274</v>
      </c>
      <c r="L1522" s="47" t="s">
        <v>1276</v>
      </c>
      <c r="M1522" s="47" t="s">
        <v>1279</v>
      </c>
    </row>
    <row r="1523" spans="2:13" ht="15" customHeight="1">
      <c r="B1523" s="47">
        <v>1577</v>
      </c>
      <c r="C1523" s="2" t="s">
        <v>853</v>
      </c>
      <c r="F1523" s="47" t="s">
        <v>1230</v>
      </c>
      <c r="G1523" s="47">
        <v>1</v>
      </c>
      <c r="H1523" s="47" t="s">
        <v>530</v>
      </c>
      <c r="L1523" s="47" t="s">
        <v>1276</v>
      </c>
      <c r="M1523" s="47" t="s">
        <v>1279</v>
      </c>
    </row>
    <row r="1524" spans="2:13" ht="15" customHeight="1">
      <c r="B1524" s="47">
        <v>1578</v>
      </c>
      <c r="C1524" s="2" t="s">
        <v>853</v>
      </c>
      <c r="F1524" s="47" t="s">
        <v>1247</v>
      </c>
      <c r="G1524" s="47">
        <v>1</v>
      </c>
      <c r="H1524" s="47" t="s">
        <v>1274</v>
      </c>
      <c r="L1524" s="47" t="s">
        <v>1276</v>
      </c>
      <c r="M1524" s="47" t="s">
        <v>1279</v>
      </c>
    </row>
    <row r="1525" spans="2:13" ht="15" customHeight="1">
      <c r="B1525" s="47">
        <v>1579</v>
      </c>
      <c r="C1525" s="2" t="s">
        <v>853</v>
      </c>
      <c r="F1525" s="47" t="s">
        <v>1250</v>
      </c>
      <c r="G1525" s="47">
        <v>1</v>
      </c>
      <c r="H1525" s="47" t="s">
        <v>530</v>
      </c>
      <c r="L1525" s="47" t="s">
        <v>1276</v>
      </c>
      <c r="M1525" s="47" t="s">
        <v>1279</v>
      </c>
    </row>
    <row r="1526" spans="2:13" ht="15" customHeight="1">
      <c r="B1526" s="47">
        <v>1580</v>
      </c>
      <c r="C1526" s="2" t="s">
        <v>853</v>
      </c>
      <c r="F1526" s="47" t="s">
        <v>1242</v>
      </c>
      <c r="G1526" s="47">
        <v>1</v>
      </c>
      <c r="H1526" s="47" t="s">
        <v>530</v>
      </c>
      <c r="L1526" s="47" t="s">
        <v>1276</v>
      </c>
      <c r="M1526" s="47" t="s">
        <v>1279</v>
      </c>
    </row>
    <row r="1527" spans="2:13" ht="15" customHeight="1">
      <c r="B1527" s="47">
        <v>1581</v>
      </c>
      <c r="C1527" s="2" t="s">
        <v>853</v>
      </c>
      <c r="F1527" s="47" t="s">
        <v>1227</v>
      </c>
      <c r="G1527" s="47" t="s">
        <v>1273</v>
      </c>
      <c r="H1527" s="47" t="s">
        <v>530</v>
      </c>
      <c r="L1527" s="47" t="s">
        <v>1276</v>
      </c>
      <c r="M1527" s="47" t="s">
        <v>1279</v>
      </c>
    </row>
    <row r="1528" spans="2:13" ht="15" customHeight="1">
      <c r="B1528" s="47">
        <v>1582</v>
      </c>
      <c r="C1528" s="2" t="s">
        <v>853</v>
      </c>
      <c r="F1528" s="47" t="s">
        <v>1223</v>
      </c>
      <c r="G1528" s="47">
        <v>1</v>
      </c>
      <c r="H1528" s="47" t="s">
        <v>1274</v>
      </c>
      <c r="L1528" s="47" t="s">
        <v>1276</v>
      </c>
      <c r="M1528" s="47" t="s">
        <v>1279</v>
      </c>
    </row>
    <row r="1529" spans="2:13" ht="15" customHeight="1">
      <c r="B1529" s="47">
        <v>1583</v>
      </c>
      <c r="C1529" s="2" t="s">
        <v>853</v>
      </c>
      <c r="F1529" s="47" t="s">
        <v>1223</v>
      </c>
      <c r="G1529" s="47">
        <v>1</v>
      </c>
      <c r="H1529" s="47" t="s">
        <v>1274</v>
      </c>
      <c r="L1529" s="47" t="s">
        <v>1276</v>
      </c>
      <c r="M1529" s="47" t="s">
        <v>1279</v>
      </c>
    </row>
    <row r="1530" spans="2:13" ht="15" customHeight="1">
      <c r="B1530" s="47">
        <v>1584</v>
      </c>
      <c r="C1530" s="2" t="s">
        <v>853</v>
      </c>
      <c r="F1530" s="47" t="s">
        <v>1223</v>
      </c>
      <c r="G1530" s="47">
        <v>1</v>
      </c>
      <c r="H1530" s="47" t="s">
        <v>1274</v>
      </c>
      <c r="L1530" s="47" t="s">
        <v>1276</v>
      </c>
      <c r="M1530" s="47" t="s">
        <v>1279</v>
      </c>
    </row>
    <row r="1531" spans="2:13" ht="15" customHeight="1">
      <c r="B1531" s="47">
        <v>1585</v>
      </c>
      <c r="C1531" s="2" t="s">
        <v>853</v>
      </c>
      <c r="F1531" s="47" t="s">
        <v>281</v>
      </c>
      <c r="G1531" s="47">
        <v>1</v>
      </c>
      <c r="H1531" s="47" t="s">
        <v>530</v>
      </c>
      <c r="L1531" s="47" t="s">
        <v>1277</v>
      </c>
      <c r="M1531" s="47" t="s">
        <v>1280</v>
      </c>
    </row>
    <row r="1532" spans="2:13" ht="15" customHeight="1">
      <c r="B1532" s="47">
        <v>1586</v>
      </c>
      <c r="C1532" s="2" t="s">
        <v>853</v>
      </c>
      <c r="F1532" s="47" t="s">
        <v>1234</v>
      </c>
      <c r="G1532" s="47">
        <v>1</v>
      </c>
      <c r="H1532" s="47" t="s">
        <v>530</v>
      </c>
      <c r="L1532" s="47" t="s">
        <v>1277</v>
      </c>
      <c r="M1532" s="47" t="s">
        <v>1280</v>
      </c>
    </row>
    <row r="1533" spans="2:13" ht="15" customHeight="1">
      <c r="B1533" s="47">
        <v>1587</v>
      </c>
      <c r="C1533" s="2" t="s">
        <v>853</v>
      </c>
      <c r="F1533" s="47" t="s">
        <v>1234</v>
      </c>
      <c r="G1533" s="47">
        <v>1</v>
      </c>
      <c r="H1533" s="47" t="s">
        <v>530</v>
      </c>
      <c r="L1533" s="47" t="s">
        <v>1277</v>
      </c>
      <c r="M1533" s="47" t="s">
        <v>1280</v>
      </c>
    </row>
    <row r="1534" spans="2:13" ht="15" customHeight="1">
      <c r="B1534" s="47">
        <v>1588</v>
      </c>
      <c r="C1534" s="2" t="s">
        <v>853</v>
      </c>
      <c r="F1534" s="47" t="s">
        <v>1230</v>
      </c>
      <c r="G1534" s="47">
        <v>1</v>
      </c>
      <c r="H1534" s="47" t="s">
        <v>530</v>
      </c>
      <c r="L1534" s="47" t="s">
        <v>1277</v>
      </c>
      <c r="M1534" s="47" t="s">
        <v>1280</v>
      </c>
    </row>
    <row r="1535" spans="2:13" ht="15" customHeight="1">
      <c r="B1535" s="47">
        <v>1589</v>
      </c>
      <c r="C1535" s="2" t="s">
        <v>853</v>
      </c>
      <c r="F1535" s="47" t="s">
        <v>1230</v>
      </c>
      <c r="G1535" s="47">
        <v>1</v>
      </c>
      <c r="H1535" s="47" t="s">
        <v>530</v>
      </c>
      <c r="L1535" s="47" t="s">
        <v>1277</v>
      </c>
      <c r="M1535" s="47" t="s">
        <v>1280</v>
      </c>
    </row>
    <row r="1536" spans="2:13" ht="15" customHeight="1">
      <c r="B1536" s="47">
        <v>1590</v>
      </c>
      <c r="C1536" s="2" t="s">
        <v>853</v>
      </c>
      <c r="F1536" s="47" t="s">
        <v>1230</v>
      </c>
      <c r="G1536" s="47">
        <v>1</v>
      </c>
      <c r="H1536" s="47" t="s">
        <v>530</v>
      </c>
      <c r="L1536" s="47" t="s">
        <v>1277</v>
      </c>
      <c r="M1536" s="47" t="s">
        <v>1280</v>
      </c>
    </row>
    <row r="1537" spans="2:13" ht="15" customHeight="1">
      <c r="B1537" s="47">
        <v>1591</v>
      </c>
      <c r="C1537" s="2" t="s">
        <v>853</v>
      </c>
      <c r="F1537" s="47" t="s">
        <v>1230</v>
      </c>
      <c r="G1537" s="47">
        <v>1</v>
      </c>
      <c r="H1537" s="47" t="s">
        <v>530</v>
      </c>
      <c r="L1537" s="47" t="s">
        <v>1277</v>
      </c>
      <c r="M1537" s="47" t="s">
        <v>1280</v>
      </c>
    </row>
    <row r="1538" spans="2:13" ht="15" customHeight="1">
      <c r="B1538" s="47">
        <v>1592</v>
      </c>
      <c r="C1538" s="2" t="s">
        <v>853</v>
      </c>
      <c r="F1538" s="47" t="s">
        <v>980</v>
      </c>
      <c r="G1538" s="47">
        <v>1</v>
      </c>
      <c r="H1538" s="47" t="s">
        <v>530</v>
      </c>
      <c r="L1538" s="47" t="s">
        <v>1277</v>
      </c>
      <c r="M1538" s="47" t="s">
        <v>1280</v>
      </c>
    </row>
    <row r="1539" spans="2:13" ht="15" customHeight="1">
      <c r="B1539" s="47">
        <v>1593</v>
      </c>
      <c r="C1539" s="2" t="s">
        <v>853</v>
      </c>
      <c r="F1539" s="47" t="s">
        <v>1236</v>
      </c>
      <c r="G1539" s="47">
        <v>1</v>
      </c>
      <c r="H1539" s="47" t="s">
        <v>530</v>
      </c>
      <c r="L1539" s="47" t="s">
        <v>1277</v>
      </c>
      <c r="M1539" s="47" t="s">
        <v>1280</v>
      </c>
    </row>
    <row r="1540" spans="2:13" ht="15" customHeight="1">
      <c r="B1540" s="47">
        <v>1594</v>
      </c>
      <c r="C1540" s="2" t="s">
        <v>853</v>
      </c>
      <c r="F1540" s="47" t="s">
        <v>1247</v>
      </c>
      <c r="G1540" s="47">
        <v>1</v>
      </c>
      <c r="H1540" s="47" t="s">
        <v>1274</v>
      </c>
      <c r="L1540" s="47" t="s">
        <v>1277</v>
      </c>
      <c r="M1540" s="47" t="s">
        <v>1280</v>
      </c>
    </row>
    <row r="1541" spans="2:13" ht="15" customHeight="1">
      <c r="B1541" s="47">
        <v>1595</v>
      </c>
      <c r="C1541" s="2" t="s">
        <v>853</v>
      </c>
      <c r="F1541" s="47" t="s">
        <v>1248</v>
      </c>
      <c r="G1541" s="47">
        <v>1</v>
      </c>
      <c r="H1541" s="47" t="s">
        <v>1274</v>
      </c>
      <c r="L1541" s="47" t="s">
        <v>1277</v>
      </c>
      <c r="M1541" s="47" t="s">
        <v>1280</v>
      </c>
    </row>
    <row r="1542" spans="2:13" ht="15" customHeight="1">
      <c r="B1542" s="47">
        <v>1596</v>
      </c>
      <c r="C1542" s="2" t="s">
        <v>853</v>
      </c>
      <c r="F1542" s="47" t="s">
        <v>1069</v>
      </c>
      <c r="G1542" s="47">
        <v>1</v>
      </c>
      <c r="H1542" s="47" t="s">
        <v>530</v>
      </c>
      <c r="L1542" s="47" t="s">
        <v>1277</v>
      </c>
      <c r="M1542" s="47" t="s">
        <v>1280</v>
      </c>
    </row>
    <row r="1543" spans="2:13" ht="15" customHeight="1">
      <c r="B1543" s="47">
        <v>1597</v>
      </c>
      <c r="C1543" s="2" t="s">
        <v>853</v>
      </c>
      <c r="F1543" s="47" t="s">
        <v>980</v>
      </c>
      <c r="G1543" s="47">
        <v>1</v>
      </c>
      <c r="H1543" s="47" t="s">
        <v>530</v>
      </c>
      <c r="L1543" s="47" t="s">
        <v>1277</v>
      </c>
      <c r="M1543" s="47" t="s">
        <v>1280</v>
      </c>
    </row>
    <row r="1544" spans="2:13" ht="15" customHeight="1">
      <c r="B1544" s="47">
        <v>1598</v>
      </c>
      <c r="C1544" s="2" t="s">
        <v>853</v>
      </c>
      <c r="F1544" s="47" t="s">
        <v>980</v>
      </c>
      <c r="G1544" s="47">
        <v>1</v>
      </c>
      <c r="H1544" s="47" t="s">
        <v>530</v>
      </c>
      <c r="L1544" s="47" t="s">
        <v>1277</v>
      </c>
      <c r="M1544" s="47" t="s">
        <v>1280</v>
      </c>
    </row>
    <row r="1545" spans="2:13" ht="15" customHeight="1">
      <c r="B1545" s="47">
        <v>1599</v>
      </c>
      <c r="C1545" s="2" t="s">
        <v>853</v>
      </c>
      <c r="F1545" s="47" t="s">
        <v>1253</v>
      </c>
      <c r="G1545" s="47">
        <v>1</v>
      </c>
      <c r="H1545" s="47" t="s">
        <v>1274</v>
      </c>
      <c r="L1545" s="47" t="s">
        <v>1277</v>
      </c>
      <c r="M1545" s="47" t="s">
        <v>1280</v>
      </c>
    </row>
    <row r="1546" spans="2:13" ht="15" customHeight="1">
      <c r="B1546" s="47">
        <v>1600</v>
      </c>
      <c r="C1546" s="2" t="s">
        <v>853</v>
      </c>
      <c r="F1546" s="47" t="s">
        <v>1230</v>
      </c>
      <c r="G1546" s="47">
        <v>1</v>
      </c>
      <c r="H1546" s="47" t="s">
        <v>530</v>
      </c>
      <c r="L1546" s="47" t="s">
        <v>1277</v>
      </c>
      <c r="M1546" s="47" t="s">
        <v>1280</v>
      </c>
    </row>
    <row r="1547" spans="2:13" ht="15" customHeight="1">
      <c r="B1547" s="47">
        <v>1601</v>
      </c>
      <c r="C1547" s="2" t="s">
        <v>853</v>
      </c>
      <c r="F1547" s="47" t="s">
        <v>1230</v>
      </c>
      <c r="G1547" s="47">
        <v>1</v>
      </c>
      <c r="H1547" s="47" t="s">
        <v>530</v>
      </c>
      <c r="L1547" s="47" t="s">
        <v>1277</v>
      </c>
      <c r="M1547" s="47" t="s">
        <v>1280</v>
      </c>
    </row>
    <row r="1548" spans="2:13" ht="15" customHeight="1">
      <c r="B1548" s="47">
        <v>1602</v>
      </c>
      <c r="C1548" s="2" t="s">
        <v>853</v>
      </c>
      <c r="F1548" s="47" t="s">
        <v>1247</v>
      </c>
      <c r="G1548" s="47">
        <v>1</v>
      </c>
      <c r="H1548" s="47" t="s">
        <v>1274</v>
      </c>
      <c r="L1548" s="47" t="s">
        <v>1277</v>
      </c>
      <c r="M1548" s="47" t="s">
        <v>1280</v>
      </c>
    </row>
    <row r="1549" spans="2:13" ht="15" customHeight="1">
      <c r="B1549" s="47">
        <v>1603</v>
      </c>
      <c r="C1549" s="2" t="s">
        <v>853</v>
      </c>
      <c r="F1549" s="47" t="s">
        <v>1246</v>
      </c>
      <c r="G1549" s="47">
        <v>1</v>
      </c>
      <c r="H1549" s="47" t="s">
        <v>530</v>
      </c>
      <c r="L1549" s="47" t="s">
        <v>1278</v>
      </c>
      <c r="M1549" s="47" t="s">
        <v>1280</v>
      </c>
    </row>
    <row r="1550" spans="2:13" ht="15" customHeight="1">
      <c r="B1550" s="47">
        <v>1604</v>
      </c>
      <c r="C1550" s="2" t="s">
        <v>853</v>
      </c>
      <c r="F1550" s="47" t="s">
        <v>980</v>
      </c>
      <c r="G1550" s="47">
        <v>1</v>
      </c>
      <c r="H1550" s="47" t="s">
        <v>530</v>
      </c>
      <c r="L1550" s="47" t="s">
        <v>1278</v>
      </c>
      <c r="M1550" s="47" t="s">
        <v>1280</v>
      </c>
    </row>
    <row r="1551" spans="2:13" ht="15" customHeight="1">
      <c r="B1551" s="47">
        <v>1605</v>
      </c>
      <c r="C1551" s="2" t="s">
        <v>853</v>
      </c>
      <c r="F1551" s="47" t="s">
        <v>1247</v>
      </c>
      <c r="G1551" s="47">
        <v>1</v>
      </c>
      <c r="H1551" s="47" t="s">
        <v>1274</v>
      </c>
      <c r="L1551" s="47" t="s">
        <v>1278</v>
      </c>
      <c r="M1551" s="47" t="s">
        <v>1280</v>
      </c>
    </row>
    <row r="1552" spans="2:13" ht="15" customHeight="1">
      <c r="B1552" s="47">
        <v>1607</v>
      </c>
      <c r="C1552" s="2" t="s">
        <v>853</v>
      </c>
      <c r="F1552" s="47" t="s">
        <v>1069</v>
      </c>
      <c r="G1552" s="47">
        <v>1</v>
      </c>
      <c r="H1552" s="47" t="s">
        <v>530</v>
      </c>
      <c r="L1552" s="47" t="s">
        <v>1278</v>
      </c>
      <c r="M1552" s="47" t="s">
        <v>1280</v>
      </c>
    </row>
    <row r="1553" spans="1:16" ht="15" customHeight="1">
      <c r="B1553" s="47">
        <v>1607</v>
      </c>
      <c r="C1553" s="2" t="s">
        <v>853</v>
      </c>
      <c r="D1553" s="47" t="s">
        <v>960</v>
      </c>
      <c r="F1553" s="47" t="s">
        <v>961</v>
      </c>
      <c r="G1553" s="47">
        <v>1</v>
      </c>
      <c r="H1553" s="47" t="s">
        <v>62</v>
      </c>
      <c r="L1553" s="47" t="s">
        <v>962</v>
      </c>
      <c r="M1553" s="47" t="s">
        <v>963</v>
      </c>
      <c r="O1553" s="46" t="s">
        <v>43</v>
      </c>
      <c r="P1553" s="46" t="s">
        <v>50</v>
      </c>
    </row>
    <row r="1554" spans="1:16" ht="15" customHeight="1">
      <c r="B1554" s="47">
        <v>1608</v>
      </c>
      <c r="C1554" s="2" t="s">
        <v>853</v>
      </c>
      <c r="F1554" s="47" t="s">
        <v>1249</v>
      </c>
      <c r="G1554" s="47">
        <v>1</v>
      </c>
      <c r="H1554" s="47" t="s">
        <v>530</v>
      </c>
      <c r="L1554" s="47" t="s">
        <v>1278</v>
      </c>
      <c r="M1554" s="47" t="s">
        <v>1280</v>
      </c>
    </row>
    <row r="1555" spans="1:16" ht="15" customHeight="1">
      <c r="B1555" s="47">
        <v>1608</v>
      </c>
      <c r="C1555" s="2" t="s">
        <v>853</v>
      </c>
      <c r="D1555" s="47" t="s">
        <v>960</v>
      </c>
      <c r="F1555" s="47" t="s">
        <v>964</v>
      </c>
      <c r="G1555" s="47">
        <v>1</v>
      </c>
      <c r="H1555" s="47" t="s">
        <v>62</v>
      </c>
      <c r="L1555" s="47" t="s">
        <v>962</v>
      </c>
      <c r="M1555" s="47" t="s">
        <v>963</v>
      </c>
      <c r="O1555" s="46" t="s">
        <v>43</v>
      </c>
      <c r="P1555" s="46" t="s">
        <v>50</v>
      </c>
    </row>
    <row r="1556" spans="1:16" ht="15" customHeight="1">
      <c r="B1556" s="47">
        <v>1609</v>
      </c>
      <c r="C1556" s="2" t="s">
        <v>853</v>
      </c>
      <c r="F1556" s="47" t="s">
        <v>1250</v>
      </c>
      <c r="G1556" s="47">
        <v>1</v>
      </c>
      <c r="H1556" s="47" t="s">
        <v>530</v>
      </c>
      <c r="L1556" s="47" t="s">
        <v>1278</v>
      </c>
      <c r="M1556" s="47" t="s">
        <v>1280</v>
      </c>
    </row>
    <row r="1557" spans="1:16" ht="15" customHeight="1">
      <c r="B1557" s="47">
        <v>1609</v>
      </c>
      <c r="C1557" s="2" t="s">
        <v>853</v>
      </c>
      <c r="D1557" s="47" t="s">
        <v>960</v>
      </c>
      <c r="F1557" s="47" t="s">
        <v>965</v>
      </c>
      <c r="G1557" s="47">
        <v>1</v>
      </c>
      <c r="H1557" s="47" t="s">
        <v>62</v>
      </c>
      <c r="L1557" s="47" t="s">
        <v>962</v>
      </c>
      <c r="M1557" s="47" t="s">
        <v>963</v>
      </c>
      <c r="O1557" s="46" t="s">
        <v>43</v>
      </c>
      <c r="P1557" s="46" t="s">
        <v>50</v>
      </c>
    </row>
    <row r="1558" spans="1:16" ht="15" customHeight="1">
      <c r="B1558" s="47">
        <v>1610</v>
      </c>
      <c r="C1558" s="2" t="s">
        <v>853</v>
      </c>
      <c r="F1558" s="47" t="s">
        <v>1253</v>
      </c>
      <c r="G1558" s="47">
        <v>1</v>
      </c>
      <c r="H1558" s="47" t="s">
        <v>1274</v>
      </c>
      <c r="L1558" s="47" t="s">
        <v>1278</v>
      </c>
      <c r="M1558" s="47" t="s">
        <v>1280</v>
      </c>
    </row>
    <row r="1559" spans="1:16" ht="15" customHeight="1">
      <c r="B1559" s="47">
        <v>1610</v>
      </c>
      <c r="C1559" s="2" t="s">
        <v>853</v>
      </c>
      <c r="D1559" s="47" t="s">
        <v>960</v>
      </c>
      <c r="F1559" s="47" t="s">
        <v>966</v>
      </c>
      <c r="G1559" s="47">
        <v>1</v>
      </c>
      <c r="H1559" s="47" t="s">
        <v>47</v>
      </c>
      <c r="L1559" s="47" t="s">
        <v>962</v>
      </c>
      <c r="M1559" s="47" t="s">
        <v>963</v>
      </c>
      <c r="O1559" s="46" t="s">
        <v>43</v>
      </c>
      <c r="P1559" s="46" t="s">
        <v>50</v>
      </c>
    </row>
    <row r="1560" spans="1:16" ht="15" customHeight="1">
      <c r="B1560" s="47">
        <v>1611</v>
      </c>
      <c r="C1560" s="2" t="s">
        <v>853</v>
      </c>
      <c r="F1560" s="47" t="s">
        <v>1255</v>
      </c>
      <c r="G1560" s="47">
        <v>1</v>
      </c>
      <c r="H1560" s="47" t="s">
        <v>528</v>
      </c>
      <c r="L1560" s="47" t="s">
        <v>1278</v>
      </c>
      <c r="M1560" s="47" t="s">
        <v>1280</v>
      </c>
      <c r="N1560" s="47" t="s">
        <v>1070</v>
      </c>
    </row>
    <row r="1561" spans="1:16" ht="15" customHeight="1">
      <c r="B1561" s="47">
        <v>1611</v>
      </c>
      <c r="C1561" s="2" t="s">
        <v>853</v>
      </c>
      <c r="D1561" s="47" t="s">
        <v>960</v>
      </c>
      <c r="F1561" s="47" t="s">
        <v>967</v>
      </c>
      <c r="G1561" s="47">
        <v>1</v>
      </c>
      <c r="H1561" s="47" t="s">
        <v>62</v>
      </c>
      <c r="L1561" s="47" t="s">
        <v>962</v>
      </c>
      <c r="M1561" s="47" t="s">
        <v>963</v>
      </c>
      <c r="O1561" s="46" t="s">
        <v>43</v>
      </c>
      <c r="P1561" s="46" t="s">
        <v>50</v>
      </c>
    </row>
    <row r="1562" spans="1:16" ht="15" customHeight="1">
      <c r="A1562" s="16">
        <v>200</v>
      </c>
      <c r="B1562" s="16">
        <v>1616</v>
      </c>
      <c r="C1562" s="47" t="s">
        <v>101</v>
      </c>
      <c r="D1562" s="16" t="s">
        <v>172</v>
      </c>
      <c r="E1562" s="16" t="s">
        <v>1103</v>
      </c>
      <c r="F1562" s="16"/>
      <c r="G1562" s="16"/>
      <c r="H1562" s="47" t="s">
        <v>231</v>
      </c>
      <c r="I1562" s="16"/>
      <c r="J1562" s="16"/>
      <c r="K1562" s="16"/>
      <c r="L1562" s="15" t="s">
        <v>205</v>
      </c>
      <c r="M1562" s="15"/>
    </row>
    <row r="1563" spans="1:16" ht="15" customHeight="1">
      <c r="A1563" s="16">
        <v>200</v>
      </c>
      <c r="B1563" s="16">
        <v>1617</v>
      </c>
      <c r="C1563" s="47" t="s">
        <v>101</v>
      </c>
      <c r="D1563" s="16" t="s">
        <v>172</v>
      </c>
      <c r="E1563" s="16" t="s">
        <v>519</v>
      </c>
      <c r="F1563" s="16"/>
      <c r="G1563" s="16"/>
      <c r="H1563" s="47" t="s">
        <v>231</v>
      </c>
      <c r="I1563" s="16"/>
      <c r="J1563" s="16"/>
      <c r="K1563" s="16"/>
      <c r="L1563" s="15" t="s">
        <v>205</v>
      </c>
      <c r="M1563" s="15"/>
    </row>
    <row r="1564" spans="1:16" ht="15" customHeight="1">
      <c r="A1564" s="16">
        <v>200</v>
      </c>
      <c r="B1564" s="16">
        <v>1618</v>
      </c>
      <c r="C1564" s="47" t="s">
        <v>101</v>
      </c>
      <c r="D1564" s="16" t="s">
        <v>172</v>
      </c>
      <c r="E1564" s="16" t="s">
        <v>1103</v>
      </c>
      <c r="F1564" s="16"/>
      <c r="G1564" s="16"/>
      <c r="H1564" s="47" t="s">
        <v>231</v>
      </c>
      <c r="I1564" s="16"/>
      <c r="J1564" s="16"/>
      <c r="K1564" s="16"/>
      <c r="L1564" s="15" t="s">
        <v>205</v>
      </c>
      <c r="M1564" s="15"/>
    </row>
    <row r="1565" spans="1:16" ht="15" customHeight="1">
      <c r="A1565" s="16">
        <v>200</v>
      </c>
      <c r="B1565" s="16">
        <v>1619</v>
      </c>
      <c r="C1565" s="47" t="s">
        <v>101</v>
      </c>
      <c r="D1565" s="16" t="s">
        <v>172</v>
      </c>
      <c r="E1565" s="16" t="s">
        <v>519</v>
      </c>
      <c r="F1565" s="16"/>
      <c r="G1565" s="16"/>
      <c r="H1565" s="47" t="s">
        <v>231</v>
      </c>
      <c r="I1565" s="16"/>
      <c r="J1565" s="16"/>
      <c r="K1565" s="16"/>
      <c r="L1565" s="15" t="s">
        <v>205</v>
      </c>
      <c r="M1565" s="15"/>
    </row>
    <row r="1566" spans="1:16" ht="15" customHeight="1">
      <c r="A1566" s="16">
        <v>200</v>
      </c>
      <c r="B1566" s="16">
        <v>1620</v>
      </c>
      <c r="C1566" s="47" t="s">
        <v>101</v>
      </c>
      <c r="D1566" s="16" t="s">
        <v>172</v>
      </c>
      <c r="E1566" s="16" t="s">
        <v>1103</v>
      </c>
      <c r="F1566" s="16"/>
      <c r="G1566" s="16"/>
      <c r="H1566" s="47" t="s">
        <v>231</v>
      </c>
      <c r="I1566" s="16"/>
      <c r="J1566" s="16"/>
      <c r="K1566" s="16"/>
      <c r="L1566" s="15" t="s">
        <v>205</v>
      </c>
      <c r="M1566" s="15"/>
    </row>
    <row r="1567" spans="1:16" ht="15" customHeight="1">
      <c r="A1567" s="16">
        <v>200</v>
      </c>
      <c r="B1567" s="16">
        <v>1621</v>
      </c>
      <c r="C1567" s="47" t="s">
        <v>101</v>
      </c>
      <c r="D1567" s="16" t="s">
        <v>172</v>
      </c>
      <c r="E1567" s="16" t="s">
        <v>519</v>
      </c>
      <c r="F1567" s="16"/>
      <c r="G1567" s="16"/>
      <c r="H1567" s="47" t="s">
        <v>231</v>
      </c>
      <c r="I1567" s="16"/>
      <c r="J1567" s="16"/>
      <c r="K1567" s="16"/>
      <c r="L1567" s="15" t="s">
        <v>205</v>
      </c>
      <c r="M1567" s="15"/>
    </row>
    <row r="1568" spans="1:16" ht="15" customHeight="1">
      <c r="A1568" s="16">
        <v>200</v>
      </c>
      <c r="B1568" s="16">
        <v>1622</v>
      </c>
      <c r="C1568" s="47" t="s">
        <v>101</v>
      </c>
      <c r="D1568" s="16" t="s">
        <v>172</v>
      </c>
      <c r="E1568" s="16" t="s">
        <v>1103</v>
      </c>
      <c r="F1568" s="16"/>
      <c r="G1568" s="16"/>
      <c r="H1568" s="47" t="s">
        <v>231</v>
      </c>
      <c r="I1568" s="16"/>
      <c r="J1568" s="16"/>
      <c r="K1568" s="16"/>
      <c r="L1568" s="15" t="s">
        <v>205</v>
      </c>
      <c r="M1568" s="15"/>
    </row>
    <row r="1569" spans="1:13" ht="15" customHeight="1">
      <c r="A1569" s="16">
        <v>200</v>
      </c>
      <c r="B1569" s="16">
        <v>1623</v>
      </c>
      <c r="C1569" s="47" t="s">
        <v>101</v>
      </c>
      <c r="D1569" s="16" t="s">
        <v>172</v>
      </c>
      <c r="E1569" s="16" t="s">
        <v>519</v>
      </c>
      <c r="F1569" s="16"/>
      <c r="G1569" s="16"/>
      <c r="H1569" s="47" t="s">
        <v>231</v>
      </c>
      <c r="I1569" s="16"/>
      <c r="J1569" s="16"/>
      <c r="K1569" s="16"/>
      <c r="L1569" s="15" t="s">
        <v>205</v>
      </c>
      <c r="M1569" s="15"/>
    </row>
    <row r="1570" spans="1:13" ht="15" customHeight="1">
      <c r="A1570" s="16">
        <v>200</v>
      </c>
      <c r="B1570" s="16">
        <v>1624</v>
      </c>
      <c r="C1570" s="47" t="s">
        <v>101</v>
      </c>
      <c r="D1570" s="16" t="s">
        <v>172</v>
      </c>
      <c r="E1570" s="16" t="s">
        <v>1103</v>
      </c>
      <c r="F1570" s="16"/>
      <c r="G1570" s="16"/>
      <c r="H1570" s="47" t="s">
        <v>231</v>
      </c>
      <c r="I1570" s="16"/>
      <c r="J1570" s="16"/>
      <c r="K1570" s="16"/>
      <c r="L1570" s="15" t="s">
        <v>205</v>
      </c>
      <c r="M1570" s="15"/>
    </row>
    <row r="1571" spans="1:13" ht="15" customHeight="1">
      <c r="A1571" s="16">
        <v>200</v>
      </c>
      <c r="B1571" s="16">
        <v>1625</v>
      </c>
      <c r="C1571" s="47" t="s">
        <v>101</v>
      </c>
      <c r="D1571" s="16" t="s">
        <v>172</v>
      </c>
      <c r="E1571" s="16" t="s">
        <v>519</v>
      </c>
      <c r="F1571" s="16"/>
      <c r="G1571" s="16"/>
      <c r="H1571" s="47" t="s">
        <v>231</v>
      </c>
      <c r="I1571" s="16"/>
      <c r="J1571" s="16"/>
      <c r="K1571" s="16"/>
      <c r="L1571" s="15" t="s">
        <v>205</v>
      </c>
      <c r="M1571" s="15"/>
    </row>
    <row r="1572" spans="1:13" ht="15" customHeight="1">
      <c r="A1572" s="16">
        <v>200</v>
      </c>
      <c r="B1572" s="16">
        <v>1626</v>
      </c>
      <c r="C1572" s="47" t="s">
        <v>101</v>
      </c>
      <c r="D1572" s="16" t="s">
        <v>172</v>
      </c>
      <c r="E1572" s="16" t="s">
        <v>1103</v>
      </c>
      <c r="F1572" s="16"/>
      <c r="G1572" s="16"/>
      <c r="H1572" s="47" t="s">
        <v>231</v>
      </c>
      <c r="I1572" s="16"/>
      <c r="J1572" s="16"/>
      <c r="K1572" s="16"/>
      <c r="L1572" s="15" t="s">
        <v>205</v>
      </c>
      <c r="M1572" s="15"/>
    </row>
    <row r="1573" spans="1:13" ht="15" customHeight="1">
      <c r="A1573" s="16">
        <v>200</v>
      </c>
      <c r="B1573" s="16">
        <v>1627</v>
      </c>
      <c r="C1573" s="47" t="s">
        <v>101</v>
      </c>
      <c r="D1573" s="16" t="s">
        <v>172</v>
      </c>
      <c r="E1573" s="16" t="s">
        <v>519</v>
      </c>
      <c r="F1573" s="16"/>
      <c r="G1573" s="16"/>
      <c r="H1573" s="47" t="s">
        <v>231</v>
      </c>
      <c r="I1573" s="16"/>
      <c r="J1573" s="16"/>
      <c r="K1573" s="16"/>
      <c r="L1573" s="15" t="s">
        <v>205</v>
      </c>
      <c r="M1573" s="15"/>
    </row>
    <row r="1574" spans="1:13" ht="15" customHeight="1">
      <c r="A1574" s="16">
        <v>200</v>
      </c>
      <c r="B1574" s="16">
        <v>1628</v>
      </c>
      <c r="C1574" s="47" t="s">
        <v>101</v>
      </c>
      <c r="D1574" s="16" t="s">
        <v>172</v>
      </c>
      <c r="E1574" s="16" t="s">
        <v>1103</v>
      </c>
      <c r="F1574" s="16"/>
      <c r="G1574" s="16"/>
      <c r="H1574" s="47" t="s">
        <v>231</v>
      </c>
      <c r="I1574" s="16"/>
      <c r="J1574" s="16"/>
      <c r="K1574" s="16"/>
      <c r="L1574" s="15" t="s">
        <v>205</v>
      </c>
      <c r="M1574" s="15"/>
    </row>
    <row r="1575" spans="1:13" ht="15" customHeight="1">
      <c r="A1575" s="16">
        <v>200</v>
      </c>
      <c r="B1575" s="16">
        <v>1629</v>
      </c>
      <c r="C1575" s="47" t="s">
        <v>101</v>
      </c>
      <c r="D1575" s="16" t="s">
        <v>172</v>
      </c>
      <c r="E1575" s="16" t="s">
        <v>519</v>
      </c>
      <c r="F1575" s="16"/>
      <c r="G1575" s="16"/>
      <c r="H1575" s="47" t="s">
        <v>231</v>
      </c>
      <c r="I1575" s="16"/>
      <c r="J1575" s="16"/>
      <c r="K1575" s="16"/>
      <c r="L1575" s="15" t="s">
        <v>205</v>
      </c>
      <c r="M1575" s="15"/>
    </row>
    <row r="1576" spans="1:13" ht="15" customHeight="1">
      <c r="A1576" s="16">
        <v>200</v>
      </c>
      <c r="B1576" s="16">
        <v>1630</v>
      </c>
      <c r="C1576" s="47" t="s">
        <v>101</v>
      </c>
      <c r="D1576" s="47" t="s">
        <v>224</v>
      </c>
      <c r="E1576" s="16" t="s">
        <v>1103</v>
      </c>
      <c r="F1576" s="16"/>
      <c r="G1576" s="16"/>
      <c r="H1576" s="47" t="s">
        <v>231</v>
      </c>
      <c r="I1576" s="16"/>
      <c r="J1576" s="16"/>
      <c r="K1576" s="16"/>
      <c r="L1576" s="15" t="s">
        <v>536</v>
      </c>
      <c r="M1576" s="15" t="s">
        <v>537</v>
      </c>
    </row>
    <row r="1577" spans="1:13" ht="15" customHeight="1">
      <c r="A1577" s="16">
        <v>200</v>
      </c>
      <c r="B1577" s="16">
        <v>1631</v>
      </c>
      <c r="C1577" s="47" t="s">
        <v>101</v>
      </c>
      <c r="D1577" s="47" t="s">
        <v>224</v>
      </c>
      <c r="E1577" s="16" t="s">
        <v>538</v>
      </c>
      <c r="F1577" s="16"/>
      <c r="G1577" s="16"/>
      <c r="H1577" s="47" t="s">
        <v>231</v>
      </c>
      <c r="I1577" s="16"/>
      <c r="J1577" s="16"/>
      <c r="K1577" s="16"/>
      <c r="L1577" s="15" t="s">
        <v>536</v>
      </c>
      <c r="M1577" s="15" t="s">
        <v>539</v>
      </c>
    </row>
    <row r="1578" spans="1:13" ht="15" customHeight="1">
      <c r="A1578" s="16">
        <v>200</v>
      </c>
      <c r="B1578" s="16">
        <v>1632</v>
      </c>
      <c r="C1578" s="47" t="s">
        <v>101</v>
      </c>
      <c r="D1578" s="47" t="s">
        <v>224</v>
      </c>
      <c r="E1578" s="16" t="s">
        <v>519</v>
      </c>
      <c r="F1578" s="16"/>
      <c r="G1578" s="16"/>
      <c r="H1578" s="47" t="s">
        <v>231</v>
      </c>
      <c r="I1578" s="16"/>
      <c r="J1578" s="16"/>
      <c r="K1578" s="16"/>
      <c r="L1578" s="15" t="s">
        <v>536</v>
      </c>
      <c r="M1578" s="15" t="s">
        <v>540</v>
      </c>
    </row>
    <row r="1579" spans="1:13" ht="15" customHeight="1">
      <c r="A1579" s="16">
        <v>200</v>
      </c>
      <c r="B1579" s="16">
        <v>1633</v>
      </c>
      <c r="C1579" s="47" t="s">
        <v>101</v>
      </c>
      <c r="D1579" s="47" t="s">
        <v>224</v>
      </c>
      <c r="E1579" s="16" t="s">
        <v>541</v>
      </c>
      <c r="F1579" s="16"/>
      <c r="G1579" s="16"/>
      <c r="H1579" s="47" t="s">
        <v>231</v>
      </c>
      <c r="I1579" s="16"/>
      <c r="J1579" s="16"/>
      <c r="K1579" s="16"/>
      <c r="L1579" s="15" t="s">
        <v>536</v>
      </c>
      <c r="M1579" s="15" t="s">
        <v>539</v>
      </c>
    </row>
    <row r="1580" spans="1:13" ht="15" customHeight="1">
      <c r="A1580" s="16">
        <v>200</v>
      </c>
      <c r="B1580" s="16">
        <v>1634</v>
      </c>
      <c r="C1580" s="47" t="s">
        <v>101</v>
      </c>
      <c r="D1580" s="16" t="s">
        <v>542</v>
      </c>
      <c r="E1580" s="16" t="s">
        <v>1103</v>
      </c>
      <c r="F1580" s="16"/>
      <c r="G1580" s="16"/>
      <c r="H1580" s="47" t="s">
        <v>231</v>
      </c>
      <c r="I1580" s="16"/>
      <c r="J1580" s="16"/>
      <c r="K1580" s="16"/>
      <c r="L1580" s="15" t="s">
        <v>536</v>
      </c>
      <c r="M1580" s="15" t="s">
        <v>543</v>
      </c>
    </row>
    <row r="1581" spans="1:13" ht="15" customHeight="1">
      <c r="A1581" s="16">
        <v>200</v>
      </c>
      <c r="B1581" s="16">
        <v>1635</v>
      </c>
      <c r="C1581" s="47" t="s">
        <v>101</v>
      </c>
      <c r="D1581" s="16" t="s">
        <v>542</v>
      </c>
      <c r="E1581" s="16" t="s">
        <v>519</v>
      </c>
      <c r="F1581" s="16"/>
      <c r="G1581" s="16"/>
      <c r="H1581" s="47" t="s">
        <v>231</v>
      </c>
      <c r="I1581" s="16"/>
      <c r="J1581" s="16"/>
      <c r="K1581" s="16"/>
      <c r="L1581" s="15" t="s">
        <v>544</v>
      </c>
      <c r="M1581" s="15" t="s">
        <v>545</v>
      </c>
    </row>
    <row r="1582" spans="1:13" ht="15" customHeight="1">
      <c r="A1582" s="16">
        <v>200</v>
      </c>
      <c r="B1582" s="16">
        <v>1636</v>
      </c>
      <c r="C1582" s="47" t="s">
        <v>101</v>
      </c>
      <c r="D1582" s="47" t="s">
        <v>224</v>
      </c>
      <c r="E1582" s="16" t="s">
        <v>538</v>
      </c>
      <c r="F1582" s="16"/>
      <c r="G1582" s="16"/>
      <c r="H1582" s="47" t="s">
        <v>231</v>
      </c>
      <c r="I1582" s="16"/>
      <c r="J1582" s="16"/>
      <c r="K1582" s="16"/>
      <c r="L1582" s="15" t="s">
        <v>536</v>
      </c>
      <c r="M1582" s="15" t="s">
        <v>546</v>
      </c>
    </row>
    <row r="1583" spans="1:13" ht="15" customHeight="1">
      <c r="A1583" s="16">
        <v>200</v>
      </c>
      <c r="B1583" s="16">
        <v>1637</v>
      </c>
      <c r="C1583" s="47" t="s">
        <v>101</v>
      </c>
      <c r="D1583" s="47" t="s">
        <v>224</v>
      </c>
      <c r="E1583" s="16" t="s">
        <v>541</v>
      </c>
      <c r="F1583" s="16"/>
      <c r="G1583" s="16"/>
      <c r="H1583" s="47" t="s">
        <v>231</v>
      </c>
      <c r="I1583" s="16"/>
      <c r="J1583" s="16"/>
      <c r="K1583" s="16"/>
      <c r="L1583" s="15" t="s">
        <v>536</v>
      </c>
      <c r="M1583" s="15" t="s">
        <v>539</v>
      </c>
    </row>
    <row r="1584" spans="1:13" ht="15" customHeight="1">
      <c r="A1584" s="16">
        <v>200</v>
      </c>
      <c r="B1584" s="16">
        <v>1638</v>
      </c>
      <c r="C1584" s="47" t="s">
        <v>101</v>
      </c>
      <c r="D1584" s="47" t="s">
        <v>224</v>
      </c>
      <c r="E1584" s="16" t="s">
        <v>538</v>
      </c>
      <c r="F1584" s="16"/>
      <c r="G1584" s="16"/>
      <c r="H1584" s="47" t="s">
        <v>231</v>
      </c>
      <c r="I1584" s="16"/>
      <c r="J1584" s="16"/>
      <c r="K1584" s="16"/>
      <c r="L1584" s="15" t="s">
        <v>536</v>
      </c>
      <c r="M1584" s="15" t="s">
        <v>539</v>
      </c>
    </row>
    <row r="1585" spans="1:13" ht="15" customHeight="1">
      <c r="A1585" s="16">
        <v>200</v>
      </c>
      <c r="B1585" s="16">
        <v>1639</v>
      </c>
      <c r="C1585" s="47" t="s">
        <v>101</v>
      </c>
      <c r="D1585" s="47" t="s">
        <v>224</v>
      </c>
      <c r="E1585" s="16" t="s">
        <v>541</v>
      </c>
      <c r="F1585" s="16"/>
      <c r="G1585" s="16"/>
      <c r="H1585" s="47" t="s">
        <v>231</v>
      </c>
      <c r="I1585" s="16"/>
      <c r="J1585" s="16"/>
      <c r="K1585" s="16"/>
      <c r="L1585" s="15" t="s">
        <v>536</v>
      </c>
      <c r="M1585" s="15" t="s">
        <v>539</v>
      </c>
    </row>
    <row r="1586" spans="1:13" ht="15" customHeight="1">
      <c r="A1586" s="16">
        <v>200</v>
      </c>
      <c r="B1586" s="16">
        <v>1640</v>
      </c>
      <c r="C1586" s="47" t="s">
        <v>101</v>
      </c>
      <c r="D1586" s="16" t="s">
        <v>547</v>
      </c>
      <c r="E1586" s="16" t="s">
        <v>548</v>
      </c>
      <c r="F1586" s="16"/>
      <c r="G1586" s="16"/>
      <c r="H1586" s="47" t="s">
        <v>231</v>
      </c>
      <c r="I1586" s="16"/>
      <c r="J1586" s="16"/>
      <c r="K1586" s="16"/>
      <c r="L1586" s="15" t="s">
        <v>255</v>
      </c>
      <c r="M1586" s="15"/>
    </row>
    <row r="1587" spans="1:13" ht="15" customHeight="1">
      <c r="A1587" s="16">
        <v>200</v>
      </c>
      <c r="B1587" s="16">
        <v>1641</v>
      </c>
      <c r="C1587" s="47" t="s">
        <v>101</v>
      </c>
      <c r="D1587" s="47" t="s">
        <v>224</v>
      </c>
      <c r="E1587" s="16" t="s">
        <v>549</v>
      </c>
      <c r="F1587" s="16"/>
      <c r="G1587" s="16"/>
      <c r="H1587" s="47" t="s">
        <v>231</v>
      </c>
      <c r="I1587" s="16"/>
      <c r="J1587" s="16"/>
      <c r="K1587" s="16"/>
      <c r="L1587" s="15" t="s">
        <v>544</v>
      </c>
      <c r="M1587" s="15" t="s">
        <v>550</v>
      </c>
    </row>
    <row r="1588" spans="1:13" ht="15" customHeight="1">
      <c r="A1588" s="16">
        <v>257</v>
      </c>
      <c r="B1588" s="16">
        <v>1642</v>
      </c>
      <c r="C1588" s="47" t="s">
        <v>110</v>
      </c>
      <c r="D1588" s="16" t="s">
        <v>172</v>
      </c>
      <c r="E1588" s="16" t="s">
        <v>1103</v>
      </c>
      <c r="F1588" s="16"/>
      <c r="G1588" s="16"/>
      <c r="H1588" s="47" t="s">
        <v>231</v>
      </c>
      <c r="I1588" s="16"/>
      <c r="J1588" s="16"/>
      <c r="K1588" s="16"/>
      <c r="L1588" s="15" t="s">
        <v>205</v>
      </c>
      <c r="M1588" s="15"/>
    </row>
    <row r="1589" spans="1:13" ht="15" customHeight="1">
      <c r="A1589" s="16">
        <v>257</v>
      </c>
      <c r="B1589" s="16">
        <v>1643</v>
      </c>
      <c r="C1589" s="47" t="s">
        <v>110</v>
      </c>
      <c r="D1589" s="16" t="s">
        <v>172</v>
      </c>
      <c r="E1589" s="16" t="s">
        <v>519</v>
      </c>
      <c r="F1589" s="16"/>
      <c r="G1589" s="16"/>
      <c r="H1589" s="47" t="s">
        <v>231</v>
      </c>
      <c r="I1589" s="16"/>
      <c r="J1589" s="16"/>
      <c r="K1589" s="16"/>
      <c r="L1589" s="15" t="s">
        <v>205</v>
      </c>
      <c r="M1589" s="15"/>
    </row>
    <row r="1590" spans="1:13" ht="15" customHeight="1">
      <c r="A1590" s="16">
        <v>257</v>
      </c>
      <c r="B1590" s="16">
        <v>1644</v>
      </c>
      <c r="C1590" s="47" t="s">
        <v>110</v>
      </c>
      <c r="D1590" s="16" t="s">
        <v>172</v>
      </c>
      <c r="E1590" s="16" t="s">
        <v>1103</v>
      </c>
      <c r="F1590" s="16"/>
      <c r="G1590" s="16"/>
      <c r="H1590" s="47" t="s">
        <v>231</v>
      </c>
      <c r="I1590" s="16"/>
      <c r="J1590" s="16"/>
      <c r="K1590" s="16"/>
      <c r="L1590" s="15" t="s">
        <v>205</v>
      </c>
      <c r="M1590" s="15"/>
    </row>
    <row r="1591" spans="1:13" ht="15" customHeight="1">
      <c r="A1591" s="16">
        <v>257</v>
      </c>
      <c r="B1591" s="16">
        <v>1645</v>
      </c>
      <c r="C1591" s="47" t="s">
        <v>110</v>
      </c>
      <c r="D1591" s="16" t="s">
        <v>172</v>
      </c>
      <c r="E1591" s="16" t="s">
        <v>519</v>
      </c>
      <c r="F1591" s="16"/>
      <c r="G1591" s="16"/>
      <c r="H1591" s="47" t="s">
        <v>231</v>
      </c>
      <c r="I1591" s="16"/>
      <c r="J1591" s="16"/>
      <c r="K1591" s="16"/>
      <c r="L1591" s="15" t="s">
        <v>205</v>
      </c>
      <c r="M1591" s="15"/>
    </row>
    <row r="1592" spans="1:13" ht="15" customHeight="1">
      <c r="A1592" s="16">
        <v>257</v>
      </c>
      <c r="B1592" s="16">
        <v>1646</v>
      </c>
      <c r="C1592" s="47" t="s">
        <v>110</v>
      </c>
      <c r="D1592" s="16" t="s">
        <v>172</v>
      </c>
      <c r="E1592" s="16" t="s">
        <v>1103</v>
      </c>
      <c r="F1592" s="16"/>
      <c r="G1592" s="16"/>
      <c r="H1592" s="47" t="s">
        <v>231</v>
      </c>
      <c r="I1592" s="16"/>
      <c r="J1592" s="16"/>
      <c r="K1592" s="16"/>
      <c r="L1592" s="15" t="s">
        <v>205</v>
      </c>
      <c r="M1592" s="15"/>
    </row>
    <row r="1593" spans="1:13" ht="15" customHeight="1">
      <c r="A1593" s="16">
        <v>257</v>
      </c>
      <c r="B1593" s="16">
        <v>1647</v>
      </c>
      <c r="C1593" s="47" t="s">
        <v>110</v>
      </c>
      <c r="D1593" s="16" t="s">
        <v>172</v>
      </c>
      <c r="E1593" s="16" t="s">
        <v>519</v>
      </c>
      <c r="F1593" s="16"/>
      <c r="G1593" s="16"/>
      <c r="H1593" s="47" t="s">
        <v>231</v>
      </c>
      <c r="I1593" s="16"/>
      <c r="J1593" s="16"/>
      <c r="K1593" s="16"/>
      <c r="L1593" s="15" t="s">
        <v>205</v>
      </c>
      <c r="M1593" s="15"/>
    </row>
    <row r="1594" spans="1:13" ht="15" customHeight="1">
      <c r="A1594" s="16">
        <v>257</v>
      </c>
      <c r="B1594" s="16">
        <v>1648</v>
      </c>
      <c r="C1594" s="47" t="s">
        <v>110</v>
      </c>
      <c r="D1594" s="16" t="s">
        <v>172</v>
      </c>
      <c r="E1594" s="16" t="s">
        <v>1103</v>
      </c>
      <c r="F1594" s="16"/>
      <c r="G1594" s="16"/>
      <c r="H1594" s="47" t="s">
        <v>231</v>
      </c>
      <c r="I1594" s="16"/>
      <c r="J1594" s="16"/>
      <c r="K1594" s="16"/>
      <c r="L1594" s="15" t="s">
        <v>205</v>
      </c>
      <c r="M1594" s="15"/>
    </row>
    <row r="1595" spans="1:13" ht="15" customHeight="1">
      <c r="A1595" s="16">
        <v>257</v>
      </c>
      <c r="B1595" s="16">
        <v>1649</v>
      </c>
      <c r="C1595" s="47" t="s">
        <v>110</v>
      </c>
      <c r="D1595" s="16" t="s">
        <v>172</v>
      </c>
      <c r="E1595" s="16" t="s">
        <v>519</v>
      </c>
      <c r="F1595" s="16"/>
      <c r="G1595" s="16"/>
      <c r="H1595" s="47" t="s">
        <v>231</v>
      </c>
      <c r="I1595" s="16"/>
      <c r="J1595" s="16"/>
      <c r="K1595" s="16"/>
      <c r="L1595" s="15" t="s">
        <v>205</v>
      </c>
      <c r="M1595" s="15"/>
    </row>
    <row r="1596" spans="1:13" ht="15" customHeight="1">
      <c r="A1596" s="16">
        <v>257</v>
      </c>
      <c r="B1596" s="16">
        <v>1650</v>
      </c>
      <c r="C1596" s="47" t="s">
        <v>110</v>
      </c>
      <c r="D1596" s="16" t="s">
        <v>172</v>
      </c>
      <c r="E1596" s="16" t="s">
        <v>1103</v>
      </c>
      <c r="F1596" s="16"/>
      <c r="G1596" s="16"/>
      <c r="H1596" s="47" t="s">
        <v>231</v>
      </c>
      <c r="I1596" s="16"/>
      <c r="J1596" s="16"/>
      <c r="K1596" s="16"/>
      <c r="L1596" s="15" t="s">
        <v>205</v>
      </c>
      <c r="M1596" s="15"/>
    </row>
    <row r="1597" spans="1:13" ht="15" customHeight="1">
      <c r="A1597" s="16">
        <v>257</v>
      </c>
      <c r="B1597" s="16">
        <v>1651</v>
      </c>
      <c r="C1597" s="47" t="s">
        <v>110</v>
      </c>
      <c r="D1597" s="16" t="s">
        <v>172</v>
      </c>
      <c r="E1597" s="16" t="s">
        <v>519</v>
      </c>
      <c r="F1597" s="16"/>
      <c r="G1597" s="16"/>
      <c r="H1597" s="47" t="s">
        <v>231</v>
      </c>
      <c r="I1597" s="16"/>
      <c r="J1597" s="16"/>
      <c r="K1597" s="16"/>
      <c r="L1597" s="15" t="s">
        <v>205</v>
      </c>
      <c r="M1597" s="15"/>
    </row>
    <row r="1598" spans="1:13" ht="15" customHeight="1">
      <c r="A1598" s="16">
        <v>257</v>
      </c>
      <c r="B1598" s="16">
        <v>1652</v>
      </c>
      <c r="C1598" s="47" t="s">
        <v>110</v>
      </c>
      <c r="D1598" s="16" t="s">
        <v>172</v>
      </c>
      <c r="E1598" s="16" t="s">
        <v>1103</v>
      </c>
      <c r="F1598" s="16"/>
      <c r="G1598" s="16"/>
      <c r="H1598" s="47" t="s">
        <v>231</v>
      </c>
      <c r="I1598" s="16"/>
      <c r="J1598" s="16"/>
      <c r="K1598" s="16"/>
      <c r="L1598" s="15" t="s">
        <v>205</v>
      </c>
      <c r="M1598" s="15"/>
    </row>
    <row r="1599" spans="1:13" ht="15" customHeight="1">
      <c r="A1599" s="16">
        <v>257</v>
      </c>
      <c r="B1599" s="16">
        <v>1653</v>
      </c>
      <c r="C1599" s="47" t="s">
        <v>110</v>
      </c>
      <c r="D1599" s="16" t="s">
        <v>172</v>
      </c>
      <c r="E1599" s="16" t="s">
        <v>519</v>
      </c>
      <c r="F1599" s="16"/>
      <c r="G1599" s="16"/>
      <c r="H1599" s="47" t="s">
        <v>231</v>
      </c>
      <c r="I1599" s="16"/>
      <c r="J1599" s="16"/>
      <c r="K1599" s="16"/>
      <c r="L1599" s="15" t="s">
        <v>205</v>
      </c>
      <c r="M1599" s="15"/>
    </row>
    <row r="1600" spans="1:13" ht="15" customHeight="1">
      <c r="A1600" s="16">
        <v>257</v>
      </c>
      <c r="B1600" s="16">
        <v>1654</v>
      </c>
      <c r="C1600" s="47" t="s">
        <v>110</v>
      </c>
      <c r="D1600" s="16" t="s">
        <v>172</v>
      </c>
      <c r="E1600" s="16" t="s">
        <v>1103</v>
      </c>
      <c r="F1600" s="16"/>
      <c r="G1600" s="16"/>
      <c r="H1600" s="47" t="s">
        <v>231</v>
      </c>
      <c r="I1600" s="16"/>
      <c r="J1600" s="16"/>
      <c r="K1600" s="16"/>
      <c r="L1600" s="15" t="s">
        <v>205</v>
      </c>
      <c r="M1600" s="15"/>
    </row>
    <row r="1601" spans="1:13" ht="15" customHeight="1">
      <c r="A1601" s="16">
        <v>257</v>
      </c>
      <c r="B1601" s="16">
        <v>1655</v>
      </c>
      <c r="C1601" s="47" t="s">
        <v>110</v>
      </c>
      <c r="D1601" s="16" t="s">
        <v>172</v>
      </c>
      <c r="E1601" s="16" t="s">
        <v>519</v>
      </c>
      <c r="F1601" s="16"/>
      <c r="G1601" s="16"/>
      <c r="H1601" s="47" t="s">
        <v>231</v>
      </c>
      <c r="I1601" s="16"/>
      <c r="J1601" s="16"/>
      <c r="K1601" s="16"/>
      <c r="L1601" s="15" t="s">
        <v>205</v>
      </c>
      <c r="M1601" s="15"/>
    </row>
    <row r="1602" spans="1:13" ht="15" customHeight="1">
      <c r="A1602" s="16">
        <v>257</v>
      </c>
      <c r="B1602" s="16">
        <v>1656</v>
      </c>
      <c r="C1602" s="47" t="s">
        <v>110</v>
      </c>
      <c r="D1602" s="47" t="s">
        <v>224</v>
      </c>
      <c r="E1602" s="16" t="s">
        <v>1103</v>
      </c>
      <c r="F1602" s="16"/>
      <c r="G1602" s="16"/>
      <c r="H1602" s="47" t="s">
        <v>231</v>
      </c>
      <c r="I1602" s="16"/>
      <c r="J1602" s="16"/>
      <c r="K1602" s="16"/>
      <c r="L1602" s="15" t="s">
        <v>536</v>
      </c>
      <c r="M1602" s="15" t="s">
        <v>537</v>
      </c>
    </row>
    <row r="1603" spans="1:13" ht="15" customHeight="1">
      <c r="A1603" s="16">
        <v>257</v>
      </c>
      <c r="B1603" s="16">
        <v>1657</v>
      </c>
      <c r="C1603" s="47" t="s">
        <v>110</v>
      </c>
      <c r="D1603" s="47" t="s">
        <v>224</v>
      </c>
      <c r="E1603" s="16" t="s">
        <v>538</v>
      </c>
      <c r="F1603" s="16"/>
      <c r="G1603" s="16"/>
      <c r="H1603" s="47" t="s">
        <v>231</v>
      </c>
      <c r="I1603" s="16"/>
      <c r="J1603" s="16"/>
      <c r="K1603" s="16"/>
      <c r="L1603" s="15" t="s">
        <v>536</v>
      </c>
      <c r="M1603" s="15" t="s">
        <v>539</v>
      </c>
    </row>
    <row r="1604" spans="1:13" ht="15" customHeight="1">
      <c r="A1604" s="16">
        <v>257</v>
      </c>
      <c r="B1604" s="16">
        <v>1658</v>
      </c>
      <c r="C1604" s="47" t="s">
        <v>110</v>
      </c>
      <c r="D1604" s="47" t="s">
        <v>224</v>
      </c>
      <c r="E1604" s="16" t="s">
        <v>519</v>
      </c>
      <c r="F1604" s="16"/>
      <c r="G1604" s="16"/>
      <c r="H1604" s="47" t="s">
        <v>231</v>
      </c>
      <c r="I1604" s="16"/>
      <c r="J1604" s="16"/>
      <c r="K1604" s="16"/>
      <c r="L1604" s="15" t="s">
        <v>536</v>
      </c>
      <c r="M1604" s="15" t="s">
        <v>540</v>
      </c>
    </row>
    <row r="1605" spans="1:13" ht="15" customHeight="1">
      <c r="A1605" s="16">
        <v>257</v>
      </c>
      <c r="B1605" s="16">
        <v>1659</v>
      </c>
      <c r="C1605" s="47" t="s">
        <v>110</v>
      </c>
      <c r="D1605" s="47" t="s">
        <v>224</v>
      </c>
      <c r="E1605" s="16" t="s">
        <v>541</v>
      </c>
      <c r="F1605" s="16"/>
      <c r="G1605" s="16"/>
      <c r="H1605" s="47" t="s">
        <v>231</v>
      </c>
      <c r="I1605" s="16"/>
      <c r="J1605" s="16"/>
      <c r="K1605" s="16"/>
      <c r="L1605" s="15" t="s">
        <v>536</v>
      </c>
      <c r="M1605" s="15" t="s">
        <v>539</v>
      </c>
    </row>
    <row r="1606" spans="1:13" ht="15" customHeight="1">
      <c r="A1606" s="16">
        <v>257</v>
      </c>
      <c r="B1606" s="16">
        <v>1660</v>
      </c>
      <c r="C1606" s="47" t="s">
        <v>110</v>
      </c>
      <c r="D1606" s="16" t="s">
        <v>542</v>
      </c>
      <c r="E1606" s="16" t="s">
        <v>1103</v>
      </c>
      <c r="F1606" s="16"/>
      <c r="G1606" s="16"/>
      <c r="H1606" s="47" t="s">
        <v>231</v>
      </c>
      <c r="I1606" s="16"/>
      <c r="J1606" s="16"/>
      <c r="K1606" s="16"/>
      <c r="L1606" s="15" t="s">
        <v>536</v>
      </c>
      <c r="M1606" s="15" t="s">
        <v>543</v>
      </c>
    </row>
    <row r="1607" spans="1:13" ht="15" customHeight="1">
      <c r="A1607" s="16">
        <v>257</v>
      </c>
      <c r="B1607" s="16">
        <v>1661</v>
      </c>
      <c r="C1607" s="47" t="s">
        <v>110</v>
      </c>
      <c r="D1607" s="16" t="s">
        <v>542</v>
      </c>
      <c r="E1607" s="16" t="s">
        <v>519</v>
      </c>
      <c r="F1607" s="16"/>
      <c r="G1607" s="16"/>
      <c r="H1607" s="47" t="s">
        <v>231</v>
      </c>
      <c r="I1607" s="16"/>
      <c r="J1607" s="16"/>
      <c r="K1607" s="16"/>
      <c r="L1607" s="15" t="s">
        <v>544</v>
      </c>
      <c r="M1607" s="15" t="s">
        <v>545</v>
      </c>
    </row>
    <row r="1608" spans="1:13" ht="15" customHeight="1">
      <c r="A1608" s="16">
        <v>257</v>
      </c>
      <c r="B1608" s="16">
        <v>1662</v>
      </c>
      <c r="C1608" s="47" t="s">
        <v>110</v>
      </c>
      <c r="D1608" s="47" t="s">
        <v>224</v>
      </c>
      <c r="E1608" s="16" t="s">
        <v>538</v>
      </c>
      <c r="F1608" s="16"/>
      <c r="G1608" s="16"/>
      <c r="H1608" s="47" t="s">
        <v>231</v>
      </c>
      <c r="I1608" s="16"/>
      <c r="J1608" s="16"/>
      <c r="K1608" s="16"/>
      <c r="L1608" s="15" t="s">
        <v>536</v>
      </c>
      <c r="M1608" s="15" t="s">
        <v>546</v>
      </c>
    </row>
    <row r="1609" spans="1:13" ht="15" customHeight="1">
      <c r="A1609" s="16">
        <v>257</v>
      </c>
      <c r="B1609" s="16">
        <v>1663</v>
      </c>
      <c r="C1609" s="47" t="s">
        <v>110</v>
      </c>
      <c r="D1609" s="47" t="s">
        <v>224</v>
      </c>
      <c r="E1609" s="16" t="s">
        <v>541</v>
      </c>
      <c r="F1609" s="16"/>
      <c r="G1609" s="16"/>
      <c r="H1609" s="47" t="s">
        <v>231</v>
      </c>
      <c r="I1609" s="16"/>
      <c r="J1609" s="16"/>
      <c r="K1609" s="16"/>
      <c r="L1609" s="15" t="s">
        <v>536</v>
      </c>
      <c r="M1609" s="15" t="s">
        <v>539</v>
      </c>
    </row>
    <row r="1610" spans="1:13" ht="15" customHeight="1">
      <c r="A1610" s="16">
        <v>257</v>
      </c>
      <c r="B1610" s="16">
        <v>1664</v>
      </c>
      <c r="C1610" s="47" t="s">
        <v>110</v>
      </c>
      <c r="D1610" s="47" t="s">
        <v>224</v>
      </c>
      <c r="E1610" s="16" t="s">
        <v>538</v>
      </c>
      <c r="F1610" s="16"/>
      <c r="G1610" s="16"/>
      <c r="H1610" s="47" t="s">
        <v>231</v>
      </c>
      <c r="I1610" s="16"/>
      <c r="J1610" s="16"/>
      <c r="K1610" s="16"/>
      <c r="L1610" s="15" t="s">
        <v>536</v>
      </c>
      <c r="M1610" s="15" t="s">
        <v>539</v>
      </c>
    </row>
    <row r="1611" spans="1:13" ht="15" customHeight="1">
      <c r="A1611" s="16">
        <v>257</v>
      </c>
      <c r="B1611" s="16">
        <v>1665</v>
      </c>
      <c r="C1611" s="47" t="s">
        <v>110</v>
      </c>
      <c r="D1611" s="47" t="s">
        <v>224</v>
      </c>
      <c r="E1611" s="16" t="s">
        <v>541</v>
      </c>
      <c r="F1611" s="16"/>
      <c r="G1611" s="16"/>
      <c r="H1611" s="47" t="s">
        <v>231</v>
      </c>
      <c r="I1611" s="16"/>
      <c r="J1611" s="16"/>
      <c r="K1611" s="16"/>
      <c r="L1611" s="15" t="s">
        <v>536</v>
      </c>
      <c r="M1611" s="15" t="s">
        <v>539</v>
      </c>
    </row>
    <row r="1612" spans="1:13" ht="15" customHeight="1">
      <c r="A1612" s="16">
        <v>257</v>
      </c>
      <c r="B1612" s="16">
        <v>1666</v>
      </c>
      <c r="C1612" s="47" t="s">
        <v>110</v>
      </c>
      <c r="D1612" s="16" t="s">
        <v>547</v>
      </c>
      <c r="E1612" s="16" t="s">
        <v>548</v>
      </c>
      <c r="F1612" s="16"/>
      <c r="G1612" s="16"/>
      <c r="H1612" s="47" t="s">
        <v>231</v>
      </c>
      <c r="I1612" s="16"/>
      <c r="J1612" s="16"/>
      <c r="K1612" s="16"/>
      <c r="L1612" s="15" t="s">
        <v>255</v>
      </c>
      <c r="M1612" s="15"/>
    </row>
    <row r="1613" spans="1:13" ht="15" customHeight="1">
      <c r="A1613" s="16">
        <v>257</v>
      </c>
      <c r="B1613" s="16">
        <v>1667</v>
      </c>
      <c r="C1613" s="47" t="s">
        <v>110</v>
      </c>
      <c r="D1613" s="47" t="s">
        <v>224</v>
      </c>
      <c r="E1613" s="16" t="s">
        <v>549</v>
      </c>
      <c r="F1613" s="16"/>
      <c r="G1613" s="16"/>
      <c r="H1613" s="47" t="s">
        <v>231</v>
      </c>
      <c r="I1613" s="16"/>
      <c r="J1613" s="16"/>
      <c r="K1613" s="16"/>
      <c r="L1613" s="15" t="s">
        <v>544</v>
      </c>
      <c r="M1613" s="15" t="s">
        <v>550</v>
      </c>
    </row>
    <row r="1614" spans="1:13" ht="15" customHeight="1">
      <c r="A1614" s="16">
        <v>490</v>
      </c>
      <c r="B1614" s="16">
        <v>1668</v>
      </c>
      <c r="C1614" s="47" t="s">
        <v>122</v>
      </c>
      <c r="D1614" s="16" t="s">
        <v>172</v>
      </c>
      <c r="E1614" s="16" t="s">
        <v>1103</v>
      </c>
      <c r="F1614" s="16"/>
      <c r="G1614" s="16"/>
      <c r="H1614" s="47" t="s">
        <v>231</v>
      </c>
      <c r="I1614" s="16"/>
      <c r="J1614" s="16"/>
      <c r="K1614" s="16"/>
      <c r="L1614" s="15" t="s">
        <v>205</v>
      </c>
      <c r="M1614" s="15"/>
    </row>
    <row r="1615" spans="1:13" ht="15" customHeight="1">
      <c r="A1615" s="16">
        <v>490</v>
      </c>
      <c r="B1615" s="16">
        <v>1669</v>
      </c>
      <c r="C1615" s="47" t="s">
        <v>122</v>
      </c>
      <c r="D1615" s="16" t="s">
        <v>172</v>
      </c>
      <c r="E1615" s="16" t="s">
        <v>519</v>
      </c>
      <c r="F1615" s="16"/>
      <c r="G1615" s="16"/>
      <c r="H1615" s="47" t="s">
        <v>231</v>
      </c>
      <c r="I1615" s="16"/>
      <c r="J1615" s="16"/>
      <c r="K1615" s="16"/>
      <c r="L1615" s="15" t="s">
        <v>205</v>
      </c>
      <c r="M1615" s="15"/>
    </row>
    <row r="1616" spans="1:13" ht="15" customHeight="1">
      <c r="A1616" s="16">
        <v>490</v>
      </c>
      <c r="B1616" s="16">
        <v>1670</v>
      </c>
      <c r="C1616" s="47" t="s">
        <v>122</v>
      </c>
      <c r="D1616" s="16" t="s">
        <v>172</v>
      </c>
      <c r="E1616" s="16" t="s">
        <v>1103</v>
      </c>
      <c r="F1616" s="16"/>
      <c r="G1616" s="16"/>
      <c r="H1616" s="47" t="s">
        <v>231</v>
      </c>
      <c r="I1616" s="16"/>
      <c r="J1616" s="16"/>
      <c r="K1616" s="16"/>
      <c r="L1616" s="15" t="s">
        <v>205</v>
      </c>
      <c r="M1616" s="15"/>
    </row>
    <row r="1617" spans="1:13" ht="15" customHeight="1">
      <c r="A1617" s="16">
        <v>490</v>
      </c>
      <c r="B1617" s="16">
        <v>1671</v>
      </c>
      <c r="C1617" s="47" t="s">
        <v>122</v>
      </c>
      <c r="D1617" s="16" t="s">
        <v>172</v>
      </c>
      <c r="E1617" s="16" t="s">
        <v>519</v>
      </c>
      <c r="F1617" s="16"/>
      <c r="G1617" s="16"/>
      <c r="H1617" s="47" t="s">
        <v>231</v>
      </c>
      <c r="I1617" s="16"/>
      <c r="J1617" s="16"/>
      <c r="K1617" s="16"/>
      <c r="L1617" s="15" t="s">
        <v>205</v>
      </c>
      <c r="M1617" s="15"/>
    </row>
    <row r="1618" spans="1:13" ht="15" customHeight="1">
      <c r="A1618" s="16">
        <v>490</v>
      </c>
      <c r="B1618" s="16">
        <v>1672</v>
      </c>
      <c r="C1618" s="47" t="s">
        <v>122</v>
      </c>
      <c r="D1618" s="16" t="s">
        <v>172</v>
      </c>
      <c r="E1618" s="16" t="s">
        <v>1103</v>
      </c>
      <c r="F1618" s="16"/>
      <c r="G1618" s="16"/>
      <c r="H1618" s="47" t="s">
        <v>231</v>
      </c>
      <c r="I1618" s="16"/>
      <c r="J1618" s="16"/>
      <c r="K1618" s="16"/>
      <c r="L1618" s="15" t="s">
        <v>205</v>
      </c>
      <c r="M1618" s="15"/>
    </row>
    <row r="1619" spans="1:13" ht="15" customHeight="1">
      <c r="A1619" s="16">
        <v>490</v>
      </c>
      <c r="B1619" s="16">
        <v>1673</v>
      </c>
      <c r="C1619" s="47" t="s">
        <v>122</v>
      </c>
      <c r="D1619" s="16" t="s">
        <v>172</v>
      </c>
      <c r="E1619" s="16" t="s">
        <v>519</v>
      </c>
      <c r="F1619" s="16"/>
      <c r="G1619" s="16"/>
      <c r="H1619" s="47" t="s">
        <v>231</v>
      </c>
      <c r="I1619" s="16"/>
      <c r="J1619" s="16"/>
      <c r="K1619" s="16"/>
      <c r="L1619" s="15" t="s">
        <v>205</v>
      </c>
      <c r="M1619" s="15"/>
    </row>
    <row r="1620" spans="1:13" ht="15" customHeight="1">
      <c r="A1620" s="16">
        <v>490</v>
      </c>
      <c r="B1620" s="16">
        <v>1674</v>
      </c>
      <c r="C1620" s="47" t="s">
        <v>122</v>
      </c>
      <c r="D1620" s="16" t="s">
        <v>172</v>
      </c>
      <c r="E1620" s="16" t="s">
        <v>1103</v>
      </c>
      <c r="F1620" s="16"/>
      <c r="G1620" s="16"/>
      <c r="H1620" s="47" t="s">
        <v>231</v>
      </c>
      <c r="I1620" s="16"/>
      <c r="J1620" s="16"/>
      <c r="K1620" s="16"/>
      <c r="L1620" s="15" t="s">
        <v>205</v>
      </c>
      <c r="M1620" s="15"/>
    </row>
    <row r="1621" spans="1:13" ht="15" customHeight="1">
      <c r="A1621" s="16">
        <v>490</v>
      </c>
      <c r="B1621" s="16">
        <v>1675</v>
      </c>
      <c r="C1621" s="47" t="s">
        <v>122</v>
      </c>
      <c r="D1621" s="16" t="s">
        <v>172</v>
      </c>
      <c r="E1621" s="16" t="s">
        <v>519</v>
      </c>
      <c r="F1621" s="16"/>
      <c r="G1621" s="16"/>
      <c r="H1621" s="47" t="s">
        <v>231</v>
      </c>
      <c r="I1621" s="16"/>
      <c r="J1621" s="16"/>
      <c r="K1621" s="16"/>
      <c r="L1621" s="15" t="s">
        <v>205</v>
      </c>
      <c r="M1621" s="15"/>
    </row>
    <row r="1622" spans="1:13" ht="15" customHeight="1">
      <c r="A1622" s="16">
        <v>490</v>
      </c>
      <c r="B1622" s="16">
        <v>1676</v>
      </c>
      <c r="C1622" s="47" t="s">
        <v>122</v>
      </c>
      <c r="D1622" s="16" t="s">
        <v>172</v>
      </c>
      <c r="E1622" s="16" t="s">
        <v>1103</v>
      </c>
      <c r="F1622" s="16"/>
      <c r="G1622" s="16"/>
      <c r="H1622" s="47" t="s">
        <v>231</v>
      </c>
      <c r="I1622" s="16"/>
      <c r="J1622" s="16"/>
      <c r="K1622" s="16"/>
      <c r="L1622" s="15" t="s">
        <v>205</v>
      </c>
      <c r="M1622" s="15"/>
    </row>
    <row r="1623" spans="1:13" ht="15" customHeight="1">
      <c r="A1623" s="16">
        <v>490</v>
      </c>
      <c r="B1623" s="16">
        <v>1677</v>
      </c>
      <c r="C1623" s="47" t="s">
        <v>122</v>
      </c>
      <c r="D1623" s="16" t="s">
        <v>172</v>
      </c>
      <c r="E1623" s="16" t="s">
        <v>519</v>
      </c>
      <c r="F1623" s="16"/>
      <c r="G1623" s="16"/>
      <c r="H1623" s="47" t="s">
        <v>231</v>
      </c>
      <c r="I1623" s="16"/>
      <c r="J1623" s="16"/>
      <c r="K1623" s="16"/>
      <c r="L1623" s="15" t="s">
        <v>205</v>
      </c>
      <c r="M1623" s="15"/>
    </row>
    <row r="1624" spans="1:13" ht="15" customHeight="1">
      <c r="A1624" s="16">
        <v>490</v>
      </c>
      <c r="B1624" s="16">
        <v>1678</v>
      </c>
      <c r="C1624" s="47" t="s">
        <v>122</v>
      </c>
      <c r="D1624" s="16" t="s">
        <v>172</v>
      </c>
      <c r="E1624" s="16" t="s">
        <v>1103</v>
      </c>
      <c r="F1624" s="16"/>
      <c r="G1624" s="16"/>
      <c r="H1624" s="47" t="s">
        <v>231</v>
      </c>
      <c r="I1624" s="16"/>
      <c r="J1624" s="16"/>
      <c r="K1624" s="16"/>
      <c r="L1624" s="15" t="s">
        <v>205</v>
      </c>
      <c r="M1624" s="15"/>
    </row>
    <row r="1625" spans="1:13" ht="15" customHeight="1">
      <c r="A1625" s="16">
        <v>490</v>
      </c>
      <c r="B1625" s="16">
        <v>1679</v>
      </c>
      <c r="C1625" s="47" t="s">
        <v>122</v>
      </c>
      <c r="D1625" s="16" t="s">
        <v>172</v>
      </c>
      <c r="E1625" s="16" t="s">
        <v>519</v>
      </c>
      <c r="F1625" s="16"/>
      <c r="G1625" s="16"/>
      <c r="H1625" s="47" t="s">
        <v>231</v>
      </c>
      <c r="I1625" s="16"/>
      <c r="J1625" s="16"/>
      <c r="K1625" s="16"/>
      <c r="L1625" s="15" t="s">
        <v>205</v>
      </c>
      <c r="M1625" s="15"/>
    </row>
    <row r="1626" spans="1:13" ht="15" customHeight="1">
      <c r="A1626" s="16">
        <v>490</v>
      </c>
      <c r="B1626" s="16">
        <v>1680</v>
      </c>
      <c r="C1626" s="47" t="s">
        <v>122</v>
      </c>
      <c r="D1626" s="16" t="s">
        <v>172</v>
      </c>
      <c r="E1626" s="16" t="s">
        <v>1103</v>
      </c>
      <c r="F1626" s="16"/>
      <c r="G1626" s="16"/>
      <c r="H1626" s="47" t="s">
        <v>231</v>
      </c>
      <c r="I1626" s="16"/>
      <c r="J1626" s="16"/>
      <c r="K1626" s="16"/>
      <c r="L1626" s="15" t="s">
        <v>205</v>
      </c>
      <c r="M1626" s="15"/>
    </row>
    <row r="1627" spans="1:13" ht="15" customHeight="1">
      <c r="A1627" s="16">
        <v>490</v>
      </c>
      <c r="B1627" s="16">
        <v>1681</v>
      </c>
      <c r="C1627" s="47" t="s">
        <v>122</v>
      </c>
      <c r="D1627" s="16" t="s">
        <v>172</v>
      </c>
      <c r="E1627" s="16" t="s">
        <v>519</v>
      </c>
      <c r="F1627" s="16"/>
      <c r="G1627" s="16"/>
      <c r="H1627" s="47" t="s">
        <v>231</v>
      </c>
      <c r="I1627" s="16"/>
      <c r="J1627" s="16"/>
      <c r="K1627" s="16"/>
      <c r="L1627" s="15" t="s">
        <v>205</v>
      </c>
      <c r="M1627" s="15"/>
    </row>
    <row r="1628" spans="1:13" ht="15" customHeight="1">
      <c r="A1628" s="16">
        <v>490</v>
      </c>
      <c r="B1628" s="16">
        <v>1682</v>
      </c>
      <c r="C1628" s="47" t="s">
        <v>122</v>
      </c>
      <c r="D1628" s="47" t="s">
        <v>224</v>
      </c>
      <c r="E1628" s="16" t="s">
        <v>1103</v>
      </c>
      <c r="F1628" s="16"/>
      <c r="G1628" s="16"/>
      <c r="H1628" s="47" t="s">
        <v>231</v>
      </c>
      <c r="I1628" s="16"/>
      <c r="J1628" s="16"/>
      <c r="K1628" s="16"/>
      <c r="L1628" s="15" t="s">
        <v>536</v>
      </c>
      <c r="M1628" s="15" t="s">
        <v>537</v>
      </c>
    </row>
    <row r="1629" spans="1:13" ht="15" customHeight="1">
      <c r="A1629" s="16">
        <v>490</v>
      </c>
      <c r="B1629" s="16">
        <v>1683</v>
      </c>
      <c r="C1629" s="47" t="s">
        <v>122</v>
      </c>
      <c r="D1629" s="47" t="s">
        <v>224</v>
      </c>
      <c r="E1629" s="16" t="s">
        <v>538</v>
      </c>
      <c r="F1629" s="16"/>
      <c r="G1629" s="16"/>
      <c r="H1629" s="47" t="s">
        <v>231</v>
      </c>
      <c r="I1629" s="16"/>
      <c r="J1629" s="16"/>
      <c r="K1629" s="16"/>
      <c r="L1629" s="15" t="s">
        <v>536</v>
      </c>
      <c r="M1629" s="15" t="s">
        <v>539</v>
      </c>
    </row>
    <row r="1630" spans="1:13" ht="15" customHeight="1">
      <c r="A1630" s="16">
        <v>490</v>
      </c>
      <c r="B1630" s="16">
        <v>1684</v>
      </c>
      <c r="C1630" s="47" t="s">
        <v>122</v>
      </c>
      <c r="D1630" s="47" t="s">
        <v>224</v>
      </c>
      <c r="E1630" s="16" t="s">
        <v>519</v>
      </c>
      <c r="F1630" s="16"/>
      <c r="G1630" s="16"/>
      <c r="H1630" s="47" t="s">
        <v>231</v>
      </c>
      <c r="I1630" s="16"/>
      <c r="J1630" s="16"/>
      <c r="K1630" s="16"/>
      <c r="L1630" s="15" t="s">
        <v>536</v>
      </c>
      <c r="M1630" s="15" t="s">
        <v>540</v>
      </c>
    </row>
    <row r="1631" spans="1:13" ht="15" customHeight="1">
      <c r="A1631" s="16">
        <v>490</v>
      </c>
      <c r="B1631" s="16">
        <v>1685</v>
      </c>
      <c r="C1631" s="47" t="s">
        <v>122</v>
      </c>
      <c r="D1631" s="47" t="s">
        <v>224</v>
      </c>
      <c r="E1631" s="16" t="s">
        <v>541</v>
      </c>
      <c r="F1631" s="16"/>
      <c r="G1631" s="16"/>
      <c r="H1631" s="47" t="s">
        <v>231</v>
      </c>
      <c r="I1631" s="16"/>
      <c r="J1631" s="16"/>
      <c r="K1631" s="16"/>
      <c r="L1631" s="15" t="s">
        <v>536</v>
      </c>
      <c r="M1631" s="15" t="s">
        <v>539</v>
      </c>
    </row>
    <row r="1632" spans="1:13" ht="15" customHeight="1">
      <c r="A1632" s="16">
        <v>490</v>
      </c>
      <c r="B1632" s="16">
        <v>1686</v>
      </c>
      <c r="C1632" s="47" t="s">
        <v>122</v>
      </c>
      <c r="D1632" s="16" t="s">
        <v>542</v>
      </c>
      <c r="E1632" s="16" t="s">
        <v>1103</v>
      </c>
      <c r="F1632" s="16"/>
      <c r="G1632" s="16"/>
      <c r="H1632" s="47" t="s">
        <v>231</v>
      </c>
      <c r="I1632" s="16"/>
      <c r="J1632" s="16"/>
      <c r="K1632" s="16"/>
      <c r="L1632" s="15" t="s">
        <v>536</v>
      </c>
      <c r="M1632" s="15" t="s">
        <v>543</v>
      </c>
    </row>
    <row r="1633" spans="1:13" ht="15" customHeight="1">
      <c r="A1633" s="16">
        <v>490</v>
      </c>
      <c r="B1633" s="16">
        <v>1687</v>
      </c>
      <c r="C1633" s="47" t="s">
        <v>122</v>
      </c>
      <c r="D1633" s="16" t="s">
        <v>542</v>
      </c>
      <c r="E1633" s="16" t="s">
        <v>519</v>
      </c>
      <c r="F1633" s="16"/>
      <c r="G1633" s="16"/>
      <c r="H1633" s="47" t="s">
        <v>231</v>
      </c>
      <c r="I1633" s="16"/>
      <c r="J1633" s="16"/>
      <c r="K1633" s="16"/>
      <c r="L1633" s="15" t="s">
        <v>544</v>
      </c>
      <c r="M1633" s="15" t="s">
        <v>545</v>
      </c>
    </row>
    <row r="1634" spans="1:13" ht="15" customHeight="1">
      <c r="A1634" s="16">
        <v>490</v>
      </c>
      <c r="B1634" s="16">
        <v>1688</v>
      </c>
      <c r="C1634" s="47" t="s">
        <v>122</v>
      </c>
      <c r="D1634" s="47" t="s">
        <v>224</v>
      </c>
      <c r="E1634" s="16" t="s">
        <v>538</v>
      </c>
      <c r="F1634" s="16"/>
      <c r="G1634" s="16"/>
      <c r="H1634" s="47" t="s">
        <v>231</v>
      </c>
      <c r="I1634" s="16"/>
      <c r="J1634" s="16"/>
      <c r="K1634" s="16"/>
      <c r="L1634" s="15" t="s">
        <v>536</v>
      </c>
      <c r="M1634" s="15" t="s">
        <v>546</v>
      </c>
    </row>
    <row r="1635" spans="1:13" ht="15" customHeight="1">
      <c r="A1635" s="16">
        <v>490</v>
      </c>
      <c r="B1635" s="16">
        <v>1689</v>
      </c>
      <c r="C1635" s="47" t="s">
        <v>122</v>
      </c>
      <c r="D1635" s="47" t="s">
        <v>224</v>
      </c>
      <c r="E1635" s="16" t="s">
        <v>541</v>
      </c>
      <c r="F1635" s="16"/>
      <c r="G1635" s="16"/>
      <c r="H1635" s="47" t="s">
        <v>231</v>
      </c>
      <c r="I1635" s="16"/>
      <c r="J1635" s="16"/>
      <c r="K1635" s="16"/>
      <c r="L1635" s="15" t="s">
        <v>536</v>
      </c>
      <c r="M1635" s="15" t="s">
        <v>539</v>
      </c>
    </row>
    <row r="1636" spans="1:13" ht="15" customHeight="1">
      <c r="A1636" s="16">
        <v>490</v>
      </c>
      <c r="B1636" s="16">
        <v>1690</v>
      </c>
      <c r="C1636" s="47" t="s">
        <v>122</v>
      </c>
      <c r="D1636" s="47" t="s">
        <v>224</v>
      </c>
      <c r="E1636" s="16" t="s">
        <v>538</v>
      </c>
      <c r="F1636" s="16"/>
      <c r="G1636" s="16"/>
      <c r="H1636" s="47" t="s">
        <v>231</v>
      </c>
      <c r="I1636" s="16"/>
      <c r="J1636" s="16"/>
      <c r="K1636" s="16"/>
      <c r="L1636" s="15" t="s">
        <v>536</v>
      </c>
      <c r="M1636" s="15" t="s">
        <v>539</v>
      </c>
    </row>
    <row r="1637" spans="1:13" ht="15" customHeight="1">
      <c r="A1637" s="16">
        <v>490</v>
      </c>
      <c r="B1637" s="16">
        <v>1691</v>
      </c>
      <c r="C1637" s="47" t="s">
        <v>122</v>
      </c>
      <c r="D1637" s="47" t="s">
        <v>224</v>
      </c>
      <c r="E1637" s="16" t="s">
        <v>541</v>
      </c>
      <c r="F1637" s="16"/>
      <c r="G1637" s="16"/>
      <c r="H1637" s="47" t="s">
        <v>231</v>
      </c>
      <c r="I1637" s="16"/>
      <c r="J1637" s="16"/>
      <c r="K1637" s="16"/>
      <c r="L1637" s="15" t="s">
        <v>536</v>
      </c>
      <c r="M1637" s="15" t="s">
        <v>539</v>
      </c>
    </row>
    <row r="1638" spans="1:13" ht="15" customHeight="1">
      <c r="A1638" s="16">
        <v>490</v>
      </c>
      <c r="B1638" s="16">
        <v>1692</v>
      </c>
      <c r="C1638" s="47" t="s">
        <v>122</v>
      </c>
      <c r="D1638" s="16" t="s">
        <v>547</v>
      </c>
      <c r="E1638" s="16" t="s">
        <v>548</v>
      </c>
      <c r="F1638" s="16"/>
      <c r="G1638" s="16"/>
      <c r="H1638" s="47" t="s">
        <v>231</v>
      </c>
      <c r="I1638" s="16"/>
      <c r="J1638" s="16"/>
      <c r="K1638" s="16"/>
      <c r="L1638" s="15" t="s">
        <v>255</v>
      </c>
      <c r="M1638" s="15"/>
    </row>
    <row r="1639" spans="1:13" ht="15" customHeight="1">
      <c r="A1639" s="16">
        <v>490</v>
      </c>
      <c r="B1639" s="16">
        <v>1693</v>
      </c>
      <c r="C1639" s="47" t="s">
        <v>122</v>
      </c>
      <c r="D1639" s="47" t="s">
        <v>224</v>
      </c>
      <c r="E1639" s="16" t="s">
        <v>549</v>
      </c>
      <c r="F1639" s="16"/>
      <c r="G1639" s="16"/>
      <c r="H1639" s="47" t="s">
        <v>231</v>
      </c>
      <c r="I1639" s="16"/>
      <c r="J1639" s="16"/>
      <c r="K1639" s="16"/>
      <c r="L1639" s="15" t="s">
        <v>544</v>
      </c>
      <c r="M1639" s="15" t="s">
        <v>550</v>
      </c>
    </row>
    <row r="1640" spans="1:13" ht="15" customHeight="1">
      <c r="A1640" s="16">
        <v>201</v>
      </c>
      <c r="B1640" s="16">
        <v>1694</v>
      </c>
      <c r="C1640" s="47" t="s">
        <v>101</v>
      </c>
      <c r="D1640" s="16" t="s">
        <v>172</v>
      </c>
      <c r="E1640" s="16" t="s">
        <v>1103</v>
      </c>
      <c r="F1640" s="16"/>
      <c r="G1640" s="16"/>
      <c r="H1640" s="47" t="s">
        <v>231</v>
      </c>
      <c r="I1640" s="16"/>
      <c r="J1640" s="16"/>
      <c r="K1640" s="16"/>
      <c r="L1640" s="15" t="s">
        <v>205</v>
      </c>
      <c r="M1640" s="15"/>
    </row>
    <row r="1641" spans="1:13" ht="15" customHeight="1">
      <c r="A1641" s="16">
        <v>201</v>
      </c>
      <c r="B1641" s="16">
        <v>1695</v>
      </c>
      <c r="C1641" s="47" t="s">
        <v>101</v>
      </c>
      <c r="D1641" s="16" t="s">
        <v>172</v>
      </c>
      <c r="E1641" s="16" t="s">
        <v>519</v>
      </c>
      <c r="F1641" s="16"/>
      <c r="G1641" s="16"/>
      <c r="H1641" s="47" t="s">
        <v>231</v>
      </c>
      <c r="I1641" s="16"/>
      <c r="J1641" s="16"/>
      <c r="K1641" s="16"/>
      <c r="L1641" s="15" t="s">
        <v>205</v>
      </c>
      <c r="M1641" s="15"/>
    </row>
    <row r="1642" spans="1:13" ht="15" customHeight="1">
      <c r="A1642" s="16">
        <v>201</v>
      </c>
      <c r="B1642" s="16">
        <v>1696</v>
      </c>
      <c r="C1642" s="47" t="s">
        <v>101</v>
      </c>
      <c r="D1642" s="16" t="s">
        <v>172</v>
      </c>
      <c r="E1642" s="16" t="s">
        <v>1103</v>
      </c>
      <c r="F1642" s="16"/>
      <c r="G1642" s="16"/>
      <c r="H1642" s="47" t="s">
        <v>231</v>
      </c>
      <c r="I1642" s="16"/>
      <c r="J1642" s="16"/>
      <c r="K1642" s="16"/>
      <c r="L1642" s="15" t="s">
        <v>205</v>
      </c>
      <c r="M1642" s="15"/>
    </row>
    <row r="1643" spans="1:13" ht="15" customHeight="1">
      <c r="A1643" s="16">
        <v>201</v>
      </c>
      <c r="B1643" s="16">
        <v>1697</v>
      </c>
      <c r="C1643" s="47" t="s">
        <v>101</v>
      </c>
      <c r="D1643" s="16" t="s">
        <v>172</v>
      </c>
      <c r="E1643" s="16" t="s">
        <v>519</v>
      </c>
      <c r="F1643" s="16"/>
      <c r="G1643" s="16"/>
      <c r="H1643" s="47" t="s">
        <v>231</v>
      </c>
      <c r="I1643" s="16"/>
      <c r="J1643" s="16"/>
      <c r="K1643" s="16"/>
      <c r="L1643" s="15" t="s">
        <v>205</v>
      </c>
      <c r="M1643" s="15"/>
    </row>
    <row r="1644" spans="1:13" ht="15" customHeight="1">
      <c r="A1644" s="16">
        <v>201</v>
      </c>
      <c r="B1644" s="16">
        <v>1698</v>
      </c>
      <c r="C1644" s="47" t="s">
        <v>101</v>
      </c>
      <c r="D1644" s="16" t="s">
        <v>172</v>
      </c>
      <c r="E1644" s="16" t="s">
        <v>1103</v>
      </c>
      <c r="F1644" s="16"/>
      <c r="G1644" s="16"/>
      <c r="H1644" s="47" t="s">
        <v>231</v>
      </c>
      <c r="I1644" s="16"/>
      <c r="J1644" s="16"/>
      <c r="K1644" s="16"/>
      <c r="L1644" s="15" t="s">
        <v>205</v>
      </c>
      <c r="M1644" s="15"/>
    </row>
    <row r="1645" spans="1:13" ht="15" customHeight="1">
      <c r="A1645" s="16">
        <v>201</v>
      </c>
      <c r="B1645" s="16">
        <v>1699</v>
      </c>
      <c r="C1645" s="47" t="s">
        <v>101</v>
      </c>
      <c r="D1645" s="16" t="s">
        <v>172</v>
      </c>
      <c r="E1645" s="16" t="s">
        <v>519</v>
      </c>
      <c r="F1645" s="16"/>
      <c r="G1645" s="16"/>
      <c r="H1645" s="47" t="s">
        <v>231</v>
      </c>
      <c r="I1645" s="16"/>
      <c r="J1645" s="16"/>
      <c r="K1645" s="16"/>
      <c r="L1645" s="15" t="s">
        <v>205</v>
      </c>
      <c r="M1645" s="15"/>
    </row>
    <row r="1646" spans="1:13" ht="15" customHeight="1">
      <c r="A1646" s="16">
        <v>201</v>
      </c>
      <c r="B1646" s="16">
        <v>1700</v>
      </c>
      <c r="C1646" s="47" t="s">
        <v>101</v>
      </c>
      <c r="D1646" s="16" t="s">
        <v>172</v>
      </c>
      <c r="E1646" s="16" t="s">
        <v>1103</v>
      </c>
      <c r="F1646" s="16"/>
      <c r="G1646" s="16"/>
      <c r="H1646" s="47" t="s">
        <v>231</v>
      </c>
      <c r="I1646" s="16"/>
      <c r="J1646" s="16"/>
      <c r="K1646" s="16"/>
      <c r="L1646" s="15" t="s">
        <v>205</v>
      </c>
      <c r="M1646" s="15"/>
    </row>
    <row r="1647" spans="1:13" ht="15" customHeight="1">
      <c r="A1647" s="16">
        <v>201</v>
      </c>
      <c r="B1647" s="16">
        <v>1701</v>
      </c>
      <c r="C1647" s="47" t="s">
        <v>101</v>
      </c>
      <c r="D1647" s="16" t="s">
        <v>172</v>
      </c>
      <c r="E1647" s="16" t="s">
        <v>519</v>
      </c>
      <c r="F1647" s="16"/>
      <c r="G1647" s="16"/>
      <c r="H1647" s="47" t="s">
        <v>231</v>
      </c>
      <c r="I1647" s="16"/>
      <c r="J1647" s="16"/>
      <c r="K1647" s="16"/>
      <c r="L1647" s="15" t="s">
        <v>205</v>
      </c>
      <c r="M1647" s="15"/>
    </row>
    <row r="1648" spans="1:13" ht="15" customHeight="1">
      <c r="A1648" s="16">
        <v>201</v>
      </c>
      <c r="B1648" s="16">
        <v>1702</v>
      </c>
      <c r="C1648" s="47" t="s">
        <v>101</v>
      </c>
      <c r="D1648" s="16" t="s">
        <v>172</v>
      </c>
      <c r="E1648" s="16" t="s">
        <v>1103</v>
      </c>
      <c r="F1648" s="16"/>
      <c r="G1648" s="16"/>
      <c r="H1648" s="47" t="s">
        <v>231</v>
      </c>
      <c r="I1648" s="16"/>
      <c r="J1648" s="16"/>
      <c r="K1648" s="16"/>
      <c r="L1648" s="15" t="s">
        <v>205</v>
      </c>
      <c r="M1648" s="15"/>
    </row>
    <row r="1649" spans="1:13" ht="15" customHeight="1">
      <c r="A1649" s="16">
        <v>201</v>
      </c>
      <c r="B1649" s="16">
        <v>1703</v>
      </c>
      <c r="C1649" s="47" t="s">
        <v>101</v>
      </c>
      <c r="D1649" s="16" t="s">
        <v>172</v>
      </c>
      <c r="E1649" s="16" t="s">
        <v>519</v>
      </c>
      <c r="F1649" s="16"/>
      <c r="G1649" s="16"/>
      <c r="H1649" s="47" t="s">
        <v>231</v>
      </c>
      <c r="I1649" s="16"/>
      <c r="J1649" s="16"/>
      <c r="K1649" s="16"/>
      <c r="L1649" s="15" t="s">
        <v>205</v>
      </c>
      <c r="M1649" s="15"/>
    </row>
    <row r="1650" spans="1:13" ht="15" customHeight="1">
      <c r="A1650" s="16">
        <v>201</v>
      </c>
      <c r="B1650" s="16">
        <v>1704</v>
      </c>
      <c r="C1650" s="47" t="s">
        <v>101</v>
      </c>
      <c r="D1650" s="16" t="s">
        <v>172</v>
      </c>
      <c r="E1650" s="16" t="s">
        <v>1103</v>
      </c>
      <c r="F1650" s="16"/>
      <c r="G1650" s="16"/>
      <c r="H1650" s="47" t="s">
        <v>231</v>
      </c>
      <c r="I1650" s="16"/>
      <c r="J1650" s="16"/>
      <c r="K1650" s="16"/>
      <c r="L1650" s="15" t="s">
        <v>205</v>
      </c>
      <c r="M1650" s="15"/>
    </row>
    <row r="1651" spans="1:13" ht="15" customHeight="1">
      <c r="A1651" s="16">
        <v>201</v>
      </c>
      <c r="B1651" s="16">
        <v>1705</v>
      </c>
      <c r="C1651" s="47" t="s">
        <v>101</v>
      </c>
      <c r="D1651" s="16" t="s">
        <v>172</v>
      </c>
      <c r="E1651" s="16" t="s">
        <v>519</v>
      </c>
      <c r="F1651" s="16"/>
      <c r="G1651" s="16"/>
      <c r="H1651" s="47" t="s">
        <v>231</v>
      </c>
      <c r="I1651" s="16"/>
      <c r="J1651" s="16"/>
      <c r="K1651" s="16"/>
      <c r="L1651" s="15" t="s">
        <v>205</v>
      </c>
      <c r="M1651" s="15"/>
    </row>
    <row r="1652" spans="1:13" ht="15" customHeight="1">
      <c r="A1652" s="16">
        <v>201</v>
      </c>
      <c r="B1652" s="16">
        <v>1706</v>
      </c>
      <c r="C1652" s="47" t="s">
        <v>101</v>
      </c>
      <c r="D1652" s="16" t="s">
        <v>172</v>
      </c>
      <c r="E1652" s="16" t="s">
        <v>1103</v>
      </c>
      <c r="F1652" s="16"/>
      <c r="G1652" s="16"/>
      <c r="H1652" s="47" t="s">
        <v>231</v>
      </c>
      <c r="I1652" s="16"/>
      <c r="J1652" s="16"/>
      <c r="K1652" s="16"/>
      <c r="L1652" s="15" t="s">
        <v>205</v>
      </c>
      <c r="M1652" s="15"/>
    </row>
    <row r="1653" spans="1:13" ht="15" customHeight="1">
      <c r="A1653" s="16">
        <v>201</v>
      </c>
      <c r="B1653" s="16">
        <v>1707</v>
      </c>
      <c r="C1653" s="47" t="s">
        <v>101</v>
      </c>
      <c r="D1653" s="16" t="s">
        <v>172</v>
      </c>
      <c r="E1653" s="16" t="s">
        <v>519</v>
      </c>
      <c r="F1653" s="16"/>
      <c r="G1653" s="16"/>
      <c r="H1653" s="47" t="s">
        <v>231</v>
      </c>
      <c r="I1653" s="16"/>
      <c r="J1653" s="16"/>
      <c r="K1653" s="16"/>
      <c r="L1653" s="15" t="s">
        <v>205</v>
      </c>
      <c r="M1653" s="15"/>
    </row>
    <row r="1654" spans="1:13" ht="15" customHeight="1">
      <c r="A1654" s="16">
        <v>201</v>
      </c>
      <c r="B1654" s="16">
        <v>1708</v>
      </c>
      <c r="C1654" s="47" t="s">
        <v>101</v>
      </c>
      <c r="D1654" s="47" t="s">
        <v>224</v>
      </c>
      <c r="E1654" s="16" t="s">
        <v>1103</v>
      </c>
      <c r="F1654" s="16"/>
      <c r="G1654" s="16"/>
      <c r="H1654" s="47" t="s">
        <v>231</v>
      </c>
      <c r="I1654" s="16"/>
      <c r="J1654" s="16"/>
      <c r="K1654" s="16"/>
      <c r="L1654" s="15" t="s">
        <v>536</v>
      </c>
      <c r="M1654" s="15" t="s">
        <v>537</v>
      </c>
    </row>
    <row r="1655" spans="1:13" ht="15" customHeight="1">
      <c r="A1655" s="16">
        <v>201</v>
      </c>
      <c r="B1655" s="16">
        <v>1709</v>
      </c>
      <c r="C1655" s="47" t="s">
        <v>101</v>
      </c>
      <c r="D1655" s="47" t="s">
        <v>224</v>
      </c>
      <c r="E1655" s="16" t="s">
        <v>538</v>
      </c>
      <c r="F1655" s="16"/>
      <c r="G1655" s="16"/>
      <c r="H1655" s="47" t="s">
        <v>231</v>
      </c>
      <c r="I1655" s="16"/>
      <c r="J1655" s="16"/>
      <c r="K1655" s="16"/>
      <c r="L1655" s="15" t="s">
        <v>536</v>
      </c>
      <c r="M1655" s="15" t="s">
        <v>539</v>
      </c>
    </row>
    <row r="1656" spans="1:13" ht="15" customHeight="1">
      <c r="A1656" s="16">
        <v>201</v>
      </c>
      <c r="B1656" s="16">
        <v>1710</v>
      </c>
      <c r="C1656" s="47" t="s">
        <v>101</v>
      </c>
      <c r="D1656" s="47" t="s">
        <v>224</v>
      </c>
      <c r="E1656" s="16" t="s">
        <v>519</v>
      </c>
      <c r="F1656" s="16"/>
      <c r="G1656" s="16"/>
      <c r="H1656" s="47" t="s">
        <v>231</v>
      </c>
      <c r="I1656" s="16"/>
      <c r="J1656" s="16"/>
      <c r="K1656" s="16"/>
      <c r="L1656" s="15" t="s">
        <v>536</v>
      </c>
      <c r="M1656" s="15" t="s">
        <v>540</v>
      </c>
    </row>
    <row r="1657" spans="1:13" ht="15" customHeight="1">
      <c r="A1657" s="16">
        <v>201</v>
      </c>
      <c r="B1657" s="16">
        <v>1711</v>
      </c>
      <c r="C1657" s="47" t="s">
        <v>101</v>
      </c>
      <c r="D1657" s="47" t="s">
        <v>224</v>
      </c>
      <c r="E1657" s="16" t="s">
        <v>541</v>
      </c>
      <c r="F1657" s="16"/>
      <c r="G1657" s="16"/>
      <c r="H1657" s="47" t="s">
        <v>231</v>
      </c>
      <c r="I1657" s="16"/>
      <c r="J1657" s="16"/>
      <c r="K1657" s="16"/>
      <c r="L1657" s="15" t="s">
        <v>536</v>
      </c>
      <c r="M1657" s="15" t="s">
        <v>539</v>
      </c>
    </row>
    <row r="1658" spans="1:13" ht="15" customHeight="1">
      <c r="A1658" s="16">
        <v>201</v>
      </c>
      <c r="B1658" s="16">
        <v>1712</v>
      </c>
      <c r="C1658" s="47" t="s">
        <v>101</v>
      </c>
      <c r="D1658" s="16" t="s">
        <v>542</v>
      </c>
      <c r="E1658" s="16" t="s">
        <v>1103</v>
      </c>
      <c r="F1658" s="16"/>
      <c r="G1658" s="16"/>
      <c r="H1658" s="47" t="s">
        <v>231</v>
      </c>
      <c r="I1658" s="16"/>
      <c r="J1658" s="16"/>
      <c r="K1658" s="16"/>
      <c r="L1658" s="15" t="s">
        <v>536</v>
      </c>
      <c r="M1658" s="15" t="s">
        <v>543</v>
      </c>
    </row>
    <row r="1659" spans="1:13" ht="15" customHeight="1">
      <c r="A1659" s="16">
        <v>201</v>
      </c>
      <c r="B1659" s="16">
        <v>1713</v>
      </c>
      <c r="C1659" s="47" t="s">
        <v>101</v>
      </c>
      <c r="D1659" s="16" t="s">
        <v>542</v>
      </c>
      <c r="E1659" s="16" t="s">
        <v>519</v>
      </c>
      <c r="F1659" s="16"/>
      <c r="G1659" s="16"/>
      <c r="H1659" s="47" t="s">
        <v>231</v>
      </c>
      <c r="I1659" s="16"/>
      <c r="J1659" s="16"/>
      <c r="K1659" s="16"/>
      <c r="L1659" s="15" t="s">
        <v>544</v>
      </c>
      <c r="M1659" s="15" t="s">
        <v>545</v>
      </c>
    </row>
    <row r="1660" spans="1:13" ht="15" customHeight="1">
      <c r="A1660" s="16">
        <v>201</v>
      </c>
      <c r="B1660" s="16">
        <v>1714</v>
      </c>
      <c r="C1660" s="47" t="s">
        <v>101</v>
      </c>
      <c r="D1660" s="47" t="s">
        <v>224</v>
      </c>
      <c r="E1660" s="16" t="s">
        <v>538</v>
      </c>
      <c r="F1660" s="16"/>
      <c r="G1660" s="16"/>
      <c r="H1660" s="47" t="s">
        <v>231</v>
      </c>
      <c r="I1660" s="16"/>
      <c r="J1660" s="16"/>
      <c r="K1660" s="16"/>
      <c r="L1660" s="15" t="s">
        <v>536</v>
      </c>
      <c r="M1660" s="15" t="s">
        <v>546</v>
      </c>
    </row>
    <row r="1661" spans="1:13" ht="15" customHeight="1">
      <c r="A1661" s="16">
        <v>201</v>
      </c>
      <c r="B1661" s="16">
        <v>1715</v>
      </c>
      <c r="C1661" s="47" t="s">
        <v>101</v>
      </c>
      <c r="D1661" s="47" t="s">
        <v>224</v>
      </c>
      <c r="E1661" s="16" t="s">
        <v>541</v>
      </c>
      <c r="F1661" s="16"/>
      <c r="G1661" s="16"/>
      <c r="H1661" s="47" t="s">
        <v>231</v>
      </c>
      <c r="I1661" s="16"/>
      <c r="J1661" s="16"/>
      <c r="K1661" s="16"/>
      <c r="L1661" s="15" t="s">
        <v>536</v>
      </c>
      <c r="M1661" s="15" t="s">
        <v>539</v>
      </c>
    </row>
    <row r="1662" spans="1:13" ht="15" customHeight="1">
      <c r="A1662" s="16">
        <v>201</v>
      </c>
      <c r="B1662" s="16">
        <v>1716</v>
      </c>
      <c r="C1662" s="47" t="s">
        <v>101</v>
      </c>
      <c r="D1662" s="47" t="s">
        <v>224</v>
      </c>
      <c r="E1662" s="16" t="s">
        <v>538</v>
      </c>
      <c r="F1662" s="16"/>
      <c r="G1662" s="16"/>
      <c r="H1662" s="47" t="s">
        <v>231</v>
      </c>
      <c r="I1662" s="16"/>
      <c r="J1662" s="16"/>
      <c r="K1662" s="16"/>
      <c r="L1662" s="15" t="s">
        <v>536</v>
      </c>
      <c r="M1662" s="15" t="s">
        <v>539</v>
      </c>
    </row>
    <row r="1663" spans="1:13" ht="15" customHeight="1">
      <c r="A1663" s="16">
        <v>201</v>
      </c>
      <c r="B1663" s="16">
        <v>1717</v>
      </c>
      <c r="C1663" s="47" t="s">
        <v>101</v>
      </c>
      <c r="D1663" s="47" t="s">
        <v>224</v>
      </c>
      <c r="E1663" s="16" t="s">
        <v>541</v>
      </c>
      <c r="F1663" s="16"/>
      <c r="G1663" s="16"/>
      <c r="H1663" s="47" t="s">
        <v>231</v>
      </c>
      <c r="I1663" s="16"/>
      <c r="J1663" s="16"/>
      <c r="K1663" s="16"/>
      <c r="L1663" s="15" t="s">
        <v>536</v>
      </c>
      <c r="M1663" s="15" t="s">
        <v>539</v>
      </c>
    </row>
    <row r="1664" spans="1:13" ht="15" customHeight="1">
      <c r="A1664" s="16">
        <v>201</v>
      </c>
      <c r="B1664" s="16">
        <v>1718</v>
      </c>
      <c r="C1664" s="47" t="s">
        <v>101</v>
      </c>
      <c r="D1664" s="16" t="s">
        <v>547</v>
      </c>
      <c r="E1664" s="16" t="s">
        <v>548</v>
      </c>
      <c r="F1664" s="16"/>
      <c r="G1664" s="16"/>
      <c r="H1664" s="47" t="s">
        <v>231</v>
      </c>
      <c r="I1664" s="16"/>
      <c r="J1664" s="16"/>
      <c r="K1664" s="16"/>
      <c r="L1664" s="15" t="s">
        <v>255</v>
      </c>
      <c r="M1664" s="15"/>
    </row>
    <row r="1665" spans="1:13" ht="15" customHeight="1">
      <c r="A1665" s="16">
        <v>201</v>
      </c>
      <c r="B1665" s="16">
        <v>1719</v>
      </c>
      <c r="C1665" s="47" t="s">
        <v>101</v>
      </c>
      <c r="D1665" s="47" t="s">
        <v>224</v>
      </c>
      <c r="E1665" s="16" t="s">
        <v>549</v>
      </c>
      <c r="F1665" s="16"/>
      <c r="G1665" s="16"/>
      <c r="H1665" s="47" t="s">
        <v>231</v>
      </c>
      <c r="I1665" s="16"/>
      <c r="J1665" s="16"/>
      <c r="K1665" s="16"/>
      <c r="L1665" s="15" t="s">
        <v>544</v>
      </c>
      <c r="M1665" s="15" t="s">
        <v>550</v>
      </c>
    </row>
    <row r="1666" spans="1:13" ht="15" customHeight="1">
      <c r="A1666" s="16">
        <v>491</v>
      </c>
      <c r="B1666" s="16">
        <v>1720</v>
      </c>
      <c r="C1666" s="47" t="s">
        <v>122</v>
      </c>
      <c r="D1666" s="16" t="s">
        <v>172</v>
      </c>
      <c r="E1666" s="16" t="s">
        <v>1103</v>
      </c>
      <c r="F1666" s="16"/>
      <c r="G1666" s="16"/>
      <c r="H1666" s="47" t="s">
        <v>231</v>
      </c>
      <c r="I1666" s="16"/>
      <c r="J1666" s="16"/>
      <c r="K1666" s="16"/>
      <c r="L1666" s="15" t="s">
        <v>205</v>
      </c>
      <c r="M1666" s="15"/>
    </row>
    <row r="1667" spans="1:13" ht="15" customHeight="1">
      <c r="A1667" s="16">
        <v>491</v>
      </c>
      <c r="B1667" s="16">
        <v>1721</v>
      </c>
      <c r="C1667" s="47" t="s">
        <v>122</v>
      </c>
      <c r="D1667" s="16" t="s">
        <v>172</v>
      </c>
      <c r="E1667" s="16" t="s">
        <v>519</v>
      </c>
      <c r="F1667" s="16"/>
      <c r="G1667" s="16"/>
      <c r="H1667" s="47" t="s">
        <v>231</v>
      </c>
      <c r="I1667" s="16"/>
      <c r="J1667" s="16"/>
      <c r="K1667" s="16"/>
      <c r="L1667" s="15" t="s">
        <v>205</v>
      </c>
      <c r="M1667" s="15"/>
    </row>
    <row r="1668" spans="1:13" ht="15" customHeight="1">
      <c r="A1668" s="16">
        <v>491</v>
      </c>
      <c r="B1668" s="16">
        <v>1722</v>
      </c>
      <c r="C1668" s="47" t="s">
        <v>122</v>
      </c>
      <c r="D1668" s="16" t="s">
        <v>172</v>
      </c>
      <c r="E1668" s="16" t="s">
        <v>1103</v>
      </c>
      <c r="F1668" s="16"/>
      <c r="G1668" s="16"/>
      <c r="H1668" s="47" t="s">
        <v>231</v>
      </c>
      <c r="I1668" s="16"/>
      <c r="J1668" s="16"/>
      <c r="K1668" s="16"/>
      <c r="L1668" s="15" t="s">
        <v>205</v>
      </c>
      <c r="M1668" s="15"/>
    </row>
    <row r="1669" spans="1:13" ht="15" customHeight="1">
      <c r="A1669" s="16">
        <v>491</v>
      </c>
      <c r="B1669" s="16">
        <v>1723</v>
      </c>
      <c r="C1669" s="47" t="s">
        <v>122</v>
      </c>
      <c r="D1669" s="16" t="s">
        <v>172</v>
      </c>
      <c r="E1669" s="16" t="s">
        <v>519</v>
      </c>
      <c r="F1669" s="16"/>
      <c r="G1669" s="16"/>
      <c r="H1669" s="47" t="s">
        <v>231</v>
      </c>
      <c r="I1669" s="16"/>
      <c r="J1669" s="16"/>
      <c r="K1669" s="16"/>
      <c r="L1669" s="15" t="s">
        <v>205</v>
      </c>
      <c r="M1669" s="15"/>
    </row>
    <row r="1670" spans="1:13" ht="15" customHeight="1">
      <c r="A1670" s="16">
        <v>491</v>
      </c>
      <c r="B1670" s="16">
        <v>1724</v>
      </c>
      <c r="C1670" s="47" t="s">
        <v>122</v>
      </c>
      <c r="D1670" s="16" t="s">
        <v>172</v>
      </c>
      <c r="E1670" s="16" t="s">
        <v>1103</v>
      </c>
      <c r="F1670" s="16"/>
      <c r="G1670" s="16"/>
      <c r="H1670" s="47" t="s">
        <v>231</v>
      </c>
      <c r="I1670" s="16"/>
      <c r="J1670" s="16"/>
      <c r="K1670" s="16"/>
      <c r="L1670" s="15" t="s">
        <v>205</v>
      </c>
      <c r="M1670" s="15"/>
    </row>
    <row r="1671" spans="1:13" ht="15" customHeight="1">
      <c r="A1671" s="16">
        <v>491</v>
      </c>
      <c r="B1671" s="16">
        <v>1725</v>
      </c>
      <c r="C1671" s="47" t="s">
        <v>122</v>
      </c>
      <c r="D1671" s="16" t="s">
        <v>172</v>
      </c>
      <c r="E1671" s="16" t="s">
        <v>519</v>
      </c>
      <c r="F1671" s="16"/>
      <c r="G1671" s="16"/>
      <c r="H1671" s="47" t="s">
        <v>231</v>
      </c>
      <c r="I1671" s="16"/>
      <c r="J1671" s="16"/>
      <c r="K1671" s="16"/>
      <c r="L1671" s="15" t="s">
        <v>205</v>
      </c>
      <c r="M1671" s="15"/>
    </row>
    <row r="1672" spans="1:13" ht="15" customHeight="1">
      <c r="A1672" s="16">
        <v>491</v>
      </c>
      <c r="B1672" s="16">
        <v>1726</v>
      </c>
      <c r="C1672" s="47" t="s">
        <v>122</v>
      </c>
      <c r="D1672" s="16" t="s">
        <v>172</v>
      </c>
      <c r="E1672" s="16" t="s">
        <v>1103</v>
      </c>
      <c r="F1672" s="16"/>
      <c r="G1672" s="16"/>
      <c r="H1672" s="47" t="s">
        <v>231</v>
      </c>
      <c r="I1672" s="16"/>
      <c r="J1672" s="16"/>
      <c r="K1672" s="16"/>
      <c r="L1672" s="15" t="s">
        <v>205</v>
      </c>
      <c r="M1672" s="15"/>
    </row>
    <row r="1673" spans="1:13" ht="15" customHeight="1">
      <c r="A1673" s="16">
        <v>491</v>
      </c>
      <c r="B1673" s="16">
        <v>1727</v>
      </c>
      <c r="C1673" s="47" t="s">
        <v>122</v>
      </c>
      <c r="D1673" s="16" t="s">
        <v>172</v>
      </c>
      <c r="E1673" s="16" t="s">
        <v>519</v>
      </c>
      <c r="F1673" s="16"/>
      <c r="G1673" s="16"/>
      <c r="H1673" s="47" t="s">
        <v>231</v>
      </c>
      <c r="I1673" s="16"/>
      <c r="J1673" s="16"/>
      <c r="K1673" s="16"/>
      <c r="L1673" s="15" t="s">
        <v>205</v>
      </c>
      <c r="M1673" s="15"/>
    </row>
    <row r="1674" spans="1:13" ht="15" customHeight="1">
      <c r="A1674" s="16">
        <v>491</v>
      </c>
      <c r="B1674" s="16">
        <v>1728</v>
      </c>
      <c r="C1674" s="47" t="s">
        <v>122</v>
      </c>
      <c r="D1674" s="16" t="s">
        <v>172</v>
      </c>
      <c r="E1674" s="16" t="s">
        <v>1103</v>
      </c>
      <c r="F1674" s="16"/>
      <c r="G1674" s="16"/>
      <c r="H1674" s="47" t="s">
        <v>231</v>
      </c>
      <c r="I1674" s="16"/>
      <c r="J1674" s="16"/>
      <c r="K1674" s="16"/>
      <c r="L1674" s="15" t="s">
        <v>205</v>
      </c>
      <c r="M1674" s="15"/>
    </row>
    <row r="1675" spans="1:13" ht="15" customHeight="1">
      <c r="A1675" s="16">
        <v>491</v>
      </c>
      <c r="B1675" s="16">
        <v>1729</v>
      </c>
      <c r="C1675" s="47" t="s">
        <v>122</v>
      </c>
      <c r="D1675" s="16" t="s">
        <v>172</v>
      </c>
      <c r="E1675" s="16" t="s">
        <v>519</v>
      </c>
      <c r="F1675" s="16"/>
      <c r="G1675" s="16"/>
      <c r="H1675" s="47" t="s">
        <v>231</v>
      </c>
      <c r="I1675" s="16"/>
      <c r="J1675" s="16"/>
      <c r="K1675" s="16"/>
      <c r="L1675" s="15" t="s">
        <v>205</v>
      </c>
      <c r="M1675" s="15"/>
    </row>
    <row r="1676" spans="1:13" ht="15" customHeight="1">
      <c r="A1676" s="16">
        <v>491</v>
      </c>
      <c r="B1676" s="16">
        <v>1730</v>
      </c>
      <c r="C1676" s="47" t="s">
        <v>122</v>
      </c>
      <c r="D1676" s="16" t="s">
        <v>172</v>
      </c>
      <c r="E1676" s="16" t="s">
        <v>1103</v>
      </c>
      <c r="F1676" s="16"/>
      <c r="G1676" s="16"/>
      <c r="H1676" s="47" t="s">
        <v>231</v>
      </c>
      <c r="I1676" s="16"/>
      <c r="J1676" s="16"/>
      <c r="K1676" s="16"/>
      <c r="L1676" s="15" t="s">
        <v>205</v>
      </c>
      <c r="M1676" s="15"/>
    </row>
    <row r="1677" spans="1:13" ht="15" customHeight="1">
      <c r="A1677" s="16">
        <v>491</v>
      </c>
      <c r="B1677" s="16">
        <v>1731</v>
      </c>
      <c r="C1677" s="47" t="s">
        <v>122</v>
      </c>
      <c r="D1677" s="16" t="s">
        <v>172</v>
      </c>
      <c r="E1677" s="16" t="s">
        <v>519</v>
      </c>
      <c r="F1677" s="16"/>
      <c r="G1677" s="16"/>
      <c r="H1677" s="47" t="s">
        <v>231</v>
      </c>
      <c r="I1677" s="16"/>
      <c r="J1677" s="16"/>
      <c r="K1677" s="16"/>
      <c r="L1677" s="15" t="s">
        <v>205</v>
      </c>
      <c r="M1677" s="15"/>
    </row>
    <row r="1678" spans="1:13" ht="15" customHeight="1">
      <c r="A1678" s="16">
        <v>491</v>
      </c>
      <c r="B1678" s="16">
        <v>1732</v>
      </c>
      <c r="C1678" s="47" t="s">
        <v>122</v>
      </c>
      <c r="D1678" s="16" t="s">
        <v>172</v>
      </c>
      <c r="E1678" s="16" t="s">
        <v>1103</v>
      </c>
      <c r="F1678" s="16"/>
      <c r="G1678" s="16"/>
      <c r="H1678" s="47" t="s">
        <v>231</v>
      </c>
      <c r="I1678" s="16"/>
      <c r="J1678" s="16"/>
      <c r="K1678" s="16"/>
      <c r="L1678" s="15" t="s">
        <v>205</v>
      </c>
      <c r="M1678" s="15"/>
    </row>
    <row r="1679" spans="1:13" ht="15" customHeight="1">
      <c r="A1679" s="16">
        <v>491</v>
      </c>
      <c r="B1679" s="16">
        <v>1733</v>
      </c>
      <c r="C1679" s="47" t="s">
        <v>122</v>
      </c>
      <c r="D1679" s="16" t="s">
        <v>172</v>
      </c>
      <c r="E1679" s="16" t="s">
        <v>519</v>
      </c>
      <c r="F1679" s="16"/>
      <c r="G1679" s="16"/>
      <c r="H1679" s="47" t="s">
        <v>231</v>
      </c>
      <c r="I1679" s="16"/>
      <c r="J1679" s="16"/>
      <c r="K1679" s="16"/>
      <c r="L1679" s="15" t="s">
        <v>205</v>
      </c>
      <c r="M1679" s="15"/>
    </row>
    <row r="1680" spans="1:13" ht="15" customHeight="1">
      <c r="A1680" s="16">
        <v>491</v>
      </c>
      <c r="B1680" s="16">
        <v>1734</v>
      </c>
      <c r="C1680" s="47" t="s">
        <v>122</v>
      </c>
      <c r="D1680" s="47" t="s">
        <v>224</v>
      </c>
      <c r="E1680" s="16" t="s">
        <v>1103</v>
      </c>
      <c r="F1680" s="16"/>
      <c r="G1680" s="16"/>
      <c r="H1680" s="47" t="s">
        <v>231</v>
      </c>
      <c r="I1680" s="16"/>
      <c r="J1680" s="16"/>
      <c r="K1680" s="16"/>
      <c r="L1680" s="15" t="s">
        <v>536</v>
      </c>
      <c r="M1680" s="15" t="s">
        <v>537</v>
      </c>
    </row>
    <row r="1681" spans="1:13" ht="15" customHeight="1">
      <c r="A1681" s="16">
        <v>491</v>
      </c>
      <c r="B1681" s="16">
        <v>1735</v>
      </c>
      <c r="C1681" s="47" t="s">
        <v>122</v>
      </c>
      <c r="D1681" s="47" t="s">
        <v>224</v>
      </c>
      <c r="E1681" s="16" t="s">
        <v>538</v>
      </c>
      <c r="F1681" s="16"/>
      <c r="G1681" s="16"/>
      <c r="H1681" s="47" t="s">
        <v>231</v>
      </c>
      <c r="I1681" s="16"/>
      <c r="J1681" s="16"/>
      <c r="K1681" s="16"/>
      <c r="L1681" s="15" t="s">
        <v>536</v>
      </c>
      <c r="M1681" s="15" t="s">
        <v>539</v>
      </c>
    </row>
    <row r="1682" spans="1:13" ht="15" customHeight="1">
      <c r="A1682" s="16">
        <v>491</v>
      </c>
      <c r="B1682" s="16">
        <v>1736</v>
      </c>
      <c r="C1682" s="47" t="s">
        <v>122</v>
      </c>
      <c r="D1682" s="47" t="s">
        <v>224</v>
      </c>
      <c r="E1682" s="16" t="s">
        <v>519</v>
      </c>
      <c r="F1682" s="16"/>
      <c r="G1682" s="16"/>
      <c r="H1682" s="47" t="s">
        <v>231</v>
      </c>
      <c r="I1682" s="16"/>
      <c r="J1682" s="16"/>
      <c r="K1682" s="16"/>
      <c r="L1682" s="15" t="s">
        <v>536</v>
      </c>
      <c r="M1682" s="15" t="s">
        <v>540</v>
      </c>
    </row>
    <row r="1683" spans="1:13" ht="15" customHeight="1">
      <c r="A1683" s="16">
        <v>491</v>
      </c>
      <c r="B1683" s="16">
        <v>1737</v>
      </c>
      <c r="C1683" s="47" t="s">
        <v>122</v>
      </c>
      <c r="D1683" s="47" t="s">
        <v>224</v>
      </c>
      <c r="E1683" s="16" t="s">
        <v>541</v>
      </c>
      <c r="F1683" s="16"/>
      <c r="G1683" s="16"/>
      <c r="H1683" s="47" t="s">
        <v>231</v>
      </c>
      <c r="I1683" s="16"/>
      <c r="J1683" s="16"/>
      <c r="K1683" s="16"/>
      <c r="L1683" s="15" t="s">
        <v>536</v>
      </c>
      <c r="M1683" s="15" t="s">
        <v>539</v>
      </c>
    </row>
    <row r="1684" spans="1:13" ht="15" customHeight="1">
      <c r="A1684" s="16">
        <v>491</v>
      </c>
      <c r="B1684" s="16">
        <v>1738</v>
      </c>
      <c r="C1684" s="47" t="s">
        <v>122</v>
      </c>
      <c r="D1684" s="16" t="s">
        <v>542</v>
      </c>
      <c r="E1684" s="16" t="s">
        <v>1103</v>
      </c>
      <c r="F1684" s="16"/>
      <c r="G1684" s="16"/>
      <c r="H1684" s="47" t="s">
        <v>231</v>
      </c>
      <c r="I1684" s="16"/>
      <c r="J1684" s="16"/>
      <c r="K1684" s="16"/>
      <c r="L1684" s="15" t="s">
        <v>536</v>
      </c>
      <c r="M1684" s="15" t="s">
        <v>543</v>
      </c>
    </row>
    <row r="1685" spans="1:13" ht="15" customHeight="1">
      <c r="A1685" s="16">
        <v>491</v>
      </c>
      <c r="B1685" s="16">
        <v>1739</v>
      </c>
      <c r="C1685" s="47" t="s">
        <v>122</v>
      </c>
      <c r="D1685" s="16" t="s">
        <v>542</v>
      </c>
      <c r="E1685" s="16" t="s">
        <v>519</v>
      </c>
      <c r="F1685" s="16"/>
      <c r="G1685" s="16"/>
      <c r="H1685" s="47" t="s">
        <v>231</v>
      </c>
      <c r="I1685" s="16"/>
      <c r="J1685" s="16"/>
      <c r="K1685" s="16"/>
      <c r="L1685" s="15" t="s">
        <v>544</v>
      </c>
      <c r="M1685" s="15" t="s">
        <v>545</v>
      </c>
    </row>
    <row r="1686" spans="1:13" ht="15" customHeight="1">
      <c r="A1686" s="16">
        <v>491</v>
      </c>
      <c r="B1686" s="16">
        <v>1740</v>
      </c>
      <c r="C1686" s="47" t="s">
        <v>122</v>
      </c>
      <c r="D1686" s="47" t="s">
        <v>224</v>
      </c>
      <c r="E1686" s="16" t="s">
        <v>538</v>
      </c>
      <c r="F1686" s="16"/>
      <c r="G1686" s="16"/>
      <c r="H1686" s="47" t="s">
        <v>231</v>
      </c>
      <c r="I1686" s="16"/>
      <c r="J1686" s="16"/>
      <c r="K1686" s="16"/>
      <c r="L1686" s="15" t="s">
        <v>536</v>
      </c>
      <c r="M1686" s="15" t="s">
        <v>546</v>
      </c>
    </row>
    <row r="1687" spans="1:13" ht="15" customHeight="1">
      <c r="A1687" s="16">
        <v>491</v>
      </c>
      <c r="B1687" s="16">
        <v>1741</v>
      </c>
      <c r="C1687" s="47" t="s">
        <v>122</v>
      </c>
      <c r="D1687" s="47" t="s">
        <v>224</v>
      </c>
      <c r="E1687" s="16" t="s">
        <v>541</v>
      </c>
      <c r="F1687" s="16"/>
      <c r="G1687" s="16"/>
      <c r="H1687" s="47" t="s">
        <v>231</v>
      </c>
      <c r="I1687" s="16"/>
      <c r="J1687" s="16"/>
      <c r="K1687" s="16"/>
      <c r="L1687" s="15" t="s">
        <v>536</v>
      </c>
      <c r="M1687" s="15" t="s">
        <v>539</v>
      </c>
    </row>
    <row r="1688" spans="1:13" ht="15" customHeight="1">
      <c r="A1688" s="16">
        <v>491</v>
      </c>
      <c r="B1688" s="16">
        <v>1742</v>
      </c>
      <c r="C1688" s="47" t="s">
        <v>122</v>
      </c>
      <c r="D1688" s="47" t="s">
        <v>224</v>
      </c>
      <c r="E1688" s="16" t="s">
        <v>538</v>
      </c>
      <c r="F1688" s="16"/>
      <c r="G1688" s="16"/>
      <c r="H1688" s="47" t="s">
        <v>231</v>
      </c>
      <c r="I1688" s="16"/>
      <c r="J1688" s="16"/>
      <c r="K1688" s="16"/>
      <c r="L1688" s="15" t="s">
        <v>536</v>
      </c>
      <c r="M1688" s="15" t="s">
        <v>539</v>
      </c>
    </row>
    <row r="1689" spans="1:13" ht="15" customHeight="1">
      <c r="A1689" s="16">
        <v>491</v>
      </c>
      <c r="B1689" s="16">
        <v>1743</v>
      </c>
      <c r="C1689" s="47" t="s">
        <v>122</v>
      </c>
      <c r="D1689" s="47" t="s">
        <v>224</v>
      </c>
      <c r="E1689" s="16" t="s">
        <v>541</v>
      </c>
      <c r="F1689" s="16"/>
      <c r="G1689" s="16"/>
      <c r="H1689" s="47" t="s">
        <v>231</v>
      </c>
      <c r="I1689" s="16"/>
      <c r="J1689" s="16"/>
      <c r="K1689" s="16"/>
      <c r="L1689" s="15" t="s">
        <v>536</v>
      </c>
      <c r="M1689" s="15" t="s">
        <v>539</v>
      </c>
    </row>
    <row r="1690" spans="1:13" ht="15" customHeight="1">
      <c r="A1690" s="16">
        <v>491</v>
      </c>
      <c r="B1690" s="16">
        <v>1744</v>
      </c>
      <c r="C1690" s="47" t="s">
        <v>122</v>
      </c>
      <c r="D1690" s="16" t="s">
        <v>547</v>
      </c>
      <c r="E1690" s="16" t="s">
        <v>548</v>
      </c>
      <c r="F1690" s="16"/>
      <c r="G1690" s="16"/>
      <c r="H1690" s="47" t="s">
        <v>231</v>
      </c>
      <c r="I1690" s="16"/>
      <c r="J1690" s="16"/>
      <c r="K1690" s="16"/>
      <c r="L1690" s="15" t="s">
        <v>255</v>
      </c>
      <c r="M1690" s="15"/>
    </row>
    <row r="1691" spans="1:13" ht="15" customHeight="1">
      <c r="A1691" s="16">
        <v>491</v>
      </c>
      <c r="B1691" s="16">
        <v>1745</v>
      </c>
      <c r="C1691" s="47" t="s">
        <v>122</v>
      </c>
      <c r="D1691" s="47" t="s">
        <v>224</v>
      </c>
      <c r="E1691" s="16" t="s">
        <v>549</v>
      </c>
      <c r="F1691" s="16"/>
      <c r="G1691" s="16"/>
      <c r="H1691" s="47" t="s">
        <v>231</v>
      </c>
      <c r="I1691" s="16"/>
      <c r="J1691" s="16"/>
      <c r="K1691" s="16"/>
      <c r="L1691" s="15" t="s">
        <v>544</v>
      </c>
      <c r="M1691" s="15" t="s">
        <v>550</v>
      </c>
    </row>
    <row r="1692" spans="1:13" ht="15" customHeight="1">
      <c r="B1692" s="47">
        <v>1755</v>
      </c>
      <c r="C1692" s="47" t="s">
        <v>869</v>
      </c>
      <c r="F1692" s="47" t="s">
        <v>1233</v>
      </c>
      <c r="G1692" s="47">
        <v>1</v>
      </c>
      <c r="H1692" s="47" t="s">
        <v>1274</v>
      </c>
      <c r="L1692" s="47" t="s">
        <v>314</v>
      </c>
      <c r="M1692" s="47" t="s">
        <v>1281</v>
      </c>
    </row>
    <row r="1693" spans="1:13" ht="15" customHeight="1">
      <c r="B1693" s="47">
        <v>1756</v>
      </c>
      <c r="C1693" s="47" t="s">
        <v>869</v>
      </c>
      <c r="F1693" s="47" t="s">
        <v>1233</v>
      </c>
      <c r="G1693" s="47">
        <v>1</v>
      </c>
      <c r="H1693" s="47" t="s">
        <v>1274</v>
      </c>
      <c r="L1693" s="47" t="s">
        <v>314</v>
      </c>
      <c r="M1693" s="47" t="s">
        <v>1281</v>
      </c>
    </row>
    <row r="1694" spans="1:13" ht="15" customHeight="1">
      <c r="B1694" s="47">
        <v>1757</v>
      </c>
      <c r="C1694" s="47" t="s">
        <v>869</v>
      </c>
      <c r="F1694" s="47" t="s">
        <v>1233</v>
      </c>
      <c r="G1694" s="47">
        <v>1</v>
      </c>
      <c r="H1694" s="47" t="s">
        <v>1274</v>
      </c>
      <c r="L1694" s="47" t="s">
        <v>1276</v>
      </c>
      <c r="M1694" s="47" t="s">
        <v>1279</v>
      </c>
    </row>
    <row r="1695" spans="1:13" ht="15" customHeight="1">
      <c r="B1695" s="47">
        <v>1758</v>
      </c>
      <c r="C1695" s="47" t="s">
        <v>869</v>
      </c>
      <c r="F1695" s="47" t="s">
        <v>1233</v>
      </c>
      <c r="G1695" s="47">
        <v>1</v>
      </c>
      <c r="H1695" s="47" t="s">
        <v>1274</v>
      </c>
      <c r="L1695" s="47" t="s">
        <v>1277</v>
      </c>
      <c r="M1695" s="47" t="s">
        <v>1282</v>
      </c>
    </row>
    <row r="1696" spans="1:13" ht="15" customHeight="1">
      <c r="B1696" s="47">
        <v>1759</v>
      </c>
      <c r="C1696" s="47" t="s">
        <v>869</v>
      </c>
      <c r="F1696" s="47" t="s">
        <v>1233</v>
      </c>
      <c r="G1696" s="47">
        <v>1</v>
      </c>
      <c r="H1696" s="47" t="s">
        <v>1274</v>
      </c>
      <c r="L1696" s="47" t="s">
        <v>314</v>
      </c>
      <c r="M1696" s="47" t="s">
        <v>1281</v>
      </c>
    </row>
    <row r="1697" spans="2:13" ht="15" customHeight="1">
      <c r="B1697" s="47">
        <v>1761</v>
      </c>
      <c r="C1697" s="47" t="s">
        <v>869</v>
      </c>
      <c r="F1697" s="47" t="s">
        <v>1233</v>
      </c>
      <c r="G1697" s="47">
        <v>1</v>
      </c>
      <c r="H1697" s="47" t="s">
        <v>1274</v>
      </c>
      <c r="L1697" s="47" t="s">
        <v>314</v>
      </c>
      <c r="M1697" s="47" t="s">
        <v>1281</v>
      </c>
    </row>
    <row r="1698" spans="2:13" ht="15" customHeight="1">
      <c r="B1698" s="47">
        <v>1762</v>
      </c>
      <c r="C1698" s="47" t="s">
        <v>869</v>
      </c>
      <c r="F1698" s="47" t="s">
        <v>1233</v>
      </c>
      <c r="G1698" s="47">
        <v>1</v>
      </c>
      <c r="H1698" s="47" t="s">
        <v>1274</v>
      </c>
      <c r="L1698" s="47" t="s">
        <v>1276</v>
      </c>
      <c r="M1698" s="47" t="s">
        <v>1279</v>
      </c>
    </row>
    <row r="1699" spans="2:13" ht="15" customHeight="1">
      <c r="B1699" s="47">
        <v>1763</v>
      </c>
      <c r="C1699" s="47" t="s">
        <v>869</v>
      </c>
      <c r="F1699" s="47" t="s">
        <v>1233</v>
      </c>
      <c r="G1699" s="47">
        <v>1</v>
      </c>
      <c r="H1699" s="47" t="s">
        <v>1274</v>
      </c>
      <c r="L1699" s="47" t="s">
        <v>1277</v>
      </c>
      <c r="M1699" s="47" t="s">
        <v>1282</v>
      </c>
    </row>
    <row r="1700" spans="2:13" ht="15" customHeight="1">
      <c r="B1700" s="47">
        <v>1764</v>
      </c>
      <c r="C1700" s="47" t="s">
        <v>869</v>
      </c>
      <c r="F1700" s="47" t="s">
        <v>1233</v>
      </c>
      <c r="G1700" s="47">
        <v>1</v>
      </c>
      <c r="H1700" s="47" t="s">
        <v>1274</v>
      </c>
      <c r="L1700" s="47" t="s">
        <v>314</v>
      </c>
      <c r="M1700" s="47" t="s">
        <v>1281</v>
      </c>
    </row>
    <row r="1701" spans="2:13" ht="15" customHeight="1">
      <c r="B1701" s="47">
        <v>1765</v>
      </c>
      <c r="C1701" s="47" t="s">
        <v>869</v>
      </c>
      <c r="F1701" s="47" t="s">
        <v>1233</v>
      </c>
      <c r="G1701" s="47">
        <v>1</v>
      </c>
      <c r="H1701" s="47" t="s">
        <v>1274</v>
      </c>
      <c r="L1701" s="47" t="s">
        <v>314</v>
      </c>
      <c r="M1701" s="47" t="s">
        <v>1281</v>
      </c>
    </row>
    <row r="1702" spans="2:13" ht="15" customHeight="1">
      <c r="B1702" s="47">
        <v>1767</v>
      </c>
      <c r="C1702" s="47" t="s">
        <v>869</v>
      </c>
      <c r="F1702" s="47" t="s">
        <v>1233</v>
      </c>
      <c r="G1702" s="47">
        <v>1</v>
      </c>
      <c r="H1702" s="47" t="s">
        <v>1274</v>
      </c>
      <c r="L1702" s="47" t="s">
        <v>1276</v>
      </c>
      <c r="M1702" s="47" t="s">
        <v>1279</v>
      </c>
    </row>
    <row r="1703" spans="2:13" ht="15" customHeight="1">
      <c r="B1703" s="47">
        <v>1768</v>
      </c>
      <c r="C1703" s="47" t="s">
        <v>869</v>
      </c>
      <c r="F1703" s="47" t="s">
        <v>1233</v>
      </c>
      <c r="G1703" s="47">
        <v>1</v>
      </c>
      <c r="H1703" s="47" t="s">
        <v>1274</v>
      </c>
      <c r="L1703" s="47" t="s">
        <v>1277</v>
      </c>
      <c r="M1703" s="47" t="s">
        <v>1282</v>
      </c>
    </row>
    <row r="1704" spans="2:13" ht="15" customHeight="1">
      <c r="B1704" s="47">
        <v>1769</v>
      </c>
      <c r="C1704" s="47" t="s">
        <v>869</v>
      </c>
      <c r="F1704" s="47" t="s">
        <v>1233</v>
      </c>
      <c r="G1704" s="47">
        <v>1</v>
      </c>
      <c r="H1704" s="47" t="s">
        <v>1274</v>
      </c>
      <c r="L1704" s="47" t="s">
        <v>314</v>
      </c>
      <c r="M1704" s="47" t="s">
        <v>1281</v>
      </c>
    </row>
    <row r="1705" spans="2:13" ht="15" customHeight="1">
      <c r="B1705" s="47">
        <v>1774</v>
      </c>
      <c r="C1705" s="47" t="s">
        <v>869</v>
      </c>
      <c r="F1705" s="47" t="s">
        <v>1233</v>
      </c>
      <c r="G1705" s="47">
        <v>1</v>
      </c>
      <c r="H1705" s="47" t="s">
        <v>1274</v>
      </c>
      <c r="L1705" s="47" t="s">
        <v>1149</v>
      </c>
      <c r="M1705" s="47" t="s">
        <v>1284</v>
      </c>
    </row>
    <row r="1706" spans="2:13" ht="15" customHeight="1">
      <c r="B1706" s="47">
        <v>1791</v>
      </c>
      <c r="C1706" s="47" t="s">
        <v>854</v>
      </c>
      <c r="F1706" s="47" t="s">
        <v>980</v>
      </c>
      <c r="G1706" s="47">
        <v>1</v>
      </c>
      <c r="H1706" s="47" t="s">
        <v>530</v>
      </c>
      <c r="L1706" s="47" t="s">
        <v>314</v>
      </c>
      <c r="M1706" s="47" t="s">
        <v>1279</v>
      </c>
    </row>
    <row r="1707" spans="2:13" ht="15" customHeight="1">
      <c r="B1707" s="47">
        <v>1791</v>
      </c>
      <c r="C1707" s="47" t="s">
        <v>854</v>
      </c>
      <c r="D1707" s="47" t="s">
        <v>960</v>
      </c>
      <c r="F1707" s="47" t="s">
        <v>968</v>
      </c>
      <c r="G1707" s="47">
        <v>1</v>
      </c>
      <c r="H1707" s="47" t="s">
        <v>62</v>
      </c>
      <c r="L1707" s="47" t="s">
        <v>531</v>
      </c>
      <c r="M1707" s="47" t="s">
        <v>532</v>
      </c>
    </row>
    <row r="1708" spans="2:13" ht="15" customHeight="1">
      <c r="B1708" s="47">
        <v>1792</v>
      </c>
      <c r="C1708" s="47" t="s">
        <v>854</v>
      </c>
      <c r="F1708" s="47" t="s">
        <v>980</v>
      </c>
      <c r="G1708" s="47">
        <v>1</v>
      </c>
      <c r="H1708" s="47" t="s">
        <v>530</v>
      </c>
      <c r="L1708" s="47" t="s">
        <v>314</v>
      </c>
      <c r="M1708" s="47" t="s">
        <v>1279</v>
      </c>
    </row>
    <row r="1709" spans="2:13" ht="15" customHeight="1">
      <c r="B1709" s="47">
        <v>1792</v>
      </c>
      <c r="C1709" s="47" t="s">
        <v>854</v>
      </c>
      <c r="D1709" s="47" t="s">
        <v>960</v>
      </c>
      <c r="F1709" s="47" t="s">
        <v>968</v>
      </c>
      <c r="G1709" s="47">
        <v>1</v>
      </c>
      <c r="H1709" s="47" t="s">
        <v>62</v>
      </c>
      <c r="L1709" s="47" t="s">
        <v>531</v>
      </c>
      <c r="M1709" s="47" t="s">
        <v>532</v>
      </c>
    </row>
    <row r="1710" spans="2:13" ht="15" customHeight="1">
      <c r="B1710" s="47">
        <v>1793</v>
      </c>
      <c r="C1710" s="47" t="s">
        <v>854</v>
      </c>
      <c r="F1710" s="47" t="s">
        <v>980</v>
      </c>
      <c r="G1710" s="47">
        <v>1</v>
      </c>
      <c r="H1710" s="47" t="s">
        <v>530</v>
      </c>
      <c r="L1710" s="47" t="s">
        <v>314</v>
      </c>
      <c r="M1710" s="47" t="s">
        <v>1279</v>
      </c>
    </row>
    <row r="1711" spans="2:13" ht="15" customHeight="1">
      <c r="B1711" s="47">
        <v>1793</v>
      </c>
      <c r="C1711" s="47" t="s">
        <v>854</v>
      </c>
      <c r="D1711" s="47" t="s">
        <v>960</v>
      </c>
      <c r="F1711" s="47" t="s">
        <v>968</v>
      </c>
      <c r="G1711" s="47">
        <v>1</v>
      </c>
      <c r="H1711" s="47" t="s">
        <v>62</v>
      </c>
      <c r="L1711" s="47" t="s">
        <v>531</v>
      </c>
      <c r="M1711" s="47" t="s">
        <v>532</v>
      </c>
    </row>
    <row r="1712" spans="2:13" ht="15" customHeight="1">
      <c r="B1712" s="47">
        <v>1794</v>
      </c>
      <c r="C1712" s="47" t="s">
        <v>854</v>
      </c>
      <c r="F1712" s="47" t="s">
        <v>1235</v>
      </c>
      <c r="G1712" s="47">
        <v>1</v>
      </c>
      <c r="H1712" s="47" t="s">
        <v>530</v>
      </c>
      <c r="L1712" s="47" t="s">
        <v>314</v>
      </c>
      <c r="M1712" s="47" t="s">
        <v>1279</v>
      </c>
    </row>
    <row r="1713" spans="2:13" ht="15" customHeight="1">
      <c r="B1713" s="47">
        <v>1794</v>
      </c>
      <c r="C1713" s="47" t="s">
        <v>854</v>
      </c>
      <c r="D1713" s="47" t="s">
        <v>960</v>
      </c>
      <c r="F1713" s="47" t="s">
        <v>969</v>
      </c>
      <c r="G1713" s="47">
        <v>1</v>
      </c>
      <c r="H1713" s="47" t="s">
        <v>62</v>
      </c>
      <c r="L1713" s="47" t="s">
        <v>531</v>
      </c>
      <c r="M1713" s="47" t="s">
        <v>532</v>
      </c>
    </row>
    <row r="1714" spans="2:13" ht="15" customHeight="1">
      <c r="B1714" s="47">
        <v>1795</v>
      </c>
      <c r="C1714" s="47" t="s">
        <v>854</v>
      </c>
      <c r="F1714" s="47" t="s">
        <v>1235</v>
      </c>
      <c r="G1714" s="47">
        <v>1</v>
      </c>
      <c r="H1714" s="47" t="s">
        <v>530</v>
      </c>
      <c r="L1714" s="47" t="s">
        <v>314</v>
      </c>
      <c r="M1714" s="47" t="s">
        <v>1279</v>
      </c>
    </row>
    <row r="1715" spans="2:13" ht="15" customHeight="1">
      <c r="B1715" s="47">
        <v>1795</v>
      </c>
      <c r="C1715" s="47" t="s">
        <v>854</v>
      </c>
      <c r="D1715" s="47" t="s">
        <v>960</v>
      </c>
      <c r="F1715" s="47" t="s">
        <v>969</v>
      </c>
      <c r="G1715" s="47">
        <v>1</v>
      </c>
      <c r="H1715" s="47" t="s">
        <v>62</v>
      </c>
      <c r="L1715" s="47" t="s">
        <v>531</v>
      </c>
      <c r="M1715" s="47" t="s">
        <v>532</v>
      </c>
    </row>
    <row r="1716" spans="2:13" ht="15" customHeight="1">
      <c r="B1716" s="47">
        <v>1796</v>
      </c>
      <c r="C1716" s="47" t="s">
        <v>854</v>
      </c>
      <c r="F1716" s="47" t="s">
        <v>1235</v>
      </c>
      <c r="G1716" s="47">
        <v>1</v>
      </c>
      <c r="H1716" s="47" t="s">
        <v>530</v>
      </c>
      <c r="L1716" s="47" t="s">
        <v>314</v>
      </c>
      <c r="M1716" s="47" t="s">
        <v>1279</v>
      </c>
    </row>
    <row r="1717" spans="2:13" ht="15" customHeight="1">
      <c r="B1717" s="47">
        <v>1796</v>
      </c>
      <c r="C1717" s="47" t="s">
        <v>854</v>
      </c>
      <c r="D1717" s="47" t="s">
        <v>960</v>
      </c>
      <c r="F1717" s="47" t="s">
        <v>969</v>
      </c>
      <c r="G1717" s="47">
        <v>1</v>
      </c>
      <c r="H1717" s="47" t="s">
        <v>62</v>
      </c>
      <c r="L1717" s="47" t="s">
        <v>531</v>
      </c>
      <c r="M1717" s="47" t="s">
        <v>532</v>
      </c>
    </row>
    <row r="1718" spans="2:13" ht="15" customHeight="1">
      <c r="B1718" s="47">
        <v>1797</v>
      </c>
      <c r="C1718" s="47" t="s">
        <v>854</v>
      </c>
      <c r="F1718" s="47" t="s">
        <v>1235</v>
      </c>
      <c r="G1718" s="47">
        <v>1</v>
      </c>
      <c r="H1718" s="47" t="s">
        <v>530</v>
      </c>
      <c r="L1718" s="47" t="s">
        <v>314</v>
      </c>
      <c r="M1718" s="47" t="s">
        <v>1279</v>
      </c>
    </row>
    <row r="1719" spans="2:13" ht="15" customHeight="1">
      <c r="B1719" s="47">
        <v>1797</v>
      </c>
      <c r="C1719" s="47" t="s">
        <v>854</v>
      </c>
      <c r="D1719" s="47" t="s">
        <v>960</v>
      </c>
      <c r="F1719" s="47" t="s">
        <v>969</v>
      </c>
      <c r="G1719" s="47">
        <v>1</v>
      </c>
      <c r="H1719" s="47" t="s">
        <v>62</v>
      </c>
      <c r="L1719" s="47" t="s">
        <v>531</v>
      </c>
      <c r="M1719" s="47" t="s">
        <v>532</v>
      </c>
    </row>
    <row r="1720" spans="2:13" ht="15" customHeight="1">
      <c r="B1720" s="47">
        <v>1798</v>
      </c>
      <c r="C1720" s="47" t="s">
        <v>854</v>
      </c>
      <c r="F1720" s="47" t="s">
        <v>1235</v>
      </c>
      <c r="G1720" s="47">
        <v>1</v>
      </c>
      <c r="H1720" s="47" t="s">
        <v>530</v>
      </c>
      <c r="L1720" s="47" t="s">
        <v>314</v>
      </c>
      <c r="M1720" s="47" t="s">
        <v>1279</v>
      </c>
    </row>
    <row r="1721" spans="2:13" ht="15" customHeight="1">
      <c r="B1721" s="47">
        <v>1798</v>
      </c>
      <c r="C1721" s="47" t="s">
        <v>854</v>
      </c>
      <c r="D1721" s="47" t="s">
        <v>960</v>
      </c>
      <c r="F1721" s="47" t="s">
        <v>969</v>
      </c>
      <c r="G1721" s="47">
        <v>1</v>
      </c>
      <c r="H1721" s="47" t="s">
        <v>62</v>
      </c>
      <c r="L1721" s="47" t="s">
        <v>531</v>
      </c>
      <c r="M1721" s="47" t="s">
        <v>532</v>
      </c>
    </row>
    <row r="1722" spans="2:13" ht="15" customHeight="1">
      <c r="B1722" s="47">
        <v>1799</v>
      </c>
      <c r="C1722" s="47" t="s">
        <v>854</v>
      </c>
      <c r="F1722" s="47" t="s">
        <v>1235</v>
      </c>
      <c r="G1722" s="47">
        <v>1</v>
      </c>
      <c r="H1722" s="47" t="s">
        <v>530</v>
      </c>
      <c r="L1722" s="47" t="s">
        <v>314</v>
      </c>
      <c r="M1722" s="47" t="s">
        <v>1279</v>
      </c>
    </row>
    <row r="1723" spans="2:13" ht="15" customHeight="1">
      <c r="B1723" s="47">
        <v>1799</v>
      </c>
      <c r="C1723" s="47" t="s">
        <v>854</v>
      </c>
      <c r="D1723" s="47" t="s">
        <v>960</v>
      </c>
      <c r="F1723" s="47" t="s">
        <v>969</v>
      </c>
      <c r="G1723" s="47">
        <v>1</v>
      </c>
      <c r="H1723" s="47" t="s">
        <v>62</v>
      </c>
      <c r="L1723" s="47" t="s">
        <v>531</v>
      </c>
      <c r="M1723" s="47" t="s">
        <v>532</v>
      </c>
    </row>
    <row r="1724" spans="2:13" ht="15" customHeight="1">
      <c r="B1724" s="47">
        <v>1800</v>
      </c>
      <c r="C1724" s="47" t="s">
        <v>854</v>
      </c>
      <c r="F1724" s="47" t="s">
        <v>1234</v>
      </c>
      <c r="G1724" s="47">
        <v>1</v>
      </c>
      <c r="H1724" s="47" t="s">
        <v>530</v>
      </c>
      <c r="L1724" s="47" t="s">
        <v>314</v>
      </c>
      <c r="M1724" s="47" t="s">
        <v>1279</v>
      </c>
    </row>
    <row r="1725" spans="2:13" ht="15" customHeight="1">
      <c r="B1725" s="47">
        <v>1800</v>
      </c>
      <c r="C1725" s="47" t="s">
        <v>854</v>
      </c>
      <c r="D1725" s="47" t="s">
        <v>960</v>
      </c>
      <c r="F1725" s="47" t="s">
        <v>329</v>
      </c>
      <c r="G1725" s="47">
        <v>1</v>
      </c>
      <c r="H1725" s="47" t="s">
        <v>62</v>
      </c>
      <c r="L1725" s="47" t="s">
        <v>531</v>
      </c>
      <c r="M1725" s="47" t="s">
        <v>532</v>
      </c>
    </row>
    <row r="1726" spans="2:13" ht="15" customHeight="1">
      <c r="B1726" s="47">
        <v>1801</v>
      </c>
      <c r="C1726" s="47" t="s">
        <v>854</v>
      </c>
      <c r="F1726" s="47" t="s">
        <v>1234</v>
      </c>
      <c r="G1726" s="47">
        <v>1</v>
      </c>
      <c r="H1726" s="47" t="s">
        <v>530</v>
      </c>
      <c r="L1726" s="47" t="s">
        <v>314</v>
      </c>
      <c r="M1726" s="47" t="s">
        <v>1279</v>
      </c>
    </row>
    <row r="1727" spans="2:13" ht="15" customHeight="1">
      <c r="B1727" s="47">
        <v>1801</v>
      </c>
      <c r="C1727" s="47" t="s">
        <v>854</v>
      </c>
      <c r="D1727" s="47" t="s">
        <v>960</v>
      </c>
      <c r="F1727" s="47" t="s">
        <v>329</v>
      </c>
      <c r="G1727" s="47">
        <v>1</v>
      </c>
      <c r="H1727" s="47" t="s">
        <v>62</v>
      </c>
      <c r="L1727" s="47" t="s">
        <v>531</v>
      </c>
      <c r="M1727" s="47" t="s">
        <v>532</v>
      </c>
    </row>
    <row r="1728" spans="2:13" ht="15" customHeight="1">
      <c r="B1728" s="47">
        <v>1802</v>
      </c>
      <c r="C1728" s="47" t="s">
        <v>854</v>
      </c>
      <c r="F1728" s="47" t="s">
        <v>258</v>
      </c>
      <c r="G1728" s="47">
        <v>1</v>
      </c>
      <c r="H1728" s="47" t="s">
        <v>530</v>
      </c>
      <c r="L1728" s="47" t="s">
        <v>314</v>
      </c>
      <c r="M1728" s="47" t="s">
        <v>1279</v>
      </c>
    </row>
    <row r="1729" spans="2:13" ht="15" customHeight="1">
      <c r="B1729" s="47">
        <v>1802</v>
      </c>
      <c r="C1729" s="47" t="s">
        <v>854</v>
      </c>
      <c r="D1729" s="47" t="s">
        <v>960</v>
      </c>
      <c r="F1729" s="47" t="s">
        <v>258</v>
      </c>
      <c r="G1729" s="47">
        <v>1</v>
      </c>
      <c r="H1729" s="47" t="s">
        <v>62</v>
      </c>
      <c r="L1729" s="47" t="s">
        <v>531</v>
      </c>
      <c r="M1729" s="47" t="s">
        <v>532</v>
      </c>
    </row>
    <row r="1730" spans="2:13" ht="15" customHeight="1">
      <c r="B1730" s="47">
        <v>1803</v>
      </c>
      <c r="C1730" s="47" t="s">
        <v>854</v>
      </c>
      <c r="F1730" s="47" t="s">
        <v>1069</v>
      </c>
      <c r="G1730" s="47">
        <v>1</v>
      </c>
      <c r="H1730" s="47" t="s">
        <v>530</v>
      </c>
      <c r="L1730" s="47" t="s">
        <v>314</v>
      </c>
      <c r="M1730" s="47" t="s">
        <v>1279</v>
      </c>
    </row>
    <row r="1731" spans="2:13" ht="15" customHeight="1">
      <c r="B1731" s="47">
        <v>1803</v>
      </c>
      <c r="C1731" s="47" t="s">
        <v>854</v>
      </c>
      <c r="D1731" s="47" t="s">
        <v>960</v>
      </c>
      <c r="F1731" s="47" t="s">
        <v>961</v>
      </c>
      <c r="G1731" s="47">
        <v>1</v>
      </c>
      <c r="H1731" s="47" t="s">
        <v>62</v>
      </c>
      <c r="L1731" s="47" t="s">
        <v>531</v>
      </c>
      <c r="M1731" s="47" t="s">
        <v>532</v>
      </c>
    </row>
    <row r="1732" spans="2:13" ht="15" customHeight="1">
      <c r="B1732" s="47">
        <v>1804</v>
      </c>
      <c r="C1732" s="47" t="s">
        <v>854</v>
      </c>
      <c r="F1732" s="47" t="s">
        <v>1244</v>
      </c>
      <c r="G1732" s="47">
        <v>1</v>
      </c>
      <c r="H1732" s="47" t="s">
        <v>530</v>
      </c>
      <c r="L1732" s="47" t="s">
        <v>314</v>
      </c>
      <c r="M1732" s="47" t="s">
        <v>1279</v>
      </c>
    </row>
    <row r="1733" spans="2:13" ht="15" customHeight="1">
      <c r="B1733" s="47">
        <v>1804</v>
      </c>
      <c r="C1733" s="47" t="s">
        <v>854</v>
      </c>
      <c r="D1733" s="47" t="s">
        <v>960</v>
      </c>
      <c r="F1733" s="47" t="s">
        <v>1244</v>
      </c>
      <c r="G1733" s="47">
        <v>1</v>
      </c>
      <c r="H1733" s="47" t="s">
        <v>62</v>
      </c>
      <c r="L1733" s="47" t="s">
        <v>531</v>
      </c>
      <c r="M1733" s="47" t="s">
        <v>532</v>
      </c>
    </row>
    <row r="1734" spans="2:13" ht="15" customHeight="1">
      <c r="B1734" s="47">
        <v>1805</v>
      </c>
      <c r="C1734" s="47" t="s">
        <v>854</v>
      </c>
      <c r="F1734" s="47" t="s">
        <v>1244</v>
      </c>
      <c r="G1734" s="47">
        <v>1</v>
      </c>
      <c r="H1734" s="47" t="s">
        <v>530</v>
      </c>
      <c r="L1734" s="47" t="s">
        <v>314</v>
      </c>
      <c r="M1734" s="47" t="s">
        <v>1279</v>
      </c>
    </row>
    <row r="1735" spans="2:13" ht="15" customHeight="1">
      <c r="B1735" s="47">
        <v>1805</v>
      </c>
      <c r="C1735" s="47" t="s">
        <v>854</v>
      </c>
      <c r="D1735" s="47" t="s">
        <v>960</v>
      </c>
      <c r="F1735" s="47" t="s">
        <v>1244</v>
      </c>
      <c r="G1735" s="47">
        <v>1</v>
      </c>
      <c r="H1735" s="47" t="s">
        <v>62</v>
      </c>
      <c r="L1735" s="47" t="s">
        <v>531</v>
      </c>
      <c r="M1735" s="47" t="s">
        <v>532</v>
      </c>
    </row>
    <row r="1736" spans="2:13" ht="15" customHeight="1">
      <c r="B1736" s="47">
        <v>1806</v>
      </c>
      <c r="C1736" s="47" t="s">
        <v>854</v>
      </c>
      <c r="F1736" s="47" t="s">
        <v>1244</v>
      </c>
      <c r="G1736" s="47">
        <v>1</v>
      </c>
      <c r="H1736" s="47" t="s">
        <v>530</v>
      </c>
      <c r="L1736" s="47" t="s">
        <v>314</v>
      </c>
      <c r="M1736" s="47" t="s">
        <v>1279</v>
      </c>
    </row>
    <row r="1737" spans="2:13" ht="15" customHeight="1">
      <c r="B1737" s="47">
        <v>1806</v>
      </c>
      <c r="C1737" s="47" t="s">
        <v>854</v>
      </c>
      <c r="D1737" s="47" t="s">
        <v>960</v>
      </c>
      <c r="F1737" s="47" t="s">
        <v>1244</v>
      </c>
      <c r="G1737" s="47">
        <v>1</v>
      </c>
      <c r="H1737" s="47" t="s">
        <v>62</v>
      </c>
      <c r="L1737" s="47" t="s">
        <v>531</v>
      </c>
      <c r="M1737" s="47" t="s">
        <v>532</v>
      </c>
    </row>
    <row r="1738" spans="2:13" ht="15" customHeight="1">
      <c r="B1738" s="47">
        <v>1807</v>
      </c>
      <c r="C1738" s="47" t="s">
        <v>854</v>
      </c>
      <c r="F1738" s="47" t="s">
        <v>970</v>
      </c>
      <c r="G1738" s="47">
        <v>1</v>
      </c>
      <c r="H1738" s="47" t="s">
        <v>1274</v>
      </c>
      <c r="L1738" s="47" t="s">
        <v>314</v>
      </c>
      <c r="M1738" s="47" t="s">
        <v>1279</v>
      </c>
    </row>
    <row r="1739" spans="2:13" ht="15" customHeight="1">
      <c r="B1739" s="47">
        <v>1807</v>
      </c>
      <c r="C1739" s="47" t="s">
        <v>854</v>
      </c>
      <c r="D1739" s="47" t="s">
        <v>960</v>
      </c>
      <c r="F1739" s="47" t="s">
        <v>970</v>
      </c>
      <c r="G1739" s="47">
        <v>1</v>
      </c>
      <c r="H1739" s="47" t="s">
        <v>47</v>
      </c>
      <c r="L1739" s="47" t="s">
        <v>531</v>
      </c>
      <c r="M1739" s="47" t="s">
        <v>532</v>
      </c>
    </row>
    <row r="1740" spans="2:13" ht="15" customHeight="1">
      <c r="B1740" s="47">
        <v>1808</v>
      </c>
      <c r="C1740" s="47" t="s">
        <v>854</v>
      </c>
      <c r="F1740" s="47" t="s">
        <v>1248</v>
      </c>
      <c r="G1740" s="47">
        <v>1</v>
      </c>
      <c r="H1740" s="47" t="s">
        <v>1274</v>
      </c>
      <c r="L1740" s="47" t="s">
        <v>314</v>
      </c>
      <c r="M1740" s="47" t="s">
        <v>1279</v>
      </c>
    </row>
    <row r="1741" spans="2:13" ht="15" customHeight="1">
      <c r="B1741" s="47">
        <v>1808</v>
      </c>
      <c r="C1741" s="47" t="s">
        <v>854</v>
      </c>
      <c r="D1741" s="47" t="s">
        <v>960</v>
      </c>
      <c r="F1741" s="47" t="s">
        <v>971</v>
      </c>
      <c r="G1741" s="47">
        <v>1</v>
      </c>
      <c r="H1741" s="47" t="s">
        <v>47</v>
      </c>
      <c r="L1741" s="47" t="s">
        <v>531</v>
      </c>
      <c r="M1741" s="47" t="s">
        <v>532</v>
      </c>
    </row>
    <row r="1742" spans="2:13" ht="15" customHeight="1">
      <c r="B1742" s="47">
        <v>1809</v>
      </c>
      <c r="C1742" s="47" t="s">
        <v>854</v>
      </c>
      <c r="F1742" s="47" t="s">
        <v>1247</v>
      </c>
      <c r="G1742" s="47">
        <v>1</v>
      </c>
      <c r="H1742" s="47" t="s">
        <v>1274</v>
      </c>
      <c r="L1742" s="47" t="s">
        <v>314</v>
      </c>
      <c r="M1742" s="47" t="s">
        <v>1279</v>
      </c>
    </row>
    <row r="1743" spans="2:13" ht="15" customHeight="1">
      <c r="B1743" s="47">
        <v>1809</v>
      </c>
      <c r="C1743" s="47" t="s">
        <v>854</v>
      </c>
      <c r="D1743" s="47" t="s">
        <v>960</v>
      </c>
      <c r="F1743" s="47" t="s">
        <v>972</v>
      </c>
      <c r="G1743" s="47">
        <v>1</v>
      </c>
      <c r="H1743" s="47" t="s">
        <v>47</v>
      </c>
      <c r="L1743" s="47" t="s">
        <v>531</v>
      </c>
      <c r="M1743" s="47" t="s">
        <v>532</v>
      </c>
    </row>
    <row r="1744" spans="2:13" ht="15" customHeight="1">
      <c r="B1744" s="47">
        <v>1810</v>
      </c>
      <c r="C1744" s="47" t="s">
        <v>854</v>
      </c>
      <c r="F1744" s="47" t="s">
        <v>1247</v>
      </c>
      <c r="G1744" s="47">
        <v>1</v>
      </c>
      <c r="H1744" s="47" t="s">
        <v>1274</v>
      </c>
      <c r="L1744" s="47" t="s">
        <v>314</v>
      </c>
      <c r="M1744" s="47" t="s">
        <v>1279</v>
      </c>
    </row>
    <row r="1745" spans="2:13" ht="15" customHeight="1">
      <c r="B1745" s="47">
        <v>1810</v>
      </c>
      <c r="C1745" s="47" t="s">
        <v>854</v>
      </c>
      <c r="D1745" s="47" t="s">
        <v>960</v>
      </c>
      <c r="F1745" s="47" t="s">
        <v>972</v>
      </c>
      <c r="G1745" s="47">
        <v>1</v>
      </c>
      <c r="H1745" s="47" t="s">
        <v>47</v>
      </c>
      <c r="L1745" s="47" t="s">
        <v>531</v>
      </c>
      <c r="M1745" s="47" t="s">
        <v>532</v>
      </c>
    </row>
    <row r="1746" spans="2:13" ht="15" customHeight="1">
      <c r="B1746" s="47">
        <v>1811</v>
      </c>
      <c r="C1746" s="47" t="s">
        <v>854</v>
      </c>
      <c r="F1746" s="47" t="s">
        <v>1247</v>
      </c>
      <c r="G1746" s="47">
        <v>1</v>
      </c>
      <c r="H1746" s="47" t="s">
        <v>1274</v>
      </c>
      <c r="L1746" s="47" t="s">
        <v>314</v>
      </c>
      <c r="M1746" s="47" t="s">
        <v>1279</v>
      </c>
    </row>
    <row r="1747" spans="2:13" ht="15" customHeight="1">
      <c r="B1747" s="47">
        <v>1811</v>
      </c>
      <c r="C1747" s="47" t="s">
        <v>854</v>
      </c>
      <c r="D1747" s="47" t="s">
        <v>960</v>
      </c>
      <c r="F1747" s="47" t="s">
        <v>972</v>
      </c>
      <c r="G1747" s="47">
        <v>1</v>
      </c>
      <c r="H1747" s="47" t="s">
        <v>47</v>
      </c>
      <c r="L1747" s="47" t="s">
        <v>531</v>
      </c>
      <c r="M1747" s="47" t="s">
        <v>532</v>
      </c>
    </row>
    <row r="1748" spans="2:13" ht="15" customHeight="1">
      <c r="B1748" s="47">
        <v>1812</v>
      </c>
      <c r="C1748" s="47" t="s">
        <v>854</v>
      </c>
      <c r="F1748" s="47" t="s">
        <v>1247</v>
      </c>
      <c r="G1748" s="47">
        <v>1</v>
      </c>
      <c r="H1748" s="47" t="s">
        <v>1274</v>
      </c>
      <c r="L1748" s="47" t="s">
        <v>314</v>
      </c>
      <c r="M1748" s="47" t="s">
        <v>1279</v>
      </c>
    </row>
    <row r="1749" spans="2:13" ht="15" customHeight="1">
      <c r="B1749" s="47">
        <v>1812</v>
      </c>
      <c r="C1749" s="47" t="s">
        <v>854</v>
      </c>
      <c r="D1749" s="47" t="s">
        <v>960</v>
      </c>
      <c r="F1749" s="47" t="s">
        <v>972</v>
      </c>
      <c r="G1749" s="47">
        <v>1</v>
      </c>
      <c r="H1749" s="47" t="s">
        <v>47</v>
      </c>
      <c r="L1749" s="47" t="s">
        <v>531</v>
      </c>
      <c r="M1749" s="47" t="s">
        <v>532</v>
      </c>
    </row>
    <row r="1750" spans="2:13" ht="15" customHeight="1">
      <c r="B1750" s="47">
        <v>1813</v>
      </c>
      <c r="C1750" s="47" t="s">
        <v>854</v>
      </c>
      <c r="F1750" s="47" t="s">
        <v>1256</v>
      </c>
      <c r="G1750" s="47">
        <v>1</v>
      </c>
      <c r="H1750" s="47" t="s">
        <v>530</v>
      </c>
      <c r="L1750" s="47" t="s">
        <v>314</v>
      </c>
      <c r="M1750" s="47" t="s">
        <v>1279</v>
      </c>
    </row>
    <row r="1751" spans="2:13" ht="15" customHeight="1">
      <c r="B1751" s="47">
        <v>1813</v>
      </c>
      <c r="C1751" s="47" t="s">
        <v>854</v>
      </c>
      <c r="D1751" s="47" t="s">
        <v>960</v>
      </c>
      <c r="F1751" s="47" t="s">
        <v>973</v>
      </c>
      <c r="G1751" s="47">
        <v>1</v>
      </c>
      <c r="H1751" s="47" t="s">
        <v>62</v>
      </c>
      <c r="L1751" s="47" t="s">
        <v>531</v>
      </c>
      <c r="M1751" s="47" t="s">
        <v>532</v>
      </c>
    </row>
    <row r="1752" spans="2:13" ht="15" customHeight="1">
      <c r="B1752" s="47">
        <v>1814</v>
      </c>
      <c r="C1752" s="47" t="s">
        <v>854</v>
      </c>
      <c r="F1752" s="47" t="s">
        <v>1229</v>
      </c>
      <c r="G1752" s="47">
        <v>1</v>
      </c>
      <c r="H1752" s="47" t="s">
        <v>530</v>
      </c>
      <c r="L1752" s="47" t="s">
        <v>314</v>
      </c>
      <c r="M1752" s="47" t="s">
        <v>1279</v>
      </c>
    </row>
    <row r="1753" spans="2:13" ht="15" customHeight="1">
      <c r="B1753" s="47">
        <v>1814</v>
      </c>
      <c r="C1753" s="47" t="s">
        <v>854</v>
      </c>
      <c r="D1753" s="47" t="s">
        <v>960</v>
      </c>
      <c r="F1753" s="47" t="s">
        <v>974</v>
      </c>
      <c r="G1753" s="47">
        <v>1</v>
      </c>
      <c r="H1753" s="47" t="s">
        <v>62</v>
      </c>
      <c r="L1753" s="47" t="s">
        <v>531</v>
      </c>
      <c r="M1753" s="47" t="s">
        <v>532</v>
      </c>
    </row>
    <row r="1754" spans="2:13" ht="15" customHeight="1">
      <c r="B1754" s="47">
        <v>1815</v>
      </c>
      <c r="C1754" s="47" t="s">
        <v>854</v>
      </c>
      <c r="F1754" s="47" t="s">
        <v>1225</v>
      </c>
      <c r="G1754" s="47">
        <v>1</v>
      </c>
      <c r="H1754" s="47" t="s">
        <v>530</v>
      </c>
      <c r="L1754" s="47" t="s">
        <v>314</v>
      </c>
      <c r="M1754" s="47" t="s">
        <v>1279</v>
      </c>
    </row>
    <row r="1755" spans="2:13" ht="15" customHeight="1">
      <c r="B1755" s="47">
        <v>1815</v>
      </c>
      <c r="C1755" s="47" t="s">
        <v>854</v>
      </c>
      <c r="D1755" s="47" t="s">
        <v>960</v>
      </c>
      <c r="F1755" s="47" t="s">
        <v>975</v>
      </c>
      <c r="G1755" s="47">
        <v>1</v>
      </c>
      <c r="H1755" s="47" t="s">
        <v>62</v>
      </c>
      <c r="L1755" s="47" t="s">
        <v>531</v>
      </c>
      <c r="M1755" s="47" t="s">
        <v>532</v>
      </c>
    </row>
    <row r="1756" spans="2:13" ht="15" customHeight="1">
      <c r="B1756" s="47">
        <v>1816</v>
      </c>
      <c r="C1756" s="47" t="s">
        <v>854</v>
      </c>
      <c r="F1756" s="47" t="s">
        <v>1225</v>
      </c>
      <c r="G1756" s="47">
        <v>1</v>
      </c>
      <c r="H1756" s="47" t="s">
        <v>530</v>
      </c>
      <c r="L1756" s="47" t="s">
        <v>314</v>
      </c>
      <c r="M1756" s="47" t="s">
        <v>1279</v>
      </c>
    </row>
    <row r="1757" spans="2:13" ht="15" customHeight="1">
      <c r="B1757" s="47">
        <v>1816</v>
      </c>
      <c r="C1757" s="47" t="s">
        <v>854</v>
      </c>
      <c r="D1757" s="47" t="s">
        <v>960</v>
      </c>
      <c r="F1757" s="47" t="s">
        <v>975</v>
      </c>
      <c r="G1757" s="47">
        <v>1</v>
      </c>
      <c r="H1757" s="47" t="s">
        <v>62</v>
      </c>
      <c r="L1757" s="47" t="s">
        <v>531</v>
      </c>
      <c r="M1757" s="47" t="s">
        <v>532</v>
      </c>
    </row>
    <row r="1758" spans="2:13" ht="15" customHeight="1">
      <c r="B1758" s="47">
        <v>1817</v>
      </c>
      <c r="C1758" s="47" t="s">
        <v>854</v>
      </c>
      <c r="F1758" s="47" t="s">
        <v>1225</v>
      </c>
      <c r="G1758" s="47">
        <v>1</v>
      </c>
      <c r="H1758" s="47" t="s">
        <v>530</v>
      </c>
      <c r="L1758" s="47" t="s">
        <v>314</v>
      </c>
      <c r="M1758" s="47" t="s">
        <v>1279</v>
      </c>
    </row>
    <row r="1759" spans="2:13" ht="15" customHeight="1">
      <c r="B1759" s="47">
        <v>1817</v>
      </c>
      <c r="C1759" s="47" t="s">
        <v>854</v>
      </c>
      <c r="D1759" s="47" t="s">
        <v>960</v>
      </c>
      <c r="F1759" s="47" t="s">
        <v>975</v>
      </c>
      <c r="G1759" s="47">
        <v>1</v>
      </c>
      <c r="H1759" s="47" t="s">
        <v>62</v>
      </c>
      <c r="L1759" s="47" t="s">
        <v>531</v>
      </c>
      <c r="M1759" s="47" t="s">
        <v>532</v>
      </c>
    </row>
    <row r="1760" spans="2:13" ht="15" customHeight="1">
      <c r="B1760" s="47">
        <v>1818</v>
      </c>
      <c r="C1760" s="47" t="s">
        <v>854</v>
      </c>
      <c r="F1760" s="47" t="s">
        <v>1239</v>
      </c>
      <c r="G1760" s="47">
        <v>1</v>
      </c>
      <c r="H1760" s="47" t="s">
        <v>1275</v>
      </c>
      <c r="L1760" s="47" t="s">
        <v>314</v>
      </c>
      <c r="M1760" s="47" t="s">
        <v>1279</v>
      </c>
    </row>
    <row r="1761" spans="2:13" ht="15" customHeight="1">
      <c r="B1761" s="47">
        <v>1818</v>
      </c>
      <c r="C1761" s="47" t="s">
        <v>854</v>
      </c>
      <c r="D1761" s="47" t="s">
        <v>960</v>
      </c>
      <c r="F1761" s="47" t="s">
        <v>976</v>
      </c>
      <c r="G1761" s="47">
        <v>1</v>
      </c>
      <c r="H1761" s="47" t="s">
        <v>62</v>
      </c>
      <c r="L1761" s="47" t="s">
        <v>531</v>
      </c>
      <c r="M1761" s="47" t="s">
        <v>532</v>
      </c>
    </row>
    <row r="1762" spans="2:13" ht="15" customHeight="1">
      <c r="B1762" s="47">
        <v>1819</v>
      </c>
      <c r="C1762" s="47" t="s">
        <v>854</v>
      </c>
      <c r="F1762" s="47" t="s">
        <v>1234</v>
      </c>
      <c r="G1762" s="47">
        <v>1</v>
      </c>
      <c r="H1762" s="47" t="s">
        <v>530</v>
      </c>
      <c r="L1762" s="47" t="s">
        <v>314</v>
      </c>
      <c r="M1762" s="47" t="s">
        <v>1279</v>
      </c>
    </row>
    <row r="1763" spans="2:13" ht="15" customHeight="1">
      <c r="B1763" s="47">
        <v>1819</v>
      </c>
      <c r="C1763" s="47" t="s">
        <v>854</v>
      </c>
      <c r="D1763" s="47" t="s">
        <v>960</v>
      </c>
      <c r="F1763" s="47" t="s">
        <v>313</v>
      </c>
      <c r="G1763" s="47">
        <v>1</v>
      </c>
      <c r="H1763" s="47" t="s">
        <v>62</v>
      </c>
      <c r="L1763" s="47" t="s">
        <v>531</v>
      </c>
      <c r="M1763" s="47" t="s">
        <v>532</v>
      </c>
    </row>
    <row r="1764" spans="2:13" ht="15" customHeight="1">
      <c r="B1764" s="47">
        <v>1820</v>
      </c>
      <c r="C1764" s="47" t="s">
        <v>854</v>
      </c>
      <c r="F1764" s="47" t="s">
        <v>1234</v>
      </c>
      <c r="G1764" s="47">
        <v>1</v>
      </c>
      <c r="H1764" s="47" t="s">
        <v>530</v>
      </c>
      <c r="L1764" s="47" t="s">
        <v>314</v>
      </c>
      <c r="M1764" s="47" t="s">
        <v>1279</v>
      </c>
    </row>
    <row r="1765" spans="2:13" ht="15" customHeight="1">
      <c r="B1765" s="47">
        <v>1820</v>
      </c>
      <c r="C1765" s="47" t="s">
        <v>854</v>
      </c>
      <c r="D1765" s="47" t="s">
        <v>960</v>
      </c>
      <c r="F1765" s="47" t="s">
        <v>313</v>
      </c>
      <c r="G1765" s="47">
        <v>1</v>
      </c>
      <c r="H1765" s="47" t="s">
        <v>62</v>
      </c>
      <c r="L1765" s="47" t="s">
        <v>531</v>
      </c>
      <c r="M1765" s="47" t="s">
        <v>532</v>
      </c>
    </row>
    <row r="1766" spans="2:13" ht="15" customHeight="1">
      <c r="B1766" s="47">
        <v>1822</v>
      </c>
      <c r="C1766" s="47" t="s">
        <v>854</v>
      </c>
      <c r="F1766" s="47" t="s">
        <v>1224</v>
      </c>
      <c r="G1766" s="47">
        <v>1</v>
      </c>
      <c r="H1766" s="47" t="s">
        <v>530</v>
      </c>
      <c r="L1766" s="47" t="s">
        <v>314</v>
      </c>
      <c r="M1766" s="47" t="s">
        <v>1279</v>
      </c>
    </row>
    <row r="1767" spans="2:13" ht="15" customHeight="1">
      <c r="B1767" s="47">
        <v>1822</v>
      </c>
      <c r="C1767" s="47" t="s">
        <v>854</v>
      </c>
      <c r="D1767" s="47" t="s">
        <v>960</v>
      </c>
      <c r="F1767" s="47" t="s">
        <v>977</v>
      </c>
      <c r="G1767" s="47">
        <v>1</v>
      </c>
      <c r="H1767" s="47" t="s">
        <v>62</v>
      </c>
      <c r="L1767" s="47" t="s">
        <v>531</v>
      </c>
      <c r="M1767" s="47" t="s">
        <v>532</v>
      </c>
    </row>
    <row r="1768" spans="2:13" ht="15" customHeight="1">
      <c r="B1768" s="47">
        <v>1823</v>
      </c>
      <c r="C1768" s="47" t="s">
        <v>854</v>
      </c>
      <c r="F1768" s="47" t="s">
        <v>1224</v>
      </c>
      <c r="G1768" s="47">
        <v>1</v>
      </c>
      <c r="H1768" s="47" t="s">
        <v>530</v>
      </c>
      <c r="L1768" s="47" t="s">
        <v>314</v>
      </c>
      <c r="M1768" s="47" t="s">
        <v>1279</v>
      </c>
    </row>
    <row r="1769" spans="2:13" ht="15" customHeight="1">
      <c r="B1769" s="47">
        <v>1823</v>
      </c>
      <c r="C1769" s="47" t="s">
        <v>854</v>
      </c>
      <c r="D1769" s="47" t="s">
        <v>960</v>
      </c>
      <c r="F1769" s="47" t="s">
        <v>977</v>
      </c>
      <c r="G1769" s="47">
        <v>1</v>
      </c>
      <c r="H1769" s="47" t="s">
        <v>62</v>
      </c>
      <c r="L1769" s="47" t="s">
        <v>531</v>
      </c>
      <c r="M1769" s="47" t="s">
        <v>532</v>
      </c>
    </row>
    <row r="1770" spans="2:13" ht="15" customHeight="1">
      <c r="B1770" s="47">
        <v>1824</v>
      </c>
      <c r="C1770" s="47" t="s">
        <v>854</v>
      </c>
      <c r="F1770" s="47" t="s">
        <v>1224</v>
      </c>
      <c r="G1770" s="47">
        <v>1</v>
      </c>
      <c r="H1770" s="47" t="s">
        <v>530</v>
      </c>
      <c r="L1770" s="47" t="s">
        <v>314</v>
      </c>
      <c r="M1770" s="47" t="s">
        <v>1279</v>
      </c>
    </row>
    <row r="1771" spans="2:13" ht="15" customHeight="1">
      <c r="B1771" s="47">
        <v>1824</v>
      </c>
      <c r="C1771" s="47" t="s">
        <v>854</v>
      </c>
      <c r="D1771" s="47" t="s">
        <v>960</v>
      </c>
      <c r="F1771" s="47" t="s">
        <v>977</v>
      </c>
      <c r="G1771" s="47">
        <v>1</v>
      </c>
      <c r="H1771" s="47" t="s">
        <v>62</v>
      </c>
      <c r="L1771" s="47" t="s">
        <v>531</v>
      </c>
      <c r="M1771" s="47" t="s">
        <v>532</v>
      </c>
    </row>
    <row r="1772" spans="2:13" ht="15" customHeight="1">
      <c r="B1772" s="47">
        <v>1825</v>
      </c>
      <c r="C1772" s="47" t="s">
        <v>854</v>
      </c>
      <c r="F1772" s="47" t="s">
        <v>1224</v>
      </c>
      <c r="G1772" s="47">
        <v>1</v>
      </c>
      <c r="H1772" s="47" t="s">
        <v>530</v>
      </c>
      <c r="L1772" s="47" t="s">
        <v>314</v>
      </c>
      <c r="M1772" s="47" t="s">
        <v>1279</v>
      </c>
    </row>
    <row r="1773" spans="2:13" ht="15" customHeight="1">
      <c r="B1773" s="47">
        <v>1825</v>
      </c>
      <c r="C1773" s="47" t="s">
        <v>854</v>
      </c>
      <c r="D1773" s="47" t="s">
        <v>960</v>
      </c>
      <c r="F1773" s="47" t="s">
        <v>977</v>
      </c>
      <c r="G1773" s="47">
        <v>1</v>
      </c>
      <c r="H1773" s="47" t="s">
        <v>62</v>
      </c>
      <c r="L1773" s="47" t="s">
        <v>531</v>
      </c>
      <c r="M1773" s="47" t="s">
        <v>532</v>
      </c>
    </row>
    <row r="1774" spans="2:13" ht="15" customHeight="1">
      <c r="B1774" s="47">
        <v>1826</v>
      </c>
      <c r="C1774" s="47" t="s">
        <v>854</v>
      </c>
      <c r="F1774" s="47" t="s">
        <v>970</v>
      </c>
      <c r="G1774" s="47">
        <v>1</v>
      </c>
      <c r="H1774" s="47" t="s">
        <v>1274</v>
      </c>
      <c r="L1774" s="47" t="s">
        <v>314</v>
      </c>
      <c r="M1774" s="47" t="s">
        <v>1279</v>
      </c>
    </row>
    <row r="1775" spans="2:13" ht="15" customHeight="1">
      <c r="B1775" s="47">
        <v>1826</v>
      </c>
      <c r="C1775" s="47" t="s">
        <v>854</v>
      </c>
      <c r="D1775" s="47" t="s">
        <v>960</v>
      </c>
      <c r="F1775" s="47" t="s">
        <v>970</v>
      </c>
      <c r="G1775" s="47">
        <v>1</v>
      </c>
      <c r="H1775" s="47" t="s">
        <v>62</v>
      </c>
      <c r="L1775" s="47" t="s">
        <v>531</v>
      </c>
      <c r="M1775" s="47" t="s">
        <v>532</v>
      </c>
    </row>
    <row r="1776" spans="2:13" ht="15" customHeight="1">
      <c r="B1776" s="47">
        <v>1827</v>
      </c>
      <c r="C1776" s="47" t="s">
        <v>854</v>
      </c>
      <c r="F1776" s="47" t="s">
        <v>1248</v>
      </c>
      <c r="G1776" s="47">
        <v>1</v>
      </c>
      <c r="H1776" s="47" t="s">
        <v>1274</v>
      </c>
      <c r="L1776" s="47" t="s">
        <v>314</v>
      </c>
      <c r="M1776" s="47" t="s">
        <v>1279</v>
      </c>
    </row>
    <row r="1777" spans="2:13" ht="15" customHeight="1">
      <c r="B1777" s="47">
        <v>1827</v>
      </c>
      <c r="C1777" s="47" t="s">
        <v>854</v>
      </c>
      <c r="D1777" s="47" t="s">
        <v>960</v>
      </c>
      <c r="F1777" s="47" t="s">
        <v>971</v>
      </c>
      <c r="G1777" s="47">
        <v>1</v>
      </c>
      <c r="H1777" s="47" t="s">
        <v>47</v>
      </c>
      <c r="L1777" s="47" t="s">
        <v>531</v>
      </c>
      <c r="M1777" s="47" t="s">
        <v>532</v>
      </c>
    </row>
    <row r="1778" spans="2:13" ht="15" customHeight="1">
      <c r="B1778" s="47">
        <v>1828</v>
      </c>
      <c r="C1778" s="47" t="s">
        <v>854</v>
      </c>
      <c r="F1778" s="47" t="s">
        <v>1248</v>
      </c>
      <c r="G1778" s="47">
        <v>1</v>
      </c>
      <c r="H1778" s="47" t="s">
        <v>1274</v>
      </c>
      <c r="L1778" s="47" t="s">
        <v>314</v>
      </c>
      <c r="M1778" s="47" t="s">
        <v>1279</v>
      </c>
    </row>
    <row r="1779" spans="2:13" ht="15" customHeight="1">
      <c r="B1779" s="47">
        <v>1828</v>
      </c>
      <c r="C1779" s="47" t="s">
        <v>854</v>
      </c>
      <c r="D1779" s="47" t="s">
        <v>960</v>
      </c>
      <c r="F1779" s="47" t="s">
        <v>971</v>
      </c>
      <c r="G1779" s="47">
        <v>1</v>
      </c>
      <c r="H1779" s="47" t="s">
        <v>47</v>
      </c>
      <c r="L1779" s="47" t="s">
        <v>531</v>
      </c>
      <c r="M1779" s="47" t="s">
        <v>532</v>
      </c>
    </row>
    <row r="1780" spans="2:13" ht="15" customHeight="1">
      <c r="B1780" s="47">
        <v>1829</v>
      </c>
      <c r="C1780" s="47" t="s">
        <v>854</v>
      </c>
      <c r="F1780" s="47" t="s">
        <v>1257</v>
      </c>
      <c r="G1780" s="47">
        <v>1</v>
      </c>
      <c r="H1780" s="47" t="s">
        <v>530</v>
      </c>
      <c r="L1780" s="47" t="s">
        <v>314</v>
      </c>
      <c r="M1780" s="47" t="s">
        <v>1279</v>
      </c>
    </row>
    <row r="1781" spans="2:13" ht="15" customHeight="1">
      <c r="B1781" s="47">
        <v>1829</v>
      </c>
      <c r="C1781" s="47" t="s">
        <v>854</v>
      </c>
      <c r="D1781" s="47" t="s">
        <v>960</v>
      </c>
      <c r="F1781" s="47" t="s">
        <v>978</v>
      </c>
      <c r="G1781" s="47">
        <v>1</v>
      </c>
      <c r="H1781" s="47" t="s">
        <v>62</v>
      </c>
      <c r="L1781" s="47" t="s">
        <v>531</v>
      </c>
      <c r="M1781" s="47" t="s">
        <v>532</v>
      </c>
    </row>
    <row r="1782" spans="2:13" ht="15" customHeight="1">
      <c r="B1782" s="47">
        <v>1830</v>
      </c>
      <c r="C1782" s="47" t="s">
        <v>854</v>
      </c>
      <c r="F1782" s="47" t="s">
        <v>1069</v>
      </c>
      <c r="G1782" s="47">
        <v>1</v>
      </c>
      <c r="H1782" s="47" t="s">
        <v>530</v>
      </c>
      <c r="L1782" s="47" t="s">
        <v>314</v>
      </c>
      <c r="M1782" s="47" t="s">
        <v>1279</v>
      </c>
    </row>
    <row r="1783" spans="2:13" ht="15" customHeight="1">
      <c r="B1783" s="47">
        <v>1830</v>
      </c>
      <c r="C1783" s="47" t="s">
        <v>854</v>
      </c>
      <c r="D1783" s="47" t="s">
        <v>960</v>
      </c>
      <c r="F1783" s="47" t="s">
        <v>961</v>
      </c>
      <c r="G1783" s="47">
        <v>1</v>
      </c>
      <c r="H1783" s="47" t="s">
        <v>62</v>
      </c>
      <c r="L1783" s="47" t="s">
        <v>531</v>
      </c>
      <c r="M1783" s="47" t="s">
        <v>532</v>
      </c>
    </row>
    <row r="1784" spans="2:13" ht="15" customHeight="1">
      <c r="B1784" s="47">
        <v>1831</v>
      </c>
      <c r="C1784" s="47" t="s">
        <v>854</v>
      </c>
      <c r="F1784" s="47" t="s">
        <v>1069</v>
      </c>
      <c r="G1784" s="47">
        <v>1</v>
      </c>
      <c r="H1784" s="47" t="s">
        <v>530</v>
      </c>
      <c r="L1784" s="47" t="s">
        <v>314</v>
      </c>
      <c r="M1784" s="47" t="s">
        <v>1279</v>
      </c>
    </row>
    <row r="1785" spans="2:13" ht="15" customHeight="1">
      <c r="B1785" s="47">
        <v>1831</v>
      </c>
      <c r="C1785" s="47" t="s">
        <v>854</v>
      </c>
      <c r="D1785" s="47" t="s">
        <v>960</v>
      </c>
      <c r="F1785" s="47" t="s">
        <v>961</v>
      </c>
      <c r="G1785" s="47">
        <v>1</v>
      </c>
      <c r="H1785" s="47" t="s">
        <v>62</v>
      </c>
      <c r="L1785" s="47" t="s">
        <v>531</v>
      </c>
      <c r="M1785" s="47" t="s">
        <v>532</v>
      </c>
    </row>
    <row r="1786" spans="2:13" ht="15" customHeight="1">
      <c r="B1786" s="47">
        <v>1832</v>
      </c>
      <c r="C1786" s="47" t="s">
        <v>854</v>
      </c>
      <c r="F1786" s="47" t="s">
        <v>1248</v>
      </c>
      <c r="G1786" s="47">
        <v>1</v>
      </c>
      <c r="H1786" s="47" t="s">
        <v>1274</v>
      </c>
      <c r="L1786" s="47" t="s">
        <v>314</v>
      </c>
      <c r="M1786" s="47" t="s">
        <v>1279</v>
      </c>
    </row>
    <row r="1787" spans="2:13" ht="15" customHeight="1">
      <c r="B1787" s="47">
        <v>1832</v>
      </c>
      <c r="C1787" s="47" t="s">
        <v>854</v>
      </c>
      <c r="D1787" s="47" t="s">
        <v>960</v>
      </c>
      <c r="F1787" s="47" t="s">
        <v>971</v>
      </c>
      <c r="G1787" s="47">
        <v>1</v>
      </c>
      <c r="H1787" s="47" t="s">
        <v>47</v>
      </c>
      <c r="L1787" s="47" t="s">
        <v>531</v>
      </c>
      <c r="M1787" s="47" t="s">
        <v>532</v>
      </c>
    </row>
    <row r="1788" spans="2:13" ht="15" customHeight="1">
      <c r="B1788" s="47">
        <v>1833</v>
      </c>
      <c r="C1788" s="47" t="s">
        <v>854</v>
      </c>
      <c r="F1788" s="47" t="s">
        <v>1248</v>
      </c>
      <c r="G1788" s="47">
        <v>1</v>
      </c>
      <c r="H1788" s="47" t="s">
        <v>1274</v>
      </c>
      <c r="L1788" s="47" t="s">
        <v>314</v>
      </c>
      <c r="M1788" s="47" t="s">
        <v>1279</v>
      </c>
    </row>
    <row r="1789" spans="2:13" ht="15" customHeight="1">
      <c r="B1789" s="47">
        <v>1833</v>
      </c>
      <c r="C1789" s="47" t="s">
        <v>854</v>
      </c>
      <c r="D1789" s="47" t="s">
        <v>960</v>
      </c>
      <c r="F1789" s="47" t="s">
        <v>971</v>
      </c>
      <c r="G1789" s="47">
        <v>1</v>
      </c>
      <c r="H1789" s="47" t="s">
        <v>47</v>
      </c>
      <c r="L1789" s="47" t="s">
        <v>531</v>
      </c>
      <c r="M1789" s="47" t="s">
        <v>532</v>
      </c>
    </row>
    <row r="1790" spans="2:13" ht="15" customHeight="1">
      <c r="B1790" s="47">
        <v>1834</v>
      </c>
      <c r="C1790" s="47" t="s">
        <v>854</v>
      </c>
      <c r="F1790" s="47" t="s">
        <v>970</v>
      </c>
      <c r="G1790" s="47">
        <v>1</v>
      </c>
      <c r="H1790" s="47" t="s">
        <v>1274</v>
      </c>
      <c r="L1790" s="47" t="s">
        <v>314</v>
      </c>
      <c r="M1790" s="47" t="s">
        <v>1279</v>
      </c>
    </row>
    <row r="1791" spans="2:13" ht="15" customHeight="1">
      <c r="B1791" s="47">
        <v>1834</v>
      </c>
      <c r="C1791" s="47" t="s">
        <v>854</v>
      </c>
      <c r="D1791" s="47" t="s">
        <v>960</v>
      </c>
      <c r="F1791" s="47" t="s">
        <v>970</v>
      </c>
      <c r="G1791" s="47">
        <v>1</v>
      </c>
      <c r="H1791" s="47" t="s">
        <v>47</v>
      </c>
      <c r="L1791" s="47" t="s">
        <v>531</v>
      </c>
      <c r="M1791" s="47" t="s">
        <v>532</v>
      </c>
    </row>
    <row r="1792" spans="2:13" ht="15" customHeight="1">
      <c r="B1792" s="47">
        <v>1835</v>
      </c>
      <c r="C1792" s="47" t="s">
        <v>854</v>
      </c>
      <c r="F1792" s="47" t="s">
        <v>1224</v>
      </c>
      <c r="G1792" s="47">
        <v>1</v>
      </c>
      <c r="H1792" s="47" t="s">
        <v>530</v>
      </c>
      <c r="L1792" s="47" t="s">
        <v>314</v>
      </c>
      <c r="M1792" s="47" t="s">
        <v>1279</v>
      </c>
    </row>
    <row r="1793" spans="2:31" ht="15" customHeight="1">
      <c r="B1793" s="47">
        <v>1835</v>
      </c>
      <c r="C1793" s="47" t="s">
        <v>854</v>
      </c>
      <c r="D1793" s="47" t="s">
        <v>960</v>
      </c>
      <c r="F1793" s="47" t="s">
        <v>977</v>
      </c>
      <c r="G1793" s="47">
        <v>1</v>
      </c>
      <c r="H1793" s="47" t="s">
        <v>62</v>
      </c>
      <c r="L1793" s="47" t="s">
        <v>531</v>
      </c>
      <c r="M1793" s="47" t="s">
        <v>532</v>
      </c>
    </row>
    <row r="1794" spans="2:31" ht="15" customHeight="1">
      <c r="B1794" s="47">
        <v>1836</v>
      </c>
      <c r="C1794" s="47" t="s">
        <v>854</v>
      </c>
      <c r="F1794" s="47" t="s">
        <v>1230</v>
      </c>
      <c r="G1794" s="47">
        <v>1</v>
      </c>
      <c r="H1794" s="47" t="s">
        <v>530</v>
      </c>
      <c r="L1794" s="47" t="s">
        <v>314</v>
      </c>
      <c r="M1794" s="47" t="s">
        <v>1279</v>
      </c>
    </row>
    <row r="1795" spans="2:31" ht="15" customHeight="1">
      <c r="B1795" s="47">
        <v>1836</v>
      </c>
      <c r="C1795" s="47" t="s">
        <v>854</v>
      </c>
      <c r="D1795" s="47" t="s">
        <v>960</v>
      </c>
      <c r="F1795" s="47" t="s">
        <v>247</v>
      </c>
      <c r="G1795" s="47">
        <v>1</v>
      </c>
      <c r="H1795" s="47" t="s">
        <v>62</v>
      </c>
      <c r="L1795" s="47" t="s">
        <v>531</v>
      </c>
      <c r="M1795" s="47" t="s">
        <v>532</v>
      </c>
      <c r="AC1795" s="48"/>
      <c r="AD1795" s="48"/>
      <c r="AE1795" s="48"/>
    </row>
    <row r="1796" spans="2:31" ht="15" customHeight="1">
      <c r="B1796" s="47">
        <v>1837</v>
      </c>
      <c r="C1796" s="47" t="s">
        <v>854</v>
      </c>
      <c r="F1796" s="47" t="s">
        <v>1256</v>
      </c>
      <c r="G1796" s="47">
        <v>1</v>
      </c>
      <c r="H1796" s="47" t="s">
        <v>530</v>
      </c>
      <c r="L1796" s="47" t="s">
        <v>314</v>
      </c>
      <c r="M1796" s="47" t="s">
        <v>1279</v>
      </c>
    </row>
    <row r="1797" spans="2:31" ht="15" customHeight="1">
      <c r="B1797" s="47">
        <v>1837</v>
      </c>
      <c r="C1797" s="47" t="s">
        <v>854</v>
      </c>
      <c r="D1797" s="47" t="s">
        <v>960</v>
      </c>
      <c r="F1797" s="47" t="s">
        <v>973</v>
      </c>
      <c r="G1797" s="47">
        <v>1</v>
      </c>
      <c r="H1797" s="47" t="s">
        <v>62</v>
      </c>
      <c r="L1797" s="47" t="s">
        <v>531</v>
      </c>
      <c r="M1797" s="47" t="s">
        <v>532</v>
      </c>
    </row>
    <row r="1798" spans="2:31" ht="15" customHeight="1">
      <c r="B1798" s="47">
        <v>1838</v>
      </c>
      <c r="C1798" s="47" t="s">
        <v>854</v>
      </c>
      <c r="F1798" s="47" t="s">
        <v>1256</v>
      </c>
      <c r="G1798" s="47">
        <v>1</v>
      </c>
      <c r="H1798" s="47" t="s">
        <v>530</v>
      </c>
      <c r="L1798" s="47" t="s">
        <v>314</v>
      </c>
      <c r="M1798" s="47" t="s">
        <v>1279</v>
      </c>
    </row>
    <row r="1799" spans="2:31" ht="15" customHeight="1">
      <c r="B1799" s="47">
        <v>1838</v>
      </c>
      <c r="C1799" s="47" t="s">
        <v>854</v>
      </c>
      <c r="D1799" s="47" t="s">
        <v>960</v>
      </c>
      <c r="F1799" s="47" t="s">
        <v>973</v>
      </c>
      <c r="G1799" s="47">
        <v>1</v>
      </c>
      <c r="H1799" s="47" t="s">
        <v>62</v>
      </c>
      <c r="L1799" s="47" t="s">
        <v>531</v>
      </c>
      <c r="M1799" s="47" t="s">
        <v>532</v>
      </c>
    </row>
    <row r="1800" spans="2:31" ht="15" customHeight="1">
      <c r="B1800" s="47">
        <v>1839</v>
      </c>
      <c r="C1800" s="47" t="s">
        <v>854</v>
      </c>
      <c r="F1800" s="47" t="s">
        <v>1244</v>
      </c>
      <c r="G1800" s="47">
        <v>1</v>
      </c>
      <c r="H1800" s="47" t="s">
        <v>530</v>
      </c>
      <c r="L1800" s="47" t="s">
        <v>314</v>
      </c>
      <c r="M1800" s="47" t="s">
        <v>1279</v>
      </c>
    </row>
    <row r="1801" spans="2:31" ht="15" customHeight="1">
      <c r="B1801" s="47">
        <v>1839</v>
      </c>
      <c r="C1801" s="47" t="s">
        <v>854</v>
      </c>
      <c r="D1801" s="47" t="s">
        <v>960</v>
      </c>
      <c r="F1801" s="47" t="s">
        <v>328</v>
      </c>
      <c r="G1801" s="47">
        <v>1</v>
      </c>
      <c r="H1801" s="47" t="s">
        <v>62</v>
      </c>
      <c r="L1801" s="47" t="s">
        <v>531</v>
      </c>
      <c r="M1801" s="47" t="s">
        <v>532</v>
      </c>
    </row>
    <row r="1802" spans="2:31" ht="15" customHeight="1">
      <c r="B1802" s="47">
        <v>1840</v>
      </c>
      <c r="C1802" s="47" t="s">
        <v>854</v>
      </c>
      <c r="F1802" s="47" t="s">
        <v>1225</v>
      </c>
      <c r="G1802" s="47">
        <v>1</v>
      </c>
      <c r="H1802" s="47" t="s">
        <v>530</v>
      </c>
      <c r="L1802" s="47" t="s">
        <v>314</v>
      </c>
      <c r="M1802" s="47" t="s">
        <v>1279</v>
      </c>
    </row>
    <row r="1803" spans="2:31" ht="15" customHeight="1">
      <c r="B1803" s="47">
        <v>1840</v>
      </c>
      <c r="C1803" s="47" t="s">
        <v>854</v>
      </c>
      <c r="D1803" s="47" t="s">
        <v>960</v>
      </c>
      <c r="F1803" s="47" t="s">
        <v>975</v>
      </c>
      <c r="G1803" s="47">
        <v>1</v>
      </c>
      <c r="H1803" s="47" t="s">
        <v>62</v>
      </c>
      <c r="L1803" s="47" t="s">
        <v>531</v>
      </c>
      <c r="M1803" s="47" t="s">
        <v>532</v>
      </c>
    </row>
    <row r="1804" spans="2:31" ht="15" customHeight="1">
      <c r="B1804" s="47">
        <v>1841</v>
      </c>
      <c r="C1804" s="47" t="s">
        <v>854</v>
      </c>
      <c r="F1804" s="47" t="s">
        <v>526</v>
      </c>
      <c r="G1804" s="47">
        <v>1</v>
      </c>
      <c r="H1804" s="47" t="s">
        <v>1274</v>
      </c>
      <c r="L1804" s="47" t="s">
        <v>314</v>
      </c>
      <c r="M1804" s="47" t="s">
        <v>1279</v>
      </c>
    </row>
    <row r="1805" spans="2:31" ht="15" customHeight="1">
      <c r="B1805" s="47">
        <v>1841</v>
      </c>
      <c r="C1805" s="47" t="s">
        <v>854</v>
      </c>
      <c r="D1805" s="47" t="s">
        <v>960</v>
      </c>
      <c r="F1805" s="47" t="s">
        <v>526</v>
      </c>
      <c r="G1805" s="47">
        <v>1</v>
      </c>
      <c r="H1805" s="47" t="s">
        <v>62</v>
      </c>
      <c r="L1805" s="47" t="s">
        <v>531</v>
      </c>
      <c r="M1805" s="47" t="s">
        <v>532</v>
      </c>
    </row>
    <row r="1806" spans="2:31" ht="15" customHeight="1">
      <c r="B1806" s="47">
        <v>1842</v>
      </c>
      <c r="C1806" s="47" t="s">
        <v>854</v>
      </c>
      <c r="F1806" s="47" t="s">
        <v>526</v>
      </c>
      <c r="G1806" s="47">
        <v>1</v>
      </c>
      <c r="H1806" s="47" t="s">
        <v>1274</v>
      </c>
      <c r="L1806" s="47" t="s">
        <v>314</v>
      </c>
      <c r="M1806" s="47" t="s">
        <v>1279</v>
      </c>
    </row>
    <row r="1807" spans="2:31" ht="15" customHeight="1">
      <c r="B1807" s="47">
        <v>1842</v>
      </c>
      <c r="C1807" s="47" t="s">
        <v>854</v>
      </c>
      <c r="D1807" s="47" t="s">
        <v>960</v>
      </c>
      <c r="F1807" s="47" t="s">
        <v>526</v>
      </c>
      <c r="G1807" s="47">
        <v>1</v>
      </c>
      <c r="H1807" s="47" t="s">
        <v>62</v>
      </c>
      <c r="L1807" s="47" t="s">
        <v>531</v>
      </c>
      <c r="M1807" s="47" t="s">
        <v>532</v>
      </c>
    </row>
    <row r="1808" spans="2:31" ht="15" customHeight="1">
      <c r="B1808" s="47">
        <v>1843</v>
      </c>
      <c r="C1808" s="47" t="s">
        <v>854</v>
      </c>
      <c r="F1808" s="47" t="s">
        <v>980</v>
      </c>
      <c r="G1808" s="47">
        <v>1</v>
      </c>
      <c r="H1808" s="47" t="s">
        <v>530</v>
      </c>
      <c r="L1808" s="47" t="s">
        <v>1276</v>
      </c>
      <c r="M1808" s="47" t="s">
        <v>1279</v>
      </c>
    </row>
    <row r="1809" spans="2:13" ht="15" customHeight="1">
      <c r="B1809" s="47">
        <v>1843</v>
      </c>
      <c r="C1809" s="47" t="s">
        <v>854</v>
      </c>
      <c r="D1809" s="47" t="s">
        <v>960</v>
      </c>
      <c r="F1809" s="47" t="s">
        <v>980</v>
      </c>
      <c r="G1809" s="47">
        <v>1</v>
      </c>
      <c r="H1809" s="47" t="s">
        <v>62</v>
      </c>
      <c r="L1809" s="47" t="s">
        <v>981</v>
      </c>
      <c r="M1809" s="47" t="s">
        <v>532</v>
      </c>
    </row>
    <row r="1810" spans="2:13" ht="15" customHeight="1">
      <c r="B1810" s="47">
        <v>1844</v>
      </c>
      <c r="C1810" s="47" t="s">
        <v>854</v>
      </c>
      <c r="F1810" s="47" t="s">
        <v>980</v>
      </c>
      <c r="G1810" s="47">
        <v>1</v>
      </c>
      <c r="H1810" s="47" t="s">
        <v>530</v>
      </c>
      <c r="L1810" s="47" t="s">
        <v>1276</v>
      </c>
      <c r="M1810" s="47" t="s">
        <v>1279</v>
      </c>
    </row>
    <row r="1811" spans="2:13" ht="15" customHeight="1">
      <c r="B1811" s="47">
        <v>1844</v>
      </c>
      <c r="C1811" s="47" t="s">
        <v>854</v>
      </c>
      <c r="D1811" s="47" t="s">
        <v>960</v>
      </c>
      <c r="F1811" s="47" t="s">
        <v>980</v>
      </c>
      <c r="G1811" s="47">
        <v>1</v>
      </c>
      <c r="H1811" s="47" t="s">
        <v>62</v>
      </c>
      <c r="L1811" s="47" t="s">
        <v>981</v>
      </c>
      <c r="M1811" s="47" t="s">
        <v>532</v>
      </c>
    </row>
    <row r="1812" spans="2:13" ht="15" customHeight="1">
      <c r="B1812" s="47">
        <v>1845</v>
      </c>
      <c r="C1812" s="47" t="s">
        <v>854</v>
      </c>
      <c r="F1812" s="47" t="s">
        <v>526</v>
      </c>
      <c r="G1812" s="47">
        <v>1</v>
      </c>
      <c r="H1812" s="47" t="s">
        <v>1274</v>
      </c>
      <c r="L1812" s="47" t="s">
        <v>314</v>
      </c>
      <c r="M1812" s="47" t="s">
        <v>1279</v>
      </c>
    </row>
    <row r="1813" spans="2:13" ht="15" customHeight="1">
      <c r="B1813" s="47">
        <v>1845</v>
      </c>
      <c r="C1813" s="47" t="s">
        <v>854</v>
      </c>
      <c r="D1813" s="47" t="s">
        <v>960</v>
      </c>
      <c r="F1813" s="47" t="s">
        <v>526</v>
      </c>
      <c r="G1813" s="47">
        <v>1</v>
      </c>
      <c r="H1813" s="47" t="s">
        <v>62</v>
      </c>
      <c r="L1813" s="47" t="s">
        <v>531</v>
      </c>
      <c r="M1813" s="47" t="s">
        <v>532</v>
      </c>
    </row>
    <row r="1814" spans="2:13" ht="15" customHeight="1">
      <c r="B1814" s="47">
        <v>1846</v>
      </c>
      <c r="C1814" s="47" t="s">
        <v>854</v>
      </c>
      <c r="F1814" s="47" t="s">
        <v>1235</v>
      </c>
      <c r="G1814" s="47">
        <v>1</v>
      </c>
      <c r="H1814" s="47" t="s">
        <v>530</v>
      </c>
      <c r="L1814" s="47" t="s">
        <v>1276</v>
      </c>
      <c r="M1814" s="47" t="s">
        <v>1279</v>
      </c>
    </row>
    <row r="1815" spans="2:13" ht="15" customHeight="1">
      <c r="B1815" s="47">
        <v>1846</v>
      </c>
      <c r="C1815" s="47" t="s">
        <v>854</v>
      </c>
      <c r="D1815" s="47" t="s">
        <v>960</v>
      </c>
      <c r="F1815" s="47" t="s">
        <v>969</v>
      </c>
      <c r="G1815" s="47">
        <v>1</v>
      </c>
      <c r="H1815" s="47" t="s">
        <v>62</v>
      </c>
      <c r="L1815" s="47" t="s">
        <v>981</v>
      </c>
      <c r="M1815" s="47" t="s">
        <v>532</v>
      </c>
    </row>
    <row r="1816" spans="2:13" ht="15" customHeight="1">
      <c r="B1816" s="47">
        <v>1847</v>
      </c>
      <c r="C1816" s="47" t="s">
        <v>854</v>
      </c>
      <c r="F1816" s="47" t="s">
        <v>1235</v>
      </c>
      <c r="G1816" s="47">
        <v>1</v>
      </c>
      <c r="H1816" s="47" t="s">
        <v>530</v>
      </c>
      <c r="L1816" s="47" t="s">
        <v>1276</v>
      </c>
      <c r="M1816" s="47" t="s">
        <v>1279</v>
      </c>
    </row>
    <row r="1817" spans="2:13" ht="15" customHeight="1">
      <c r="B1817" s="47">
        <v>1847</v>
      </c>
      <c r="C1817" s="47" t="s">
        <v>854</v>
      </c>
      <c r="D1817" s="47" t="s">
        <v>960</v>
      </c>
      <c r="F1817" s="47" t="s">
        <v>969</v>
      </c>
      <c r="G1817" s="47">
        <v>1</v>
      </c>
      <c r="H1817" s="47" t="s">
        <v>62</v>
      </c>
      <c r="L1817" s="47" t="s">
        <v>981</v>
      </c>
      <c r="M1817" s="47" t="s">
        <v>532</v>
      </c>
    </row>
    <row r="1818" spans="2:13" ht="15" customHeight="1">
      <c r="B1818" s="47">
        <v>1848</v>
      </c>
      <c r="C1818" s="47" t="s">
        <v>854</v>
      </c>
      <c r="F1818" s="47" t="s">
        <v>1235</v>
      </c>
      <c r="G1818" s="47">
        <v>1</v>
      </c>
      <c r="H1818" s="47" t="s">
        <v>530</v>
      </c>
      <c r="L1818" s="47" t="s">
        <v>1276</v>
      </c>
      <c r="M1818" s="47" t="s">
        <v>1279</v>
      </c>
    </row>
    <row r="1819" spans="2:13" ht="15" customHeight="1">
      <c r="B1819" s="47">
        <v>1848</v>
      </c>
      <c r="C1819" s="47" t="s">
        <v>854</v>
      </c>
      <c r="D1819" s="47" t="s">
        <v>960</v>
      </c>
      <c r="F1819" s="47" t="s">
        <v>969</v>
      </c>
      <c r="G1819" s="47">
        <v>1</v>
      </c>
      <c r="H1819" s="47" t="s">
        <v>62</v>
      </c>
      <c r="L1819" s="47" t="s">
        <v>981</v>
      </c>
      <c r="M1819" s="47" t="s">
        <v>532</v>
      </c>
    </row>
    <row r="1820" spans="2:13" ht="15" customHeight="1">
      <c r="B1820" s="47">
        <v>1849</v>
      </c>
      <c r="C1820" s="47" t="s">
        <v>854</v>
      </c>
      <c r="F1820" s="47" t="s">
        <v>1235</v>
      </c>
      <c r="G1820" s="47">
        <v>1</v>
      </c>
      <c r="H1820" s="47" t="s">
        <v>530</v>
      </c>
      <c r="L1820" s="47" t="s">
        <v>1276</v>
      </c>
      <c r="M1820" s="47" t="s">
        <v>1279</v>
      </c>
    </row>
    <row r="1821" spans="2:13" ht="15" customHeight="1">
      <c r="B1821" s="47">
        <v>1849</v>
      </c>
      <c r="C1821" s="47" t="s">
        <v>854</v>
      </c>
      <c r="D1821" s="47" t="s">
        <v>960</v>
      </c>
      <c r="F1821" s="47" t="s">
        <v>969</v>
      </c>
      <c r="G1821" s="47">
        <v>1</v>
      </c>
      <c r="H1821" s="47" t="s">
        <v>62</v>
      </c>
      <c r="L1821" s="47" t="s">
        <v>981</v>
      </c>
      <c r="M1821" s="47" t="s">
        <v>532</v>
      </c>
    </row>
    <row r="1822" spans="2:13" ht="15" customHeight="1">
      <c r="B1822" s="47">
        <v>1850</v>
      </c>
      <c r="C1822" s="47" t="s">
        <v>854</v>
      </c>
      <c r="F1822" s="47" t="s">
        <v>1235</v>
      </c>
      <c r="G1822" s="47">
        <v>1</v>
      </c>
      <c r="H1822" s="47" t="s">
        <v>530</v>
      </c>
      <c r="L1822" s="47" t="s">
        <v>1276</v>
      </c>
      <c r="M1822" s="47" t="s">
        <v>1279</v>
      </c>
    </row>
    <row r="1823" spans="2:13" ht="15" customHeight="1">
      <c r="B1823" s="47">
        <v>1850</v>
      </c>
      <c r="C1823" s="47" t="s">
        <v>854</v>
      </c>
      <c r="D1823" s="47" t="s">
        <v>960</v>
      </c>
      <c r="F1823" s="47" t="s">
        <v>969</v>
      </c>
      <c r="G1823" s="47">
        <v>1</v>
      </c>
      <c r="H1823" s="47" t="s">
        <v>62</v>
      </c>
      <c r="L1823" s="47" t="s">
        <v>981</v>
      </c>
      <c r="M1823" s="47" t="s">
        <v>532</v>
      </c>
    </row>
    <row r="1824" spans="2:13" ht="15" customHeight="1">
      <c r="B1824" s="47">
        <v>1851</v>
      </c>
      <c r="C1824" s="47" t="s">
        <v>854</v>
      </c>
      <c r="F1824" s="47" t="s">
        <v>1234</v>
      </c>
      <c r="G1824" s="47">
        <v>1</v>
      </c>
      <c r="H1824" s="47" t="s">
        <v>530</v>
      </c>
      <c r="L1824" s="47" t="s">
        <v>1276</v>
      </c>
      <c r="M1824" s="47" t="s">
        <v>1279</v>
      </c>
    </row>
    <row r="1825" spans="2:13" ht="15" customHeight="1">
      <c r="B1825" s="47">
        <v>1851</v>
      </c>
      <c r="C1825" s="47" t="s">
        <v>854</v>
      </c>
      <c r="D1825" s="47" t="s">
        <v>960</v>
      </c>
      <c r="F1825" s="47" t="s">
        <v>329</v>
      </c>
      <c r="G1825" s="47">
        <v>1</v>
      </c>
      <c r="H1825" s="47" t="s">
        <v>62</v>
      </c>
      <c r="L1825" s="47" t="s">
        <v>981</v>
      </c>
      <c r="M1825" s="47" t="s">
        <v>532</v>
      </c>
    </row>
    <row r="1826" spans="2:13" ht="15" customHeight="1">
      <c r="B1826" s="47">
        <v>1852</v>
      </c>
      <c r="C1826" s="47" t="s">
        <v>854</v>
      </c>
      <c r="F1826" s="47" t="s">
        <v>1234</v>
      </c>
      <c r="G1826" s="47">
        <v>1</v>
      </c>
      <c r="H1826" s="47" t="s">
        <v>530</v>
      </c>
      <c r="L1826" s="47" t="s">
        <v>1276</v>
      </c>
      <c r="M1826" s="47" t="s">
        <v>1279</v>
      </c>
    </row>
    <row r="1827" spans="2:13" ht="15" customHeight="1">
      <c r="B1827" s="47">
        <v>1852</v>
      </c>
      <c r="C1827" s="47" t="s">
        <v>854</v>
      </c>
      <c r="D1827" s="47" t="s">
        <v>960</v>
      </c>
      <c r="F1827" s="47" t="s">
        <v>329</v>
      </c>
      <c r="G1827" s="47">
        <v>1</v>
      </c>
      <c r="H1827" s="47" t="s">
        <v>62</v>
      </c>
      <c r="L1827" s="47" t="s">
        <v>981</v>
      </c>
      <c r="M1827" s="47" t="s">
        <v>532</v>
      </c>
    </row>
    <row r="1828" spans="2:13" ht="15" customHeight="1">
      <c r="B1828" s="47">
        <v>1853</v>
      </c>
      <c r="C1828" s="47" t="s">
        <v>854</v>
      </c>
      <c r="F1828" s="47" t="s">
        <v>258</v>
      </c>
      <c r="G1828" s="47">
        <v>1</v>
      </c>
      <c r="H1828" s="47" t="s">
        <v>530</v>
      </c>
      <c r="L1828" s="47" t="s">
        <v>1276</v>
      </c>
      <c r="M1828" s="47" t="s">
        <v>1279</v>
      </c>
    </row>
    <row r="1829" spans="2:13" ht="15" customHeight="1">
      <c r="B1829" s="47">
        <v>1853</v>
      </c>
      <c r="C1829" s="47" t="s">
        <v>854</v>
      </c>
      <c r="D1829" s="47" t="s">
        <v>960</v>
      </c>
      <c r="F1829" s="47" t="s">
        <v>258</v>
      </c>
      <c r="G1829" s="47">
        <v>1</v>
      </c>
      <c r="H1829" s="47" t="s">
        <v>62</v>
      </c>
      <c r="L1829" s="47" t="s">
        <v>981</v>
      </c>
      <c r="M1829" s="47" t="s">
        <v>532</v>
      </c>
    </row>
    <row r="1830" spans="2:13" ht="15" customHeight="1">
      <c r="B1830" s="47">
        <v>1854</v>
      </c>
      <c r="C1830" s="47" t="s">
        <v>854</v>
      </c>
      <c r="F1830" s="47" t="s">
        <v>1069</v>
      </c>
      <c r="G1830" s="47">
        <v>1</v>
      </c>
      <c r="H1830" s="47" t="s">
        <v>530</v>
      </c>
      <c r="L1830" s="47" t="s">
        <v>1276</v>
      </c>
      <c r="M1830" s="47" t="s">
        <v>1279</v>
      </c>
    </row>
    <row r="1831" spans="2:13" ht="15" customHeight="1">
      <c r="B1831" s="47">
        <v>1854</v>
      </c>
      <c r="C1831" s="47" t="s">
        <v>854</v>
      </c>
      <c r="D1831" s="47" t="s">
        <v>960</v>
      </c>
      <c r="F1831" s="47" t="s">
        <v>961</v>
      </c>
      <c r="G1831" s="47">
        <v>1</v>
      </c>
      <c r="H1831" s="47" t="s">
        <v>62</v>
      </c>
      <c r="L1831" s="47" t="s">
        <v>981</v>
      </c>
      <c r="M1831" s="47" t="s">
        <v>532</v>
      </c>
    </row>
    <row r="1832" spans="2:13" ht="15" customHeight="1">
      <c r="B1832" s="47">
        <v>1855</v>
      </c>
      <c r="C1832" s="47" t="s">
        <v>854</v>
      </c>
      <c r="F1832" s="47" t="s">
        <v>1244</v>
      </c>
      <c r="G1832" s="47">
        <v>1</v>
      </c>
      <c r="H1832" s="47" t="s">
        <v>530</v>
      </c>
      <c r="L1832" s="47" t="s">
        <v>1276</v>
      </c>
      <c r="M1832" s="47" t="s">
        <v>1279</v>
      </c>
    </row>
    <row r="1833" spans="2:13" ht="15" customHeight="1">
      <c r="B1833" s="47">
        <v>1855</v>
      </c>
      <c r="C1833" s="47" t="s">
        <v>854</v>
      </c>
      <c r="D1833" s="47" t="s">
        <v>960</v>
      </c>
      <c r="F1833" s="47" t="s">
        <v>328</v>
      </c>
      <c r="G1833" s="47">
        <v>1</v>
      </c>
      <c r="H1833" s="47" t="s">
        <v>62</v>
      </c>
      <c r="L1833" s="47" t="s">
        <v>981</v>
      </c>
      <c r="M1833" s="47" t="s">
        <v>532</v>
      </c>
    </row>
    <row r="1834" spans="2:13" ht="15" customHeight="1">
      <c r="B1834" s="47">
        <v>1856</v>
      </c>
      <c r="C1834" s="47" t="s">
        <v>854</v>
      </c>
      <c r="F1834" s="47" t="s">
        <v>1244</v>
      </c>
      <c r="G1834" s="47">
        <v>1</v>
      </c>
      <c r="H1834" s="47" t="s">
        <v>530</v>
      </c>
      <c r="L1834" s="47" t="s">
        <v>1276</v>
      </c>
      <c r="M1834" s="47" t="s">
        <v>1279</v>
      </c>
    </row>
    <row r="1835" spans="2:13" ht="15" customHeight="1">
      <c r="B1835" s="47">
        <v>1856</v>
      </c>
      <c r="C1835" s="47" t="s">
        <v>854</v>
      </c>
      <c r="D1835" s="47" t="s">
        <v>960</v>
      </c>
      <c r="F1835" s="47" t="s">
        <v>328</v>
      </c>
      <c r="G1835" s="47">
        <v>1</v>
      </c>
      <c r="H1835" s="47" t="s">
        <v>62</v>
      </c>
      <c r="L1835" s="47" t="s">
        <v>981</v>
      </c>
      <c r="M1835" s="47" t="s">
        <v>532</v>
      </c>
    </row>
    <row r="1836" spans="2:13" ht="15" customHeight="1">
      <c r="B1836" s="47">
        <v>1857</v>
      </c>
      <c r="C1836" s="47" t="s">
        <v>854</v>
      </c>
      <c r="F1836" s="47" t="s">
        <v>1244</v>
      </c>
      <c r="G1836" s="47">
        <v>1</v>
      </c>
      <c r="H1836" s="47" t="s">
        <v>530</v>
      </c>
      <c r="L1836" s="47" t="s">
        <v>1276</v>
      </c>
      <c r="M1836" s="47" t="s">
        <v>1279</v>
      </c>
    </row>
    <row r="1837" spans="2:13" ht="15" customHeight="1">
      <c r="B1837" s="47">
        <v>1857</v>
      </c>
      <c r="C1837" s="47" t="s">
        <v>854</v>
      </c>
      <c r="D1837" s="47" t="s">
        <v>960</v>
      </c>
      <c r="F1837" s="47" t="s">
        <v>328</v>
      </c>
      <c r="G1837" s="47">
        <v>1</v>
      </c>
      <c r="H1837" s="47" t="s">
        <v>62</v>
      </c>
      <c r="L1837" s="47" t="s">
        <v>981</v>
      </c>
      <c r="M1837" s="47" t="s">
        <v>532</v>
      </c>
    </row>
    <row r="1838" spans="2:13" ht="15" customHeight="1">
      <c r="B1838" s="47">
        <v>1858</v>
      </c>
      <c r="C1838" s="47" t="s">
        <v>854</v>
      </c>
      <c r="F1838" s="47" t="s">
        <v>970</v>
      </c>
      <c r="G1838" s="47">
        <v>1</v>
      </c>
      <c r="H1838" s="47" t="s">
        <v>1274</v>
      </c>
      <c r="L1838" s="47" t="s">
        <v>1276</v>
      </c>
      <c r="M1838" s="47" t="s">
        <v>1279</v>
      </c>
    </row>
    <row r="1839" spans="2:13" ht="15" customHeight="1">
      <c r="B1839" s="47">
        <v>1858</v>
      </c>
      <c r="C1839" s="47" t="s">
        <v>854</v>
      </c>
      <c r="D1839" s="47" t="s">
        <v>960</v>
      </c>
      <c r="F1839" s="47" t="s">
        <v>970</v>
      </c>
      <c r="G1839" s="47">
        <v>1</v>
      </c>
      <c r="H1839" s="47" t="s">
        <v>62</v>
      </c>
      <c r="L1839" s="47" t="s">
        <v>981</v>
      </c>
      <c r="M1839" s="47" t="s">
        <v>532</v>
      </c>
    </row>
    <row r="1840" spans="2:13" ht="15" customHeight="1">
      <c r="B1840" s="47">
        <v>1859</v>
      </c>
      <c r="C1840" s="47" t="s">
        <v>854</v>
      </c>
      <c r="F1840" s="47" t="s">
        <v>1248</v>
      </c>
      <c r="G1840" s="47">
        <v>1</v>
      </c>
      <c r="H1840" s="47" t="s">
        <v>1274</v>
      </c>
      <c r="L1840" s="47" t="s">
        <v>1276</v>
      </c>
      <c r="M1840" s="47" t="s">
        <v>1279</v>
      </c>
    </row>
    <row r="1841" spans="2:13" ht="15" customHeight="1">
      <c r="B1841" s="47">
        <v>1859</v>
      </c>
      <c r="C1841" s="47" t="s">
        <v>854</v>
      </c>
      <c r="D1841" s="47" t="s">
        <v>960</v>
      </c>
      <c r="F1841" s="47" t="s">
        <v>971</v>
      </c>
      <c r="G1841" s="47">
        <v>1</v>
      </c>
      <c r="H1841" s="47" t="s">
        <v>47</v>
      </c>
      <c r="L1841" s="47" t="s">
        <v>981</v>
      </c>
      <c r="M1841" s="47" t="s">
        <v>532</v>
      </c>
    </row>
    <row r="1842" spans="2:13" ht="15" customHeight="1">
      <c r="B1842" s="47">
        <v>1860</v>
      </c>
      <c r="C1842" s="47" t="s">
        <v>854</v>
      </c>
      <c r="F1842" s="47" t="s">
        <v>1247</v>
      </c>
      <c r="G1842" s="47">
        <v>1</v>
      </c>
      <c r="H1842" s="47" t="s">
        <v>1274</v>
      </c>
      <c r="L1842" s="47" t="s">
        <v>1276</v>
      </c>
      <c r="M1842" s="47" t="s">
        <v>1279</v>
      </c>
    </row>
    <row r="1843" spans="2:13" ht="15" customHeight="1">
      <c r="B1843" s="47">
        <v>1860</v>
      </c>
      <c r="C1843" s="47" t="s">
        <v>854</v>
      </c>
      <c r="D1843" s="47" t="s">
        <v>960</v>
      </c>
      <c r="F1843" s="47" t="s">
        <v>972</v>
      </c>
      <c r="G1843" s="47">
        <v>1</v>
      </c>
      <c r="H1843" s="47" t="s">
        <v>47</v>
      </c>
      <c r="L1843" s="47" t="s">
        <v>981</v>
      </c>
      <c r="M1843" s="47" t="s">
        <v>532</v>
      </c>
    </row>
    <row r="1844" spans="2:13" ht="15" customHeight="1">
      <c r="B1844" s="47">
        <v>1861</v>
      </c>
      <c r="C1844" s="47" t="s">
        <v>854</v>
      </c>
      <c r="F1844" s="47" t="s">
        <v>1247</v>
      </c>
      <c r="G1844" s="47">
        <v>1</v>
      </c>
      <c r="H1844" s="47" t="s">
        <v>1274</v>
      </c>
      <c r="L1844" s="47" t="s">
        <v>1276</v>
      </c>
      <c r="M1844" s="47" t="s">
        <v>1279</v>
      </c>
    </row>
    <row r="1845" spans="2:13" ht="15" customHeight="1">
      <c r="B1845" s="47">
        <v>1861</v>
      </c>
      <c r="C1845" s="47" t="s">
        <v>854</v>
      </c>
      <c r="D1845" s="47" t="s">
        <v>960</v>
      </c>
      <c r="F1845" s="47" t="s">
        <v>972</v>
      </c>
      <c r="G1845" s="47">
        <v>1</v>
      </c>
      <c r="H1845" s="47" t="s">
        <v>47</v>
      </c>
      <c r="L1845" s="47" t="s">
        <v>981</v>
      </c>
      <c r="M1845" s="47" t="s">
        <v>532</v>
      </c>
    </row>
    <row r="1846" spans="2:13" ht="15" customHeight="1">
      <c r="B1846" s="47">
        <v>1862</v>
      </c>
      <c r="C1846" s="47" t="s">
        <v>854</v>
      </c>
      <c r="F1846" s="47" t="s">
        <v>1247</v>
      </c>
      <c r="G1846" s="47">
        <v>1</v>
      </c>
      <c r="H1846" s="47" t="s">
        <v>1274</v>
      </c>
      <c r="L1846" s="47" t="s">
        <v>1276</v>
      </c>
      <c r="M1846" s="47" t="s">
        <v>1279</v>
      </c>
    </row>
    <row r="1847" spans="2:13" ht="15" customHeight="1">
      <c r="B1847" s="47">
        <v>1862</v>
      </c>
      <c r="C1847" s="47" t="s">
        <v>854</v>
      </c>
      <c r="D1847" s="47" t="s">
        <v>960</v>
      </c>
      <c r="F1847" s="47" t="s">
        <v>972</v>
      </c>
      <c r="G1847" s="47">
        <v>1</v>
      </c>
      <c r="H1847" s="47" t="s">
        <v>47</v>
      </c>
      <c r="L1847" s="47" t="s">
        <v>981</v>
      </c>
      <c r="M1847" s="47" t="s">
        <v>532</v>
      </c>
    </row>
    <row r="1848" spans="2:13" ht="15" customHeight="1">
      <c r="B1848" s="47">
        <v>1863</v>
      </c>
      <c r="C1848" s="47" t="s">
        <v>854</v>
      </c>
      <c r="F1848" s="47" t="s">
        <v>1256</v>
      </c>
      <c r="G1848" s="47">
        <v>1</v>
      </c>
      <c r="H1848" s="47" t="s">
        <v>530</v>
      </c>
      <c r="L1848" s="47" t="s">
        <v>1276</v>
      </c>
      <c r="M1848" s="47" t="s">
        <v>1279</v>
      </c>
    </row>
    <row r="1849" spans="2:13" ht="15" customHeight="1">
      <c r="B1849" s="47">
        <v>1863</v>
      </c>
      <c r="C1849" s="47" t="s">
        <v>854</v>
      </c>
      <c r="D1849" s="47" t="s">
        <v>960</v>
      </c>
      <c r="F1849" s="47" t="s">
        <v>982</v>
      </c>
      <c r="G1849" s="47">
        <v>1</v>
      </c>
      <c r="H1849" s="47" t="s">
        <v>62</v>
      </c>
      <c r="L1849" s="47" t="s">
        <v>981</v>
      </c>
      <c r="M1849" s="47" t="s">
        <v>532</v>
      </c>
    </row>
    <row r="1850" spans="2:13" ht="15" customHeight="1">
      <c r="B1850" s="47">
        <v>1864</v>
      </c>
      <c r="C1850" s="47" t="s">
        <v>854</v>
      </c>
      <c r="F1850" s="47" t="s">
        <v>1229</v>
      </c>
      <c r="G1850" s="47">
        <v>1</v>
      </c>
      <c r="H1850" s="47" t="s">
        <v>530</v>
      </c>
      <c r="L1850" s="47" t="s">
        <v>1276</v>
      </c>
      <c r="M1850" s="47" t="s">
        <v>1279</v>
      </c>
    </row>
    <row r="1851" spans="2:13" ht="15" customHeight="1">
      <c r="B1851" s="47">
        <v>1864</v>
      </c>
      <c r="C1851" s="47" t="s">
        <v>854</v>
      </c>
      <c r="D1851" s="47" t="s">
        <v>960</v>
      </c>
      <c r="F1851" s="47" t="s">
        <v>983</v>
      </c>
      <c r="G1851" s="47">
        <v>1</v>
      </c>
      <c r="H1851" s="47" t="s">
        <v>62</v>
      </c>
      <c r="L1851" s="47" t="s">
        <v>981</v>
      </c>
      <c r="M1851" s="47" t="s">
        <v>532</v>
      </c>
    </row>
    <row r="1852" spans="2:13" ht="15" customHeight="1">
      <c r="B1852" s="47">
        <v>1865</v>
      </c>
      <c r="C1852" s="47" t="s">
        <v>854</v>
      </c>
      <c r="F1852" s="47" t="s">
        <v>1225</v>
      </c>
      <c r="G1852" s="47">
        <v>1</v>
      </c>
      <c r="H1852" s="47" t="s">
        <v>530</v>
      </c>
      <c r="L1852" s="47" t="s">
        <v>1276</v>
      </c>
      <c r="M1852" s="47" t="s">
        <v>1279</v>
      </c>
    </row>
    <row r="1853" spans="2:13" ht="15" customHeight="1">
      <c r="B1853" s="47">
        <v>1865</v>
      </c>
      <c r="C1853" s="47" t="s">
        <v>854</v>
      </c>
      <c r="D1853" s="47" t="s">
        <v>960</v>
      </c>
      <c r="F1853" s="47" t="s">
        <v>975</v>
      </c>
      <c r="G1853" s="47">
        <v>1</v>
      </c>
      <c r="H1853" s="47" t="s">
        <v>62</v>
      </c>
      <c r="L1853" s="47" t="s">
        <v>981</v>
      </c>
      <c r="M1853" s="47" t="s">
        <v>532</v>
      </c>
    </row>
    <row r="1854" spans="2:13" ht="15" customHeight="1">
      <c r="B1854" s="47">
        <v>1866</v>
      </c>
      <c r="C1854" s="47" t="s">
        <v>854</v>
      </c>
      <c r="F1854" s="47" t="s">
        <v>1225</v>
      </c>
      <c r="G1854" s="47">
        <v>1</v>
      </c>
      <c r="H1854" s="47" t="s">
        <v>530</v>
      </c>
      <c r="L1854" s="47" t="s">
        <v>1276</v>
      </c>
      <c r="M1854" s="47" t="s">
        <v>1279</v>
      </c>
    </row>
    <row r="1855" spans="2:13" ht="15" customHeight="1">
      <c r="B1855" s="47">
        <v>1866</v>
      </c>
      <c r="C1855" s="47" t="s">
        <v>854</v>
      </c>
      <c r="D1855" s="47" t="s">
        <v>960</v>
      </c>
      <c r="F1855" s="47" t="s">
        <v>975</v>
      </c>
      <c r="G1855" s="47">
        <v>1</v>
      </c>
      <c r="H1855" s="47" t="s">
        <v>62</v>
      </c>
      <c r="L1855" s="47" t="s">
        <v>981</v>
      </c>
      <c r="M1855" s="47" t="s">
        <v>532</v>
      </c>
    </row>
    <row r="1856" spans="2:13" ht="15" customHeight="1">
      <c r="B1856" s="47">
        <v>1867</v>
      </c>
      <c r="C1856" s="47" t="s">
        <v>854</v>
      </c>
      <c r="F1856" s="47" t="s">
        <v>1225</v>
      </c>
      <c r="G1856" s="47">
        <v>1</v>
      </c>
      <c r="H1856" s="47" t="s">
        <v>530</v>
      </c>
      <c r="L1856" s="47" t="s">
        <v>1276</v>
      </c>
      <c r="M1856" s="47" t="s">
        <v>1279</v>
      </c>
    </row>
    <row r="1857" spans="2:35" ht="15" customHeight="1">
      <c r="B1857" s="47">
        <v>1867</v>
      </c>
      <c r="C1857" s="47" t="s">
        <v>854</v>
      </c>
      <c r="D1857" s="47" t="s">
        <v>960</v>
      </c>
      <c r="F1857" s="47" t="s">
        <v>975</v>
      </c>
      <c r="G1857" s="47">
        <v>1</v>
      </c>
      <c r="H1857" s="47" t="s">
        <v>62</v>
      </c>
      <c r="L1857" s="47" t="s">
        <v>981</v>
      </c>
      <c r="M1857" s="47" t="s">
        <v>532</v>
      </c>
    </row>
    <row r="1858" spans="2:35" ht="15" customHeight="1">
      <c r="B1858" s="47">
        <v>1868</v>
      </c>
      <c r="C1858" s="47" t="s">
        <v>854</v>
      </c>
      <c r="F1858" s="47" t="s">
        <v>1239</v>
      </c>
      <c r="G1858" s="47">
        <v>1</v>
      </c>
      <c r="H1858" s="47" t="s">
        <v>1275</v>
      </c>
      <c r="L1858" s="47" t="s">
        <v>1276</v>
      </c>
      <c r="M1858" s="47" t="s">
        <v>1279</v>
      </c>
    </row>
    <row r="1859" spans="2:35" ht="15" customHeight="1">
      <c r="B1859" s="47">
        <v>1868</v>
      </c>
      <c r="C1859" s="47" t="s">
        <v>854</v>
      </c>
      <c r="D1859" s="47" t="s">
        <v>960</v>
      </c>
      <c r="F1859" s="47" t="s">
        <v>976</v>
      </c>
      <c r="G1859" s="47">
        <v>1</v>
      </c>
      <c r="H1859" s="47" t="s">
        <v>62</v>
      </c>
      <c r="L1859" s="47" t="s">
        <v>981</v>
      </c>
      <c r="M1859" s="47" t="s">
        <v>532</v>
      </c>
    </row>
    <row r="1860" spans="2:35" ht="15" customHeight="1">
      <c r="B1860" s="47">
        <v>1869</v>
      </c>
      <c r="C1860" s="47" t="s">
        <v>854</v>
      </c>
      <c r="F1860" s="47" t="s">
        <v>1234</v>
      </c>
      <c r="G1860" s="47">
        <v>1</v>
      </c>
      <c r="H1860" s="47" t="s">
        <v>530</v>
      </c>
      <c r="L1860" s="47" t="s">
        <v>1276</v>
      </c>
      <c r="M1860" s="47" t="s">
        <v>1279</v>
      </c>
    </row>
    <row r="1861" spans="2:35" ht="15" customHeight="1">
      <c r="B1861" s="47">
        <v>1869</v>
      </c>
      <c r="C1861" s="47" t="s">
        <v>854</v>
      </c>
      <c r="D1861" s="47" t="s">
        <v>960</v>
      </c>
      <c r="F1861" s="47" t="s">
        <v>329</v>
      </c>
      <c r="G1861" s="47">
        <v>1</v>
      </c>
      <c r="H1861" s="47" t="s">
        <v>62</v>
      </c>
      <c r="L1861" s="47" t="s">
        <v>981</v>
      </c>
      <c r="M1861" s="47" t="s">
        <v>532</v>
      </c>
    </row>
    <row r="1862" spans="2:35" ht="15" customHeight="1">
      <c r="B1862" s="47">
        <v>1870</v>
      </c>
      <c r="C1862" s="47" t="s">
        <v>854</v>
      </c>
      <c r="F1862" s="47" t="s">
        <v>1224</v>
      </c>
      <c r="G1862" s="47">
        <v>1</v>
      </c>
      <c r="H1862" s="47" t="s">
        <v>530</v>
      </c>
      <c r="L1862" s="47" t="s">
        <v>1276</v>
      </c>
      <c r="M1862" s="47" t="s">
        <v>1279</v>
      </c>
    </row>
    <row r="1863" spans="2:35" ht="15" customHeight="1">
      <c r="B1863" s="47">
        <v>1870</v>
      </c>
      <c r="C1863" s="47" t="s">
        <v>854</v>
      </c>
      <c r="D1863" s="47" t="s">
        <v>960</v>
      </c>
      <c r="F1863" s="47" t="s">
        <v>977</v>
      </c>
      <c r="G1863" s="47">
        <v>1</v>
      </c>
      <c r="H1863" s="47" t="s">
        <v>62</v>
      </c>
      <c r="L1863" s="47" t="s">
        <v>981</v>
      </c>
      <c r="M1863" s="47" t="s">
        <v>532</v>
      </c>
    </row>
    <row r="1864" spans="2:35" ht="15" customHeight="1">
      <c r="B1864" s="47">
        <v>1871</v>
      </c>
      <c r="C1864" s="47" t="s">
        <v>854</v>
      </c>
      <c r="F1864" s="47" t="s">
        <v>1224</v>
      </c>
      <c r="G1864" s="47">
        <v>1</v>
      </c>
      <c r="H1864" s="47" t="s">
        <v>530</v>
      </c>
      <c r="L1864" s="47" t="s">
        <v>1276</v>
      </c>
      <c r="M1864" s="47" t="s">
        <v>1279</v>
      </c>
    </row>
    <row r="1865" spans="2:35" ht="15" customHeight="1">
      <c r="B1865" s="47">
        <v>1871</v>
      </c>
      <c r="C1865" s="47" t="s">
        <v>854</v>
      </c>
      <c r="D1865" s="47" t="s">
        <v>960</v>
      </c>
      <c r="F1865" s="47" t="s">
        <v>977</v>
      </c>
      <c r="G1865" s="47">
        <v>1</v>
      </c>
      <c r="H1865" s="47" t="s">
        <v>62</v>
      </c>
      <c r="L1865" s="47" t="s">
        <v>981</v>
      </c>
      <c r="M1865" s="47" t="s">
        <v>532</v>
      </c>
    </row>
    <row r="1866" spans="2:35" ht="15" customHeight="1">
      <c r="B1866" s="47">
        <v>1872</v>
      </c>
      <c r="C1866" s="47" t="s">
        <v>854</v>
      </c>
      <c r="F1866" s="47" t="s">
        <v>1224</v>
      </c>
      <c r="G1866" s="47">
        <v>1</v>
      </c>
      <c r="H1866" s="47" t="s">
        <v>530</v>
      </c>
      <c r="L1866" s="47" t="s">
        <v>1276</v>
      </c>
      <c r="M1866" s="47" t="s">
        <v>1279</v>
      </c>
    </row>
    <row r="1867" spans="2:35" ht="15" customHeight="1">
      <c r="B1867" s="47">
        <v>1872</v>
      </c>
      <c r="C1867" s="47" t="s">
        <v>854</v>
      </c>
      <c r="D1867" s="47" t="s">
        <v>960</v>
      </c>
      <c r="F1867" s="47" t="s">
        <v>977</v>
      </c>
      <c r="G1867" s="47">
        <v>1</v>
      </c>
      <c r="H1867" s="47" t="s">
        <v>62</v>
      </c>
      <c r="L1867" s="47" t="s">
        <v>981</v>
      </c>
      <c r="M1867" s="47" t="s">
        <v>532</v>
      </c>
    </row>
    <row r="1868" spans="2:35" ht="15" customHeight="1">
      <c r="B1868" s="47">
        <v>1873</v>
      </c>
      <c r="C1868" s="47" t="s">
        <v>854</v>
      </c>
      <c r="F1868" s="47" t="s">
        <v>970</v>
      </c>
      <c r="G1868" s="47">
        <v>1</v>
      </c>
      <c r="H1868" s="47" t="s">
        <v>1274</v>
      </c>
      <c r="L1868" s="47" t="s">
        <v>1276</v>
      </c>
      <c r="M1868" s="47" t="s">
        <v>1279</v>
      </c>
    </row>
    <row r="1869" spans="2:35" ht="15" customHeight="1">
      <c r="B1869" s="47">
        <v>1873</v>
      </c>
      <c r="C1869" s="47" t="s">
        <v>854</v>
      </c>
      <c r="D1869" s="47" t="s">
        <v>960</v>
      </c>
      <c r="F1869" s="47" t="s">
        <v>970</v>
      </c>
      <c r="G1869" s="47">
        <v>1</v>
      </c>
      <c r="H1869" s="47" t="s">
        <v>62</v>
      </c>
      <c r="L1869" s="47" t="s">
        <v>981</v>
      </c>
      <c r="M1869" s="47" t="s">
        <v>532</v>
      </c>
    </row>
    <row r="1870" spans="2:35" ht="15" customHeight="1">
      <c r="B1870" s="47">
        <v>1874</v>
      </c>
      <c r="C1870" s="47" t="s">
        <v>854</v>
      </c>
      <c r="F1870" s="47" t="s">
        <v>1248</v>
      </c>
      <c r="G1870" s="47">
        <v>1</v>
      </c>
      <c r="H1870" s="47" t="s">
        <v>1274</v>
      </c>
      <c r="L1870" s="47" t="s">
        <v>1276</v>
      </c>
      <c r="M1870" s="47" t="s">
        <v>1279</v>
      </c>
    </row>
    <row r="1871" spans="2:35" ht="15" customHeight="1">
      <c r="B1871" s="47">
        <v>1874</v>
      </c>
      <c r="C1871" s="47" t="s">
        <v>854</v>
      </c>
      <c r="D1871" s="47" t="s">
        <v>960</v>
      </c>
      <c r="F1871" s="47" t="s">
        <v>971</v>
      </c>
      <c r="G1871" s="47">
        <v>1</v>
      </c>
      <c r="H1871" s="47" t="s">
        <v>47</v>
      </c>
      <c r="L1871" s="47" t="s">
        <v>981</v>
      </c>
      <c r="M1871" s="47" t="s">
        <v>532</v>
      </c>
      <c r="AF1871" s="48"/>
      <c r="AG1871" s="48"/>
      <c r="AH1871" s="48"/>
      <c r="AI1871" s="48"/>
    </row>
    <row r="1872" spans="2:35" ht="15" customHeight="1">
      <c r="B1872" s="47">
        <v>1875</v>
      </c>
      <c r="C1872" s="47" t="s">
        <v>854</v>
      </c>
      <c r="F1872" s="47" t="s">
        <v>1248</v>
      </c>
      <c r="G1872" s="47">
        <v>1</v>
      </c>
      <c r="H1872" s="47" t="s">
        <v>1274</v>
      </c>
      <c r="L1872" s="47" t="s">
        <v>1276</v>
      </c>
      <c r="M1872" s="47" t="s">
        <v>1279</v>
      </c>
    </row>
    <row r="1873" spans="2:13" ht="15" customHeight="1">
      <c r="B1873" s="47">
        <v>1875</v>
      </c>
      <c r="C1873" s="47" t="s">
        <v>854</v>
      </c>
      <c r="D1873" s="47" t="s">
        <v>960</v>
      </c>
      <c r="F1873" s="47" t="s">
        <v>971</v>
      </c>
      <c r="G1873" s="47">
        <v>1</v>
      </c>
      <c r="H1873" s="47" t="s">
        <v>47</v>
      </c>
      <c r="L1873" s="47" t="s">
        <v>981</v>
      </c>
      <c r="M1873" s="47" t="s">
        <v>532</v>
      </c>
    </row>
    <row r="1874" spans="2:13" ht="15" customHeight="1">
      <c r="B1874" s="47">
        <v>1876</v>
      </c>
      <c r="C1874" s="47" t="s">
        <v>854</v>
      </c>
      <c r="F1874" s="47" t="s">
        <v>1257</v>
      </c>
      <c r="G1874" s="47">
        <v>1</v>
      </c>
      <c r="H1874" s="47" t="s">
        <v>530</v>
      </c>
      <c r="L1874" s="47" t="s">
        <v>1276</v>
      </c>
      <c r="M1874" s="47" t="s">
        <v>1279</v>
      </c>
    </row>
    <row r="1875" spans="2:13" ht="15" customHeight="1">
      <c r="B1875" s="47">
        <v>1876</v>
      </c>
      <c r="C1875" s="47" t="s">
        <v>854</v>
      </c>
      <c r="D1875" s="47" t="s">
        <v>960</v>
      </c>
      <c r="F1875" s="47" t="s">
        <v>978</v>
      </c>
      <c r="G1875" s="47">
        <v>1</v>
      </c>
      <c r="H1875" s="47" t="s">
        <v>62</v>
      </c>
      <c r="L1875" s="47" t="s">
        <v>981</v>
      </c>
      <c r="M1875" s="47" t="s">
        <v>532</v>
      </c>
    </row>
    <row r="1876" spans="2:13" ht="15" customHeight="1">
      <c r="B1876" s="47">
        <v>1877</v>
      </c>
      <c r="C1876" s="47" t="s">
        <v>854</v>
      </c>
      <c r="F1876" s="47" t="s">
        <v>1069</v>
      </c>
      <c r="G1876" s="47">
        <v>1</v>
      </c>
      <c r="H1876" s="47" t="s">
        <v>530</v>
      </c>
      <c r="L1876" s="47" t="s">
        <v>1276</v>
      </c>
      <c r="M1876" s="47" t="s">
        <v>1279</v>
      </c>
    </row>
    <row r="1877" spans="2:13" ht="15" customHeight="1">
      <c r="B1877" s="47">
        <v>1877</v>
      </c>
      <c r="C1877" s="47" t="s">
        <v>854</v>
      </c>
      <c r="D1877" s="47" t="s">
        <v>960</v>
      </c>
      <c r="F1877" s="47" t="s">
        <v>984</v>
      </c>
      <c r="G1877" s="47">
        <v>1</v>
      </c>
      <c r="H1877" s="47" t="s">
        <v>62</v>
      </c>
      <c r="L1877" s="47" t="s">
        <v>981</v>
      </c>
      <c r="M1877" s="47" t="s">
        <v>532</v>
      </c>
    </row>
    <row r="1878" spans="2:13" ht="15" customHeight="1">
      <c r="B1878" s="47">
        <v>1878</v>
      </c>
      <c r="C1878" s="47" t="s">
        <v>854</v>
      </c>
      <c r="F1878" s="47" t="s">
        <v>1069</v>
      </c>
      <c r="G1878" s="47">
        <v>1</v>
      </c>
      <c r="H1878" s="47" t="s">
        <v>530</v>
      </c>
      <c r="L1878" s="47" t="s">
        <v>1276</v>
      </c>
      <c r="M1878" s="47" t="s">
        <v>1279</v>
      </c>
    </row>
    <row r="1879" spans="2:13" ht="15" customHeight="1">
      <c r="B1879" s="47">
        <v>1878</v>
      </c>
      <c r="C1879" s="47" t="s">
        <v>854</v>
      </c>
      <c r="D1879" s="47" t="s">
        <v>960</v>
      </c>
      <c r="F1879" s="47" t="s">
        <v>984</v>
      </c>
      <c r="G1879" s="47">
        <v>1</v>
      </c>
      <c r="H1879" s="47" t="s">
        <v>62</v>
      </c>
      <c r="L1879" s="47" t="s">
        <v>981</v>
      </c>
      <c r="M1879" s="47" t="s">
        <v>532</v>
      </c>
    </row>
    <row r="1880" spans="2:13" ht="15" customHeight="1">
      <c r="B1880" s="47">
        <v>1879</v>
      </c>
      <c r="C1880" s="47" t="s">
        <v>854</v>
      </c>
      <c r="F1880" s="47" t="s">
        <v>1248</v>
      </c>
      <c r="G1880" s="47">
        <v>1</v>
      </c>
      <c r="H1880" s="47" t="s">
        <v>1274</v>
      </c>
      <c r="L1880" s="47" t="s">
        <v>1276</v>
      </c>
      <c r="M1880" s="47" t="s">
        <v>1279</v>
      </c>
    </row>
    <row r="1881" spans="2:13" ht="15" customHeight="1">
      <c r="B1881" s="47">
        <v>1879</v>
      </c>
      <c r="C1881" s="47" t="s">
        <v>854</v>
      </c>
      <c r="D1881" s="47" t="s">
        <v>960</v>
      </c>
      <c r="F1881" s="47" t="s">
        <v>971</v>
      </c>
      <c r="G1881" s="47">
        <v>1</v>
      </c>
      <c r="H1881" s="47" t="s">
        <v>47</v>
      </c>
      <c r="L1881" s="47" t="s">
        <v>981</v>
      </c>
      <c r="M1881" s="47" t="s">
        <v>532</v>
      </c>
    </row>
    <row r="1882" spans="2:13" ht="15" customHeight="1">
      <c r="B1882" s="47">
        <v>1880</v>
      </c>
      <c r="C1882" s="47" t="s">
        <v>854</v>
      </c>
      <c r="F1882" s="47" t="s">
        <v>1248</v>
      </c>
      <c r="G1882" s="47">
        <v>1</v>
      </c>
      <c r="H1882" s="47" t="s">
        <v>1274</v>
      </c>
      <c r="L1882" s="47" t="s">
        <v>1276</v>
      </c>
      <c r="M1882" s="47" t="s">
        <v>1279</v>
      </c>
    </row>
    <row r="1883" spans="2:13" ht="15" customHeight="1">
      <c r="B1883" s="47">
        <v>1880</v>
      </c>
      <c r="C1883" s="47" t="s">
        <v>854</v>
      </c>
      <c r="D1883" s="47" t="s">
        <v>960</v>
      </c>
      <c r="F1883" s="47" t="s">
        <v>971</v>
      </c>
      <c r="G1883" s="47">
        <v>1</v>
      </c>
      <c r="H1883" s="47" t="s">
        <v>47</v>
      </c>
      <c r="L1883" s="47" t="s">
        <v>981</v>
      </c>
      <c r="M1883" s="47" t="s">
        <v>532</v>
      </c>
    </row>
    <row r="1884" spans="2:13" ht="15" customHeight="1">
      <c r="B1884" s="47">
        <v>1881</v>
      </c>
      <c r="C1884" s="47" t="s">
        <v>854</v>
      </c>
      <c r="F1884" s="47" t="s">
        <v>970</v>
      </c>
      <c r="G1884" s="47">
        <v>1</v>
      </c>
      <c r="H1884" s="47" t="s">
        <v>1274</v>
      </c>
      <c r="L1884" s="47" t="s">
        <v>1276</v>
      </c>
      <c r="M1884" s="47" t="s">
        <v>1279</v>
      </c>
    </row>
    <row r="1885" spans="2:13" ht="15" customHeight="1">
      <c r="B1885" s="47">
        <v>1881</v>
      </c>
      <c r="C1885" s="47" t="s">
        <v>854</v>
      </c>
      <c r="D1885" s="47" t="s">
        <v>960</v>
      </c>
      <c r="F1885" s="47" t="s">
        <v>970</v>
      </c>
      <c r="G1885" s="47">
        <v>1</v>
      </c>
      <c r="H1885" s="47" t="s">
        <v>62</v>
      </c>
      <c r="L1885" s="47" t="s">
        <v>981</v>
      </c>
      <c r="M1885" s="47" t="s">
        <v>532</v>
      </c>
    </row>
    <row r="1886" spans="2:13" ht="15" customHeight="1">
      <c r="B1886" s="47">
        <v>1882</v>
      </c>
      <c r="C1886" s="47" t="s">
        <v>854</v>
      </c>
      <c r="F1886" s="47" t="s">
        <v>1224</v>
      </c>
      <c r="G1886" s="47">
        <v>1</v>
      </c>
      <c r="H1886" s="47" t="s">
        <v>530</v>
      </c>
      <c r="L1886" s="47" t="s">
        <v>1276</v>
      </c>
      <c r="M1886" s="47" t="s">
        <v>1279</v>
      </c>
    </row>
    <row r="1887" spans="2:13" ht="15" customHeight="1">
      <c r="B1887" s="47">
        <v>1882</v>
      </c>
      <c r="C1887" s="47" t="s">
        <v>854</v>
      </c>
      <c r="D1887" s="47" t="s">
        <v>960</v>
      </c>
      <c r="F1887" s="47" t="s">
        <v>977</v>
      </c>
      <c r="G1887" s="47">
        <v>1</v>
      </c>
      <c r="H1887" s="47" t="s">
        <v>62</v>
      </c>
      <c r="L1887" s="47" t="s">
        <v>981</v>
      </c>
      <c r="M1887" s="47" t="s">
        <v>532</v>
      </c>
    </row>
    <row r="1888" spans="2:13" ht="15" customHeight="1">
      <c r="B1888" s="47">
        <v>1883</v>
      </c>
      <c r="C1888" s="47" t="s">
        <v>854</v>
      </c>
      <c r="F1888" s="47" t="s">
        <v>1230</v>
      </c>
      <c r="G1888" s="47">
        <v>1</v>
      </c>
      <c r="H1888" s="47" t="s">
        <v>530</v>
      </c>
      <c r="L1888" s="47" t="s">
        <v>1276</v>
      </c>
      <c r="M1888" s="47" t="s">
        <v>1279</v>
      </c>
    </row>
    <row r="1889" spans="2:13" ht="15" customHeight="1">
      <c r="B1889" s="47">
        <v>1883</v>
      </c>
      <c r="C1889" s="47" t="s">
        <v>854</v>
      </c>
      <c r="D1889" s="47" t="s">
        <v>960</v>
      </c>
      <c r="F1889" s="47" t="s">
        <v>247</v>
      </c>
      <c r="G1889" s="47">
        <v>1</v>
      </c>
      <c r="H1889" s="47" t="s">
        <v>62</v>
      </c>
      <c r="L1889" s="47" t="s">
        <v>981</v>
      </c>
      <c r="M1889" s="47" t="s">
        <v>532</v>
      </c>
    </row>
    <row r="1890" spans="2:13" ht="15" customHeight="1">
      <c r="B1890" s="47">
        <v>1884</v>
      </c>
      <c r="C1890" s="47" t="s">
        <v>854</v>
      </c>
      <c r="F1890" s="47" t="s">
        <v>1256</v>
      </c>
      <c r="G1890" s="47">
        <v>1</v>
      </c>
      <c r="H1890" s="47" t="s">
        <v>530</v>
      </c>
      <c r="L1890" s="47" t="s">
        <v>1276</v>
      </c>
      <c r="M1890" s="47" t="s">
        <v>1279</v>
      </c>
    </row>
    <row r="1891" spans="2:13" ht="15" customHeight="1">
      <c r="B1891" s="47">
        <v>1884</v>
      </c>
      <c r="C1891" s="47" t="s">
        <v>854</v>
      </c>
      <c r="D1891" s="47" t="s">
        <v>960</v>
      </c>
      <c r="F1891" s="47" t="s">
        <v>973</v>
      </c>
      <c r="G1891" s="47">
        <v>1</v>
      </c>
      <c r="H1891" s="47" t="s">
        <v>62</v>
      </c>
      <c r="L1891" s="47" t="s">
        <v>981</v>
      </c>
      <c r="M1891" s="47" t="s">
        <v>532</v>
      </c>
    </row>
    <row r="1892" spans="2:13" ht="15" customHeight="1">
      <c r="B1892" s="47">
        <v>1885</v>
      </c>
      <c r="C1892" s="47" t="s">
        <v>854</v>
      </c>
      <c r="F1892" s="47" t="s">
        <v>1256</v>
      </c>
      <c r="G1892" s="47">
        <v>1</v>
      </c>
      <c r="H1892" s="47" t="s">
        <v>530</v>
      </c>
      <c r="L1892" s="47" t="s">
        <v>1276</v>
      </c>
      <c r="M1892" s="47" t="s">
        <v>1279</v>
      </c>
    </row>
    <row r="1893" spans="2:13" ht="15" customHeight="1">
      <c r="B1893" s="47">
        <v>1885</v>
      </c>
      <c r="C1893" s="47" t="s">
        <v>854</v>
      </c>
      <c r="D1893" s="47" t="s">
        <v>960</v>
      </c>
      <c r="F1893" s="47" t="s">
        <v>973</v>
      </c>
      <c r="G1893" s="47">
        <v>1</v>
      </c>
      <c r="H1893" s="47" t="s">
        <v>62</v>
      </c>
      <c r="L1893" s="47" t="s">
        <v>981</v>
      </c>
      <c r="M1893" s="47" t="s">
        <v>532</v>
      </c>
    </row>
    <row r="1894" spans="2:13" ht="15" customHeight="1">
      <c r="B1894" s="47">
        <v>1886</v>
      </c>
      <c r="C1894" s="47" t="s">
        <v>854</v>
      </c>
      <c r="F1894" s="47" t="s">
        <v>1244</v>
      </c>
      <c r="G1894" s="47">
        <v>1</v>
      </c>
      <c r="H1894" s="47" t="s">
        <v>530</v>
      </c>
      <c r="L1894" s="47" t="s">
        <v>1276</v>
      </c>
      <c r="M1894" s="47" t="s">
        <v>1279</v>
      </c>
    </row>
    <row r="1895" spans="2:13" ht="15" customHeight="1">
      <c r="B1895" s="47">
        <v>1886</v>
      </c>
      <c r="C1895" s="47" t="s">
        <v>854</v>
      </c>
      <c r="D1895" s="47" t="s">
        <v>960</v>
      </c>
      <c r="F1895" s="47" t="s">
        <v>328</v>
      </c>
      <c r="G1895" s="47">
        <v>1</v>
      </c>
      <c r="H1895" s="47" t="s">
        <v>62</v>
      </c>
      <c r="L1895" s="47" t="s">
        <v>981</v>
      </c>
      <c r="M1895" s="47" t="s">
        <v>532</v>
      </c>
    </row>
    <row r="1896" spans="2:13" ht="15" customHeight="1">
      <c r="B1896" s="47">
        <v>1887</v>
      </c>
      <c r="C1896" s="47" t="s">
        <v>854</v>
      </c>
      <c r="F1896" s="47" t="s">
        <v>1225</v>
      </c>
      <c r="G1896" s="47">
        <v>1</v>
      </c>
      <c r="H1896" s="47" t="s">
        <v>530</v>
      </c>
      <c r="L1896" s="47" t="s">
        <v>1276</v>
      </c>
      <c r="M1896" s="47" t="s">
        <v>1279</v>
      </c>
    </row>
    <row r="1897" spans="2:13" ht="15" customHeight="1">
      <c r="B1897" s="47">
        <v>1887</v>
      </c>
      <c r="C1897" s="47" t="s">
        <v>854</v>
      </c>
      <c r="D1897" s="47" t="s">
        <v>960</v>
      </c>
      <c r="F1897" s="47" t="s">
        <v>975</v>
      </c>
      <c r="G1897" s="47">
        <v>1</v>
      </c>
      <c r="H1897" s="47" t="s">
        <v>62</v>
      </c>
      <c r="L1897" s="47" t="s">
        <v>981</v>
      </c>
      <c r="M1897" s="47" t="s">
        <v>532</v>
      </c>
    </row>
    <row r="1898" spans="2:13" ht="15" customHeight="1">
      <c r="B1898" s="47">
        <v>1888</v>
      </c>
      <c r="C1898" s="47" t="s">
        <v>854</v>
      </c>
      <c r="F1898" s="47" t="s">
        <v>526</v>
      </c>
      <c r="G1898" s="47">
        <v>1</v>
      </c>
      <c r="H1898" s="47" t="s">
        <v>1274</v>
      </c>
      <c r="L1898" s="47" t="s">
        <v>1276</v>
      </c>
      <c r="M1898" s="47" t="s">
        <v>1279</v>
      </c>
    </row>
    <row r="1899" spans="2:13" ht="15" customHeight="1">
      <c r="B1899" s="47">
        <v>1888</v>
      </c>
      <c r="C1899" s="47" t="s">
        <v>854</v>
      </c>
      <c r="D1899" s="47" t="s">
        <v>960</v>
      </c>
      <c r="F1899" s="47" t="s">
        <v>526</v>
      </c>
      <c r="G1899" s="47">
        <v>1</v>
      </c>
      <c r="H1899" s="47" t="s">
        <v>62</v>
      </c>
      <c r="L1899" s="47" t="s">
        <v>330</v>
      </c>
      <c r="M1899" s="47" t="s">
        <v>985</v>
      </c>
    </row>
    <row r="1900" spans="2:13" ht="15" customHeight="1">
      <c r="B1900" s="47">
        <v>1889</v>
      </c>
      <c r="C1900" s="47" t="s">
        <v>854</v>
      </c>
      <c r="F1900" s="47" t="s">
        <v>526</v>
      </c>
      <c r="G1900" s="47">
        <v>1</v>
      </c>
      <c r="H1900" s="47" t="s">
        <v>1274</v>
      </c>
      <c r="L1900" s="47" t="s">
        <v>1276</v>
      </c>
      <c r="M1900" s="47" t="s">
        <v>1279</v>
      </c>
    </row>
    <row r="1901" spans="2:13" ht="15" customHeight="1">
      <c r="B1901" s="47">
        <v>1889</v>
      </c>
      <c r="C1901" s="47" t="s">
        <v>854</v>
      </c>
      <c r="D1901" s="47" t="s">
        <v>960</v>
      </c>
      <c r="F1901" s="47" t="s">
        <v>526</v>
      </c>
      <c r="G1901" s="47">
        <v>1</v>
      </c>
      <c r="H1901" s="47" t="s">
        <v>62</v>
      </c>
      <c r="L1901" s="47" t="s">
        <v>330</v>
      </c>
      <c r="M1901" s="47" t="s">
        <v>985</v>
      </c>
    </row>
    <row r="1902" spans="2:13" ht="15" customHeight="1">
      <c r="B1902" s="47">
        <v>1890</v>
      </c>
      <c r="C1902" s="47" t="s">
        <v>854</v>
      </c>
      <c r="F1902" s="47" t="s">
        <v>526</v>
      </c>
      <c r="G1902" s="47">
        <v>1</v>
      </c>
      <c r="H1902" s="47" t="s">
        <v>1274</v>
      </c>
      <c r="L1902" s="47" t="s">
        <v>1276</v>
      </c>
      <c r="M1902" s="47" t="s">
        <v>1279</v>
      </c>
    </row>
    <row r="1903" spans="2:13" ht="15" customHeight="1">
      <c r="B1903" s="47">
        <v>1890</v>
      </c>
      <c r="C1903" s="47" t="s">
        <v>854</v>
      </c>
      <c r="D1903" s="47" t="s">
        <v>960</v>
      </c>
      <c r="F1903" s="47" t="s">
        <v>526</v>
      </c>
      <c r="G1903" s="47">
        <v>1</v>
      </c>
      <c r="H1903" s="47" t="s">
        <v>62</v>
      </c>
      <c r="L1903" s="47" t="s">
        <v>330</v>
      </c>
      <c r="M1903" s="47" t="s">
        <v>985</v>
      </c>
    </row>
    <row r="1904" spans="2:13" ht="15" customHeight="1">
      <c r="B1904" s="47">
        <v>1891</v>
      </c>
      <c r="C1904" s="47" t="s">
        <v>854</v>
      </c>
      <c r="F1904" s="47" t="s">
        <v>980</v>
      </c>
      <c r="G1904" s="47">
        <v>1</v>
      </c>
      <c r="H1904" s="47" t="s">
        <v>530</v>
      </c>
      <c r="L1904" s="47" t="s">
        <v>1277</v>
      </c>
      <c r="M1904" s="47" t="s">
        <v>1280</v>
      </c>
    </row>
    <row r="1905" spans="2:13" ht="15" customHeight="1">
      <c r="B1905" s="47">
        <v>1891</v>
      </c>
      <c r="C1905" s="47" t="s">
        <v>854</v>
      </c>
      <c r="D1905" s="47" t="s">
        <v>960</v>
      </c>
      <c r="F1905" s="47" t="s">
        <v>980</v>
      </c>
      <c r="G1905" s="47">
        <v>1</v>
      </c>
      <c r="H1905" s="47" t="s">
        <v>62</v>
      </c>
      <c r="L1905" s="47" t="s">
        <v>330</v>
      </c>
      <c r="M1905" s="47" t="s">
        <v>985</v>
      </c>
    </row>
    <row r="1906" spans="2:13" ht="15" customHeight="1">
      <c r="B1906" s="47">
        <v>1892</v>
      </c>
      <c r="C1906" s="47" t="s">
        <v>854</v>
      </c>
      <c r="F1906" s="47" t="s">
        <v>980</v>
      </c>
      <c r="G1906" s="47">
        <v>1</v>
      </c>
      <c r="H1906" s="47" t="s">
        <v>530</v>
      </c>
      <c r="L1906" s="47" t="s">
        <v>1277</v>
      </c>
      <c r="M1906" s="47" t="s">
        <v>1280</v>
      </c>
    </row>
    <row r="1907" spans="2:13" ht="15" customHeight="1">
      <c r="B1907" s="47">
        <v>1892</v>
      </c>
      <c r="C1907" s="47" t="s">
        <v>854</v>
      </c>
      <c r="D1907" s="47" t="s">
        <v>960</v>
      </c>
      <c r="F1907" s="47" t="s">
        <v>980</v>
      </c>
      <c r="G1907" s="47">
        <v>1</v>
      </c>
      <c r="H1907" s="47" t="s">
        <v>62</v>
      </c>
      <c r="L1907" s="47" t="s">
        <v>330</v>
      </c>
      <c r="M1907" s="47" t="s">
        <v>985</v>
      </c>
    </row>
    <row r="1908" spans="2:13" ht="15" customHeight="1">
      <c r="B1908" s="47">
        <v>1893</v>
      </c>
      <c r="C1908" s="47" t="s">
        <v>854</v>
      </c>
      <c r="F1908" s="47" t="s">
        <v>980</v>
      </c>
      <c r="G1908" s="47">
        <v>1</v>
      </c>
      <c r="H1908" s="47" t="s">
        <v>530</v>
      </c>
      <c r="L1908" s="47" t="s">
        <v>1277</v>
      </c>
      <c r="M1908" s="47" t="s">
        <v>1280</v>
      </c>
    </row>
    <row r="1909" spans="2:13" ht="15" customHeight="1">
      <c r="B1909" s="47">
        <v>1893</v>
      </c>
      <c r="C1909" s="47" t="s">
        <v>854</v>
      </c>
      <c r="D1909" s="47" t="s">
        <v>960</v>
      </c>
      <c r="F1909" s="47" t="s">
        <v>980</v>
      </c>
      <c r="G1909" s="47">
        <v>1</v>
      </c>
      <c r="H1909" s="47" t="s">
        <v>62</v>
      </c>
      <c r="L1909" s="47" t="s">
        <v>330</v>
      </c>
      <c r="M1909" s="47" t="s">
        <v>985</v>
      </c>
    </row>
    <row r="1910" spans="2:13" ht="15" customHeight="1">
      <c r="B1910" s="47">
        <v>1894</v>
      </c>
      <c r="C1910" s="47" t="s">
        <v>854</v>
      </c>
      <c r="F1910" s="47" t="s">
        <v>1234</v>
      </c>
      <c r="G1910" s="47">
        <v>1</v>
      </c>
      <c r="H1910" s="47" t="s">
        <v>530</v>
      </c>
      <c r="L1910" s="47" t="s">
        <v>1277</v>
      </c>
      <c r="M1910" s="47" t="s">
        <v>1280</v>
      </c>
    </row>
    <row r="1911" spans="2:13" ht="15" customHeight="1">
      <c r="B1911" s="47">
        <v>1894</v>
      </c>
      <c r="C1911" s="47" t="s">
        <v>854</v>
      </c>
      <c r="D1911" s="47" t="s">
        <v>960</v>
      </c>
      <c r="F1911" s="47" t="s">
        <v>329</v>
      </c>
      <c r="G1911" s="47">
        <v>1</v>
      </c>
      <c r="H1911" s="47" t="s">
        <v>62</v>
      </c>
      <c r="L1911" s="47" t="s">
        <v>330</v>
      </c>
      <c r="M1911" s="47" t="s">
        <v>985</v>
      </c>
    </row>
    <row r="1912" spans="2:13" ht="15" customHeight="1">
      <c r="B1912" s="47">
        <v>1895</v>
      </c>
      <c r="C1912" s="47" t="s">
        <v>854</v>
      </c>
      <c r="F1912" s="47" t="s">
        <v>1234</v>
      </c>
      <c r="G1912" s="47">
        <v>1</v>
      </c>
      <c r="H1912" s="47" t="s">
        <v>530</v>
      </c>
      <c r="L1912" s="47" t="s">
        <v>1277</v>
      </c>
      <c r="M1912" s="47" t="s">
        <v>1280</v>
      </c>
    </row>
    <row r="1913" spans="2:13" ht="15" customHeight="1">
      <c r="B1913" s="47">
        <v>1895</v>
      </c>
      <c r="C1913" s="47" t="s">
        <v>854</v>
      </c>
      <c r="D1913" s="47" t="s">
        <v>960</v>
      </c>
      <c r="F1913" s="47" t="s">
        <v>329</v>
      </c>
      <c r="G1913" s="47">
        <v>1</v>
      </c>
      <c r="H1913" s="47" t="s">
        <v>62</v>
      </c>
      <c r="L1913" s="47" t="s">
        <v>330</v>
      </c>
      <c r="M1913" s="47" t="s">
        <v>985</v>
      </c>
    </row>
    <row r="1914" spans="2:13" ht="15" customHeight="1">
      <c r="B1914" s="47">
        <v>1896</v>
      </c>
      <c r="C1914" s="47" t="s">
        <v>854</v>
      </c>
      <c r="F1914" s="47" t="s">
        <v>1069</v>
      </c>
      <c r="G1914" s="47">
        <v>1</v>
      </c>
      <c r="H1914" s="47" t="s">
        <v>530</v>
      </c>
      <c r="L1914" s="47" t="s">
        <v>1277</v>
      </c>
      <c r="M1914" s="47" t="s">
        <v>1280</v>
      </c>
    </row>
    <row r="1915" spans="2:13" ht="15" customHeight="1">
      <c r="B1915" s="47">
        <v>1896</v>
      </c>
      <c r="C1915" s="47" t="s">
        <v>854</v>
      </c>
      <c r="D1915" s="47" t="s">
        <v>960</v>
      </c>
      <c r="F1915" s="47" t="s">
        <v>961</v>
      </c>
      <c r="G1915" s="47">
        <v>1</v>
      </c>
      <c r="H1915" s="47" t="s">
        <v>62</v>
      </c>
      <c r="L1915" s="47" t="s">
        <v>330</v>
      </c>
      <c r="M1915" s="47" t="s">
        <v>985</v>
      </c>
    </row>
    <row r="1916" spans="2:13" ht="15" customHeight="1">
      <c r="B1916" s="47">
        <v>1897</v>
      </c>
      <c r="C1916" s="47" t="s">
        <v>854</v>
      </c>
      <c r="F1916" s="47" t="s">
        <v>970</v>
      </c>
      <c r="G1916" s="47">
        <v>1</v>
      </c>
      <c r="H1916" s="47" t="s">
        <v>1274</v>
      </c>
      <c r="L1916" s="47" t="s">
        <v>1277</v>
      </c>
      <c r="M1916" s="47" t="s">
        <v>1280</v>
      </c>
    </row>
    <row r="1917" spans="2:13" ht="15" customHeight="1">
      <c r="B1917" s="47">
        <v>1897</v>
      </c>
      <c r="C1917" s="47" t="s">
        <v>854</v>
      </c>
      <c r="D1917" s="47" t="s">
        <v>960</v>
      </c>
      <c r="F1917" s="47" t="s">
        <v>970</v>
      </c>
      <c r="G1917" s="47">
        <v>1</v>
      </c>
      <c r="H1917" s="47" t="s">
        <v>62</v>
      </c>
      <c r="L1917" s="47" t="s">
        <v>330</v>
      </c>
      <c r="M1917" s="47" t="s">
        <v>985</v>
      </c>
    </row>
    <row r="1918" spans="2:13" ht="15" customHeight="1">
      <c r="B1918" s="47">
        <v>1898</v>
      </c>
      <c r="C1918" s="47" t="s">
        <v>854</v>
      </c>
      <c r="F1918" s="47" t="s">
        <v>1248</v>
      </c>
      <c r="G1918" s="47">
        <v>1</v>
      </c>
      <c r="H1918" s="47" t="s">
        <v>1274</v>
      </c>
      <c r="L1918" s="47" t="s">
        <v>1277</v>
      </c>
      <c r="M1918" s="47" t="s">
        <v>1280</v>
      </c>
    </row>
    <row r="1919" spans="2:13" ht="15" customHeight="1">
      <c r="B1919" s="47">
        <v>1898</v>
      </c>
      <c r="C1919" s="47" t="s">
        <v>854</v>
      </c>
      <c r="D1919" s="47" t="s">
        <v>960</v>
      </c>
      <c r="F1919" s="47" t="s">
        <v>971</v>
      </c>
      <c r="G1919" s="47">
        <v>1</v>
      </c>
      <c r="H1919" s="47" t="s">
        <v>47</v>
      </c>
      <c r="L1919" s="47" t="s">
        <v>330</v>
      </c>
      <c r="M1919" s="47" t="s">
        <v>985</v>
      </c>
    </row>
    <row r="1920" spans="2:13" ht="15" customHeight="1">
      <c r="B1920" s="47">
        <v>1899</v>
      </c>
      <c r="C1920" s="47" t="s">
        <v>854</v>
      </c>
      <c r="F1920" s="47" t="s">
        <v>1247</v>
      </c>
      <c r="G1920" s="47">
        <v>1</v>
      </c>
      <c r="H1920" s="47" t="s">
        <v>1274</v>
      </c>
      <c r="L1920" s="47" t="s">
        <v>1277</v>
      </c>
      <c r="M1920" s="47" t="s">
        <v>1280</v>
      </c>
    </row>
    <row r="1921" spans="2:13" ht="15" customHeight="1">
      <c r="B1921" s="47">
        <v>1899</v>
      </c>
      <c r="C1921" s="47" t="s">
        <v>854</v>
      </c>
      <c r="D1921" s="47" t="s">
        <v>960</v>
      </c>
      <c r="F1921" s="47" t="s">
        <v>972</v>
      </c>
      <c r="G1921" s="47">
        <v>1</v>
      </c>
      <c r="H1921" s="47" t="s">
        <v>47</v>
      </c>
      <c r="L1921" s="47" t="s">
        <v>330</v>
      </c>
      <c r="M1921" s="47" t="s">
        <v>985</v>
      </c>
    </row>
    <row r="1922" spans="2:13" ht="15" customHeight="1">
      <c r="B1922" s="47">
        <v>1900</v>
      </c>
      <c r="C1922" s="47" t="s">
        <v>854</v>
      </c>
      <c r="F1922" s="47" t="s">
        <v>1247</v>
      </c>
      <c r="G1922" s="47">
        <v>1</v>
      </c>
      <c r="H1922" s="47" t="s">
        <v>1274</v>
      </c>
      <c r="L1922" s="47" t="s">
        <v>1277</v>
      </c>
      <c r="M1922" s="47" t="s">
        <v>1280</v>
      </c>
    </row>
    <row r="1923" spans="2:13" ht="15" customHeight="1">
      <c r="B1923" s="47">
        <v>1900</v>
      </c>
      <c r="C1923" s="47" t="s">
        <v>854</v>
      </c>
      <c r="D1923" s="47" t="s">
        <v>960</v>
      </c>
      <c r="F1923" s="47" t="s">
        <v>972</v>
      </c>
      <c r="G1923" s="47">
        <v>1</v>
      </c>
      <c r="H1923" s="47" t="s">
        <v>47</v>
      </c>
      <c r="L1923" s="47" t="s">
        <v>330</v>
      </c>
      <c r="M1923" s="47" t="s">
        <v>985</v>
      </c>
    </row>
    <row r="1924" spans="2:13" ht="15" customHeight="1">
      <c r="B1924" s="47">
        <v>1901</v>
      </c>
      <c r="C1924" s="47" t="s">
        <v>854</v>
      </c>
      <c r="F1924" s="47" t="s">
        <v>1247</v>
      </c>
      <c r="G1924" s="47">
        <v>1</v>
      </c>
      <c r="H1924" s="47" t="s">
        <v>1274</v>
      </c>
      <c r="L1924" s="47" t="s">
        <v>1277</v>
      </c>
      <c r="M1924" s="47" t="s">
        <v>1280</v>
      </c>
    </row>
    <row r="1925" spans="2:13" ht="15" customHeight="1">
      <c r="B1925" s="47">
        <v>1901</v>
      </c>
      <c r="C1925" s="47" t="s">
        <v>854</v>
      </c>
      <c r="D1925" s="47" t="s">
        <v>960</v>
      </c>
      <c r="F1925" s="47" t="s">
        <v>972</v>
      </c>
      <c r="G1925" s="47">
        <v>1</v>
      </c>
      <c r="H1925" s="47" t="s">
        <v>47</v>
      </c>
      <c r="L1925" s="47" t="s">
        <v>330</v>
      </c>
      <c r="M1925" s="47" t="s">
        <v>985</v>
      </c>
    </row>
    <row r="1926" spans="2:13" ht="15" customHeight="1">
      <c r="B1926" s="47">
        <v>1902</v>
      </c>
      <c r="C1926" s="47" t="s">
        <v>854</v>
      </c>
      <c r="F1926" s="47" t="s">
        <v>1247</v>
      </c>
      <c r="G1926" s="47">
        <v>1</v>
      </c>
      <c r="H1926" s="47" t="s">
        <v>1274</v>
      </c>
      <c r="L1926" s="47" t="s">
        <v>1277</v>
      </c>
      <c r="M1926" s="47" t="s">
        <v>1280</v>
      </c>
    </row>
    <row r="1927" spans="2:13" ht="15" customHeight="1">
      <c r="B1927" s="47">
        <v>1902</v>
      </c>
      <c r="C1927" s="47" t="s">
        <v>854</v>
      </c>
      <c r="D1927" s="47" t="s">
        <v>960</v>
      </c>
      <c r="F1927" s="47" t="s">
        <v>972</v>
      </c>
      <c r="G1927" s="47">
        <v>1</v>
      </c>
      <c r="H1927" s="47" t="s">
        <v>47</v>
      </c>
      <c r="L1927" s="47" t="s">
        <v>330</v>
      </c>
      <c r="M1927" s="47" t="s">
        <v>985</v>
      </c>
    </row>
    <row r="1928" spans="2:13" ht="15" customHeight="1">
      <c r="B1928" s="47">
        <v>1903</v>
      </c>
      <c r="C1928" s="47" t="s">
        <v>854</v>
      </c>
      <c r="F1928" s="47" t="s">
        <v>1256</v>
      </c>
      <c r="G1928" s="47">
        <v>1</v>
      </c>
      <c r="H1928" s="47" t="s">
        <v>530</v>
      </c>
      <c r="L1928" s="47" t="s">
        <v>1277</v>
      </c>
      <c r="M1928" s="47" t="s">
        <v>1280</v>
      </c>
    </row>
    <row r="1929" spans="2:13" ht="15" customHeight="1">
      <c r="B1929" s="47">
        <v>1903</v>
      </c>
      <c r="C1929" s="47" t="s">
        <v>854</v>
      </c>
      <c r="D1929" s="47" t="s">
        <v>960</v>
      </c>
      <c r="F1929" s="47" t="s">
        <v>973</v>
      </c>
      <c r="G1929" s="47">
        <v>1</v>
      </c>
      <c r="H1929" s="47" t="s">
        <v>62</v>
      </c>
      <c r="L1929" s="47" t="s">
        <v>330</v>
      </c>
      <c r="M1929" s="47" t="s">
        <v>985</v>
      </c>
    </row>
    <row r="1930" spans="2:13" ht="15" customHeight="1">
      <c r="B1930" s="47">
        <v>1904</v>
      </c>
      <c r="C1930" s="47" t="s">
        <v>854</v>
      </c>
      <c r="F1930" s="47" t="s">
        <v>1229</v>
      </c>
      <c r="G1930" s="47">
        <v>1</v>
      </c>
      <c r="H1930" s="47" t="s">
        <v>530</v>
      </c>
      <c r="L1930" s="47" t="s">
        <v>1277</v>
      </c>
      <c r="M1930" s="47" t="s">
        <v>1280</v>
      </c>
    </row>
    <row r="1931" spans="2:13" ht="15" customHeight="1">
      <c r="B1931" s="47">
        <v>1904</v>
      </c>
      <c r="C1931" s="47" t="s">
        <v>854</v>
      </c>
      <c r="D1931" s="47" t="s">
        <v>960</v>
      </c>
      <c r="F1931" s="47" t="s">
        <v>983</v>
      </c>
      <c r="G1931" s="47">
        <v>1</v>
      </c>
      <c r="H1931" s="47" t="s">
        <v>62</v>
      </c>
      <c r="L1931" s="47" t="s">
        <v>330</v>
      </c>
      <c r="M1931" s="47" t="s">
        <v>985</v>
      </c>
    </row>
    <row r="1932" spans="2:13" ht="15" customHeight="1">
      <c r="B1932" s="47">
        <v>1905</v>
      </c>
      <c r="C1932" s="47" t="s">
        <v>854</v>
      </c>
      <c r="F1932" s="47" t="s">
        <v>1234</v>
      </c>
      <c r="G1932" s="47">
        <v>1</v>
      </c>
      <c r="H1932" s="47" t="s">
        <v>530</v>
      </c>
      <c r="L1932" s="47" t="s">
        <v>1277</v>
      </c>
      <c r="M1932" s="47" t="s">
        <v>1280</v>
      </c>
    </row>
    <row r="1933" spans="2:13" ht="15" customHeight="1">
      <c r="B1933" s="47">
        <v>1905</v>
      </c>
      <c r="C1933" s="47" t="s">
        <v>854</v>
      </c>
      <c r="D1933" s="47" t="s">
        <v>960</v>
      </c>
      <c r="F1933" s="47" t="s">
        <v>329</v>
      </c>
      <c r="G1933" s="47">
        <v>1</v>
      </c>
      <c r="H1933" s="47" t="s">
        <v>62</v>
      </c>
      <c r="L1933" s="47" t="s">
        <v>330</v>
      </c>
      <c r="M1933" s="47" t="s">
        <v>985</v>
      </c>
    </row>
    <row r="1934" spans="2:13" ht="15" customHeight="1">
      <c r="B1934" s="47">
        <v>1906</v>
      </c>
      <c r="C1934" s="47" t="s">
        <v>854</v>
      </c>
      <c r="F1934" s="47" t="s">
        <v>1234</v>
      </c>
      <c r="G1934" s="47">
        <v>1</v>
      </c>
      <c r="H1934" s="47" t="s">
        <v>530</v>
      </c>
      <c r="L1934" s="47" t="s">
        <v>1277</v>
      </c>
      <c r="M1934" s="47" t="s">
        <v>1280</v>
      </c>
    </row>
    <row r="1935" spans="2:13" ht="15" customHeight="1">
      <c r="B1935" s="47">
        <v>1906</v>
      </c>
      <c r="C1935" s="47" t="s">
        <v>854</v>
      </c>
      <c r="D1935" s="47" t="s">
        <v>960</v>
      </c>
      <c r="F1935" s="47" t="s">
        <v>329</v>
      </c>
      <c r="G1935" s="47">
        <v>1</v>
      </c>
      <c r="H1935" s="47" t="s">
        <v>62</v>
      </c>
      <c r="L1935" s="47" t="s">
        <v>330</v>
      </c>
      <c r="M1935" s="47" t="s">
        <v>985</v>
      </c>
    </row>
    <row r="1936" spans="2:13" ht="15" customHeight="1">
      <c r="B1936" s="47">
        <v>1908</v>
      </c>
      <c r="C1936" s="47" t="s">
        <v>854</v>
      </c>
      <c r="F1936" s="47" t="s">
        <v>970</v>
      </c>
      <c r="G1936" s="47">
        <v>1</v>
      </c>
      <c r="H1936" s="47" t="s">
        <v>1274</v>
      </c>
      <c r="L1936" s="47" t="s">
        <v>1277</v>
      </c>
      <c r="M1936" s="47" t="s">
        <v>1280</v>
      </c>
    </row>
    <row r="1937" spans="2:13" ht="15" customHeight="1">
      <c r="B1937" s="47">
        <v>1908</v>
      </c>
      <c r="C1937" s="47" t="s">
        <v>854</v>
      </c>
      <c r="D1937" s="47" t="s">
        <v>960</v>
      </c>
      <c r="F1937" s="47" t="s">
        <v>970</v>
      </c>
      <c r="G1937" s="47">
        <v>1</v>
      </c>
      <c r="H1937" s="47" t="s">
        <v>62</v>
      </c>
      <c r="L1937" s="47" t="s">
        <v>330</v>
      </c>
      <c r="M1937" s="47" t="s">
        <v>985</v>
      </c>
    </row>
    <row r="1938" spans="2:13" ht="15" customHeight="1">
      <c r="B1938" s="47">
        <v>1909</v>
      </c>
      <c r="C1938" s="47" t="s">
        <v>854</v>
      </c>
      <c r="F1938" s="47" t="s">
        <v>1248</v>
      </c>
      <c r="G1938" s="47">
        <v>1</v>
      </c>
      <c r="H1938" s="47" t="s">
        <v>1274</v>
      </c>
      <c r="L1938" s="47" t="s">
        <v>1277</v>
      </c>
      <c r="M1938" s="47" t="s">
        <v>1280</v>
      </c>
    </row>
    <row r="1939" spans="2:13" ht="15" customHeight="1">
      <c r="B1939" s="47">
        <v>1909</v>
      </c>
      <c r="C1939" s="47" t="s">
        <v>854</v>
      </c>
      <c r="D1939" s="47" t="s">
        <v>960</v>
      </c>
      <c r="F1939" s="47" t="s">
        <v>971</v>
      </c>
      <c r="G1939" s="47">
        <v>1</v>
      </c>
      <c r="H1939" s="47" t="s">
        <v>47</v>
      </c>
      <c r="L1939" s="47" t="s">
        <v>330</v>
      </c>
      <c r="M1939" s="47" t="s">
        <v>985</v>
      </c>
    </row>
    <row r="1940" spans="2:13" ht="15" customHeight="1">
      <c r="B1940" s="47">
        <v>1910</v>
      </c>
      <c r="C1940" s="47" t="s">
        <v>854</v>
      </c>
      <c r="F1940" s="47" t="s">
        <v>1248</v>
      </c>
      <c r="G1940" s="47">
        <v>1</v>
      </c>
      <c r="H1940" s="47" t="s">
        <v>1274</v>
      </c>
      <c r="L1940" s="47" t="s">
        <v>1277</v>
      </c>
      <c r="M1940" s="47" t="s">
        <v>1280</v>
      </c>
    </row>
    <row r="1941" spans="2:13" ht="15" customHeight="1">
      <c r="B1941" s="47">
        <v>1910</v>
      </c>
      <c r="C1941" s="47" t="s">
        <v>854</v>
      </c>
      <c r="D1941" s="47" t="s">
        <v>960</v>
      </c>
      <c r="F1941" s="47" t="s">
        <v>971</v>
      </c>
      <c r="G1941" s="47">
        <v>1</v>
      </c>
      <c r="H1941" s="47" t="s">
        <v>47</v>
      </c>
      <c r="L1941" s="47" t="s">
        <v>330</v>
      </c>
      <c r="M1941" s="47" t="s">
        <v>963</v>
      </c>
    </row>
    <row r="1942" spans="2:13" ht="15" customHeight="1">
      <c r="B1942" s="47">
        <v>1911</v>
      </c>
      <c r="C1942" s="47" t="s">
        <v>854</v>
      </c>
      <c r="F1942" s="47" t="s">
        <v>1257</v>
      </c>
      <c r="G1942" s="47">
        <v>1</v>
      </c>
      <c r="H1942" s="47" t="s">
        <v>530</v>
      </c>
      <c r="L1942" s="47" t="s">
        <v>1277</v>
      </c>
      <c r="M1942" s="47" t="s">
        <v>1280</v>
      </c>
    </row>
    <row r="1943" spans="2:13" ht="15" customHeight="1">
      <c r="B1943" s="47">
        <v>1911</v>
      </c>
      <c r="C1943" s="47" t="s">
        <v>854</v>
      </c>
      <c r="D1943" s="47" t="s">
        <v>960</v>
      </c>
      <c r="F1943" s="47" t="s">
        <v>978</v>
      </c>
      <c r="G1943" s="47">
        <v>1</v>
      </c>
      <c r="H1943" s="47" t="s">
        <v>62</v>
      </c>
      <c r="L1943" s="47" t="s">
        <v>330</v>
      </c>
      <c r="M1943" s="47" t="s">
        <v>963</v>
      </c>
    </row>
    <row r="1944" spans="2:13" ht="15" customHeight="1">
      <c r="B1944" s="47">
        <v>1912</v>
      </c>
      <c r="C1944" s="47" t="s">
        <v>854</v>
      </c>
      <c r="F1944" s="47" t="s">
        <v>1069</v>
      </c>
      <c r="G1944" s="47">
        <v>1</v>
      </c>
      <c r="H1944" s="47" t="s">
        <v>530</v>
      </c>
      <c r="L1944" s="47" t="s">
        <v>1277</v>
      </c>
      <c r="M1944" s="47" t="s">
        <v>1280</v>
      </c>
    </row>
    <row r="1945" spans="2:13" ht="15" customHeight="1">
      <c r="B1945" s="47">
        <v>1912</v>
      </c>
      <c r="C1945" s="47" t="s">
        <v>854</v>
      </c>
      <c r="D1945" s="47" t="s">
        <v>960</v>
      </c>
      <c r="F1945" s="47" t="s">
        <v>961</v>
      </c>
      <c r="G1945" s="47">
        <v>1</v>
      </c>
      <c r="H1945" s="47" t="s">
        <v>62</v>
      </c>
      <c r="L1945" s="47" t="s">
        <v>330</v>
      </c>
      <c r="M1945" s="47" t="s">
        <v>963</v>
      </c>
    </row>
    <row r="1946" spans="2:13" ht="15" customHeight="1">
      <c r="B1946" s="47">
        <v>1913</v>
      </c>
      <c r="C1946" s="47" t="s">
        <v>854</v>
      </c>
      <c r="F1946" s="47" t="s">
        <v>1069</v>
      </c>
      <c r="G1946" s="47">
        <v>1</v>
      </c>
      <c r="H1946" s="47" t="s">
        <v>530</v>
      </c>
      <c r="L1946" s="47" t="s">
        <v>1277</v>
      </c>
      <c r="M1946" s="47" t="s">
        <v>1280</v>
      </c>
    </row>
    <row r="1947" spans="2:13" ht="15" customHeight="1">
      <c r="B1947" s="47">
        <v>1913</v>
      </c>
      <c r="C1947" s="47" t="s">
        <v>854</v>
      </c>
      <c r="D1947" s="47" t="s">
        <v>960</v>
      </c>
      <c r="F1947" s="47" t="s">
        <v>961</v>
      </c>
      <c r="G1947" s="47">
        <v>1</v>
      </c>
      <c r="H1947" s="47" t="s">
        <v>62</v>
      </c>
      <c r="L1947" s="47" t="s">
        <v>330</v>
      </c>
      <c r="M1947" s="47" t="s">
        <v>963</v>
      </c>
    </row>
    <row r="1948" spans="2:13" ht="15" customHeight="1">
      <c r="B1948" s="47">
        <v>1914</v>
      </c>
      <c r="C1948" s="47" t="s">
        <v>854</v>
      </c>
      <c r="F1948" s="47" t="s">
        <v>1248</v>
      </c>
      <c r="G1948" s="47">
        <v>1</v>
      </c>
      <c r="H1948" s="47" t="s">
        <v>1274</v>
      </c>
      <c r="L1948" s="47" t="s">
        <v>1277</v>
      </c>
      <c r="M1948" s="47" t="s">
        <v>1280</v>
      </c>
    </row>
    <row r="1949" spans="2:13" ht="15" customHeight="1">
      <c r="B1949" s="47">
        <v>1914</v>
      </c>
      <c r="C1949" s="47" t="s">
        <v>854</v>
      </c>
      <c r="D1949" s="47" t="s">
        <v>960</v>
      </c>
      <c r="F1949" s="47" t="s">
        <v>971</v>
      </c>
      <c r="G1949" s="47">
        <v>1</v>
      </c>
      <c r="H1949" s="47" t="s">
        <v>62</v>
      </c>
      <c r="L1949" s="47" t="s">
        <v>330</v>
      </c>
      <c r="M1949" s="47" t="s">
        <v>963</v>
      </c>
    </row>
    <row r="1950" spans="2:13" ht="15" customHeight="1">
      <c r="B1950" s="47">
        <v>1915</v>
      </c>
      <c r="C1950" s="47" t="s">
        <v>854</v>
      </c>
      <c r="F1950" s="47" t="s">
        <v>1248</v>
      </c>
      <c r="G1950" s="47">
        <v>1</v>
      </c>
      <c r="H1950" s="47" t="s">
        <v>1274</v>
      </c>
      <c r="L1950" s="47" t="s">
        <v>1277</v>
      </c>
      <c r="M1950" s="47" t="s">
        <v>1280</v>
      </c>
    </row>
    <row r="1951" spans="2:13" ht="15" customHeight="1">
      <c r="B1951" s="47">
        <v>1915</v>
      </c>
      <c r="C1951" s="47" t="s">
        <v>854</v>
      </c>
      <c r="D1951" s="47" t="s">
        <v>960</v>
      </c>
      <c r="F1951" s="47" t="s">
        <v>971</v>
      </c>
      <c r="G1951" s="47">
        <v>1</v>
      </c>
      <c r="H1951" s="47" t="s">
        <v>62</v>
      </c>
      <c r="L1951" s="47" t="s">
        <v>330</v>
      </c>
      <c r="M1951" s="47" t="s">
        <v>963</v>
      </c>
    </row>
    <row r="1952" spans="2:13" ht="15" customHeight="1">
      <c r="B1952" s="47">
        <v>1916</v>
      </c>
      <c r="C1952" s="47" t="s">
        <v>854</v>
      </c>
      <c r="F1952" s="47" t="s">
        <v>970</v>
      </c>
      <c r="G1952" s="47">
        <v>1</v>
      </c>
      <c r="H1952" s="47" t="s">
        <v>1274</v>
      </c>
      <c r="L1952" s="47" t="s">
        <v>1277</v>
      </c>
      <c r="M1952" s="47" t="s">
        <v>1280</v>
      </c>
    </row>
    <row r="1953" spans="2:13" ht="15" customHeight="1">
      <c r="B1953" s="47">
        <v>1916</v>
      </c>
      <c r="C1953" s="47" t="s">
        <v>854</v>
      </c>
      <c r="D1953" s="47" t="s">
        <v>960</v>
      </c>
      <c r="F1953" s="47" t="s">
        <v>970</v>
      </c>
      <c r="G1953" s="47">
        <v>1</v>
      </c>
      <c r="H1953" s="47" t="s">
        <v>47</v>
      </c>
      <c r="L1953" s="47" t="s">
        <v>330</v>
      </c>
      <c r="M1953" s="47" t="s">
        <v>963</v>
      </c>
    </row>
    <row r="1954" spans="2:13" ht="15" customHeight="1">
      <c r="B1954" s="47">
        <v>1918</v>
      </c>
      <c r="C1954" s="47" t="s">
        <v>854</v>
      </c>
      <c r="F1954" s="47" t="s">
        <v>1230</v>
      </c>
      <c r="G1954" s="47">
        <v>1</v>
      </c>
      <c r="H1954" s="47" t="s">
        <v>530</v>
      </c>
      <c r="L1954" s="47" t="s">
        <v>1277</v>
      </c>
      <c r="M1954" s="47" t="s">
        <v>1280</v>
      </c>
    </row>
    <row r="1955" spans="2:13" ht="15" customHeight="1">
      <c r="B1955" s="47">
        <v>1918</v>
      </c>
      <c r="C1955" s="47" t="s">
        <v>854</v>
      </c>
      <c r="D1955" s="47" t="s">
        <v>960</v>
      </c>
      <c r="F1955" s="47" t="s">
        <v>247</v>
      </c>
      <c r="G1955" s="47">
        <v>1</v>
      </c>
      <c r="H1955" s="47" t="s">
        <v>62</v>
      </c>
      <c r="L1955" s="47" t="s">
        <v>330</v>
      </c>
      <c r="M1955" s="47" t="s">
        <v>963</v>
      </c>
    </row>
    <row r="1956" spans="2:13" ht="15" customHeight="1">
      <c r="B1956" s="47">
        <v>1919</v>
      </c>
      <c r="C1956" s="47" t="s">
        <v>854</v>
      </c>
      <c r="F1956" s="47" t="s">
        <v>1256</v>
      </c>
      <c r="G1956" s="47">
        <v>1</v>
      </c>
      <c r="H1956" s="47" t="s">
        <v>530</v>
      </c>
      <c r="L1956" s="47" t="s">
        <v>1277</v>
      </c>
      <c r="M1956" s="47" t="s">
        <v>1280</v>
      </c>
    </row>
    <row r="1957" spans="2:13" ht="15" customHeight="1">
      <c r="B1957" s="47">
        <v>1919</v>
      </c>
      <c r="C1957" s="47" t="s">
        <v>854</v>
      </c>
      <c r="D1957" s="47" t="s">
        <v>960</v>
      </c>
      <c r="F1957" s="47" t="s">
        <v>973</v>
      </c>
      <c r="G1957" s="47">
        <v>1</v>
      </c>
      <c r="H1957" s="47" t="s">
        <v>62</v>
      </c>
      <c r="L1957" s="47" t="s">
        <v>330</v>
      </c>
      <c r="M1957" s="47" t="s">
        <v>963</v>
      </c>
    </row>
    <row r="1958" spans="2:13" ht="15" customHeight="1">
      <c r="B1958" s="47">
        <v>1920</v>
      </c>
      <c r="C1958" s="47" t="s">
        <v>854</v>
      </c>
      <c r="F1958" s="47" t="s">
        <v>1256</v>
      </c>
      <c r="G1958" s="47">
        <v>1</v>
      </c>
      <c r="H1958" s="47" t="s">
        <v>530</v>
      </c>
      <c r="L1958" s="47" t="s">
        <v>1277</v>
      </c>
      <c r="M1958" s="47" t="s">
        <v>1280</v>
      </c>
    </row>
    <row r="1959" spans="2:13" ht="15" customHeight="1">
      <c r="B1959" s="47">
        <v>1920</v>
      </c>
      <c r="C1959" s="47" t="s">
        <v>854</v>
      </c>
      <c r="D1959" s="47" t="s">
        <v>960</v>
      </c>
      <c r="F1959" s="47" t="s">
        <v>973</v>
      </c>
      <c r="G1959" s="47">
        <v>1</v>
      </c>
      <c r="H1959" s="47" t="s">
        <v>62</v>
      </c>
      <c r="L1959" s="47" t="s">
        <v>330</v>
      </c>
      <c r="M1959" s="47" t="s">
        <v>963</v>
      </c>
    </row>
    <row r="1960" spans="2:13" ht="15" customHeight="1">
      <c r="B1960" s="47">
        <v>1921</v>
      </c>
      <c r="C1960" s="47" t="s">
        <v>854</v>
      </c>
      <c r="F1960" s="47" t="s">
        <v>970</v>
      </c>
      <c r="G1960" s="47">
        <v>1</v>
      </c>
      <c r="H1960" s="47" t="s">
        <v>1274</v>
      </c>
      <c r="L1960" s="47" t="s">
        <v>1278</v>
      </c>
      <c r="M1960" s="47" t="s">
        <v>1280</v>
      </c>
    </row>
    <row r="1961" spans="2:13" ht="15" customHeight="1">
      <c r="B1961" s="47">
        <v>1921</v>
      </c>
      <c r="C1961" s="47" t="s">
        <v>854</v>
      </c>
      <c r="D1961" s="47" t="s">
        <v>960</v>
      </c>
      <c r="F1961" s="47" t="s">
        <v>970</v>
      </c>
      <c r="G1961" s="47">
        <v>1</v>
      </c>
      <c r="H1961" s="47" t="s">
        <v>62</v>
      </c>
      <c r="L1961" s="47" t="s">
        <v>962</v>
      </c>
      <c r="M1961" s="47" t="s">
        <v>963</v>
      </c>
    </row>
    <row r="1962" spans="2:13" ht="15" customHeight="1">
      <c r="B1962" s="47">
        <v>1922</v>
      </c>
      <c r="C1962" s="47" t="s">
        <v>854</v>
      </c>
      <c r="F1962" s="47" t="s">
        <v>1256</v>
      </c>
      <c r="G1962" s="47">
        <v>1</v>
      </c>
      <c r="H1962" s="47" t="s">
        <v>530</v>
      </c>
      <c r="L1962" s="47" t="s">
        <v>1278</v>
      </c>
      <c r="M1962" s="47" t="s">
        <v>1280</v>
      </c>
    </row>
    <row r="1963" spans="2:13" ht="15" customHeight="1">
      <c r="B1963" s="47">
        <v>1922</v>
      </c>
      <c r="C1963" s="47" t="s">
        <v>854</v>
      </c>
      <c r="D1963" s="47" t="s">
        <v>960</v>
      </c>
      <c r="F1963" s="47" t="s">
        <v>973</v>
      </c>
      <c r="G1963" s="47">
        <v>1</v>
      </c>
      <c r="H1963" s="47" t="s">
        <v>62</v>
      </c>
      <c r="L1963" s="47" t="s">
        <v>962</v>
      </c>
      <c r="M1963" s="47" t="s">
        <v>963</v>
      </c>
    </row>
    <row r="1964" spans="2:13" ht="15" customHeight="1">
      <c r="B1964" s="47">
        <v>1923</v>
      </c>
      <c r="C1964" s="47" t="s">
        <v>854</v>
      </c>
      <c r="F1964" s="47" t="s">
        <v>1229</v>
      </c>
      <c r="G1964" s="47">
        <v>1</v>
      </c>
      <c r="H1964" s="47" t="s">
        <v>530</v>
      </c>
      <c r="L1964" s="47" t="s">
        <v>1278</v>
      </c>
      <c r="M1964" s="47" t="s">
        <v>1280</v>
      </c>
    </row>
    <row r="1965" spans="2:13" ht="15" customHeight="1">
      <c r="B1965" s="47">
        <v>1923</v>
      </c>
      <c r="C1965" s="47" t="s">
        <v>854</v>
      </c>
      <c r="D1965" s="47" t="s">
        <v>960</v>
      </c>
      <c r="F1965" s="47" t="s">
        <v>983</v>
      </c>
      <c r="G1965" s="47">
        <v>1</v>
      </c>
      <c r="H1965" s="47" t="s">
        <v>62</v>
      </c>
      <c r="L1965" s="47" t="s">
        <v>962</v>
      </c>
      <c r="M1965" s="47" t="s">
        <v>963</v>
      </c>
    </row>
    <row r="1966" spans="2:13" ht="15" customHeight="1">
      <c r="B1966" s="47">
        <v>1924</v>
      </c>
      <c r="C1966" s="47" t="s">
        <v>854</v>
      </c>
      <c r="F1966" s="47" t="s">
        <v>1257</v>
      </c>
      <c r="G1966" s="47">
        <v>1</v>
      </c>
      <c r="H1966" s="47" t="s">
        <v>530</v>
      </c>
      <c r="L1966" s="47" t="s">
        <v>1278</v>
      </c>
      <c r="M1966" s="47" t="s">
        <v>1280</v>
      </c>
    </row>
    <row r="1967" spans="2:13" ht="15" customHeight="1">
      <c r="B1967" s="47">
        <v>1924</v>
      </c>
      <c r="C1967" s="47" t="s">
        <v>854</v>
      </c>
      <c r="D1967" s="47" t="s">
        <v>960</v>
      </c>
      <c r="F1967" s="47" t="s">
        <v>978</v>
      </c>
      <c r="G1967" s="47">
        <v>1</v>
      </c>
      <c r="H1967" s="47" t="s">
        <v>62</v>
      </c>
      <c r="L1967" s="47" t="s">
        <v>962</v>
      </c>
      <c r="M1967" s="47" t="s">
        <v>963</v>
      </c>
    </row>
    <row r="1968" spans="2:13" ht="15" customHeight="1">
      <c r="B1968" s="47">
        <v>1925</v>
      </c>
      <c r="C1968" s="47" t="s">
        <v>854</v>
      </c>
      <c r="F1968" s="47" t="s">
        <v>979</v>
      </c>
      <c r="G1968" s="47">
        <v>1</v>
      </c>
      <c r="H1968" s="47" t="s">
        <v>530</v>
      </c>
      <c r="L1968" s="47" t="s">
        <v>314</v>
      </c>
      <c r="M1968" s="47" t="s">
        <v>1279</v>
      </c>
    </row>
    <row r="1969" spans="2:16" ht="15" customHeight="1">
      <c r="B1969" s="47">
        <v>1925</v>
      </c>
      <c r="C1969" s="47" t="s">
        <v>854</v>
      </c>
      <c r="D1969" s="47" t="s">
        <v>960</v>
      </c>
      <c r="F1969" s="47" t="s">
        <v>979</v>
      </c>
      <c r="G1969" s="47">
        <v>1</v>
      </c>
      <c r="H1969" s="47" t="s">
        <v>62</v>
      </c>
      <c r="L1969" s="47" t="s">
        <v>531</v>
      </c>
      <c r="M1969" s="47" t="s">
        <v>532</v>
      </c>
    </row>
    <row r="1970" spans="2:16" ht="15" customHeight="1">
      <c r="B1970" s="47">
        <v>1926</v>
      </c>
      <c r="C1970" s="47" t="s">
        <v>854</v>
      </c>
      <c r="F1970" s="47" t="s">
        <v>979</v>
      </c>
      <c r="G1970" s="47">
        <v>1</v>
      </c>
      <c r="H1970" s="47" t="s">
        <v>530</v>
      </c>
      <c r="L1970" s="47" t="s">
        <v>1276</v>
      </c>
      <c r="M1970" s="47" t="s">
        <v>1279</v>
      </c>
    </row>
    <row r="1971" spans="2:16" ht="15" customHeight="1">
      <c r="B1971" s="47">
        <v>1926</v>
      </c>
      <c r="C1971" s="47" t="s">
        <v>854</v>
      </c>
      <c r="D1971" s="47" t="s">
        <v>960</v>
      </c>
      <c r="F1971" s="47" t="s">
        <v>979</v>
      </c>
      <c r="G1971" s="47">
        <v>1</v>
      </c>
      <c r="H1971" s="47" t="s">
        <v>62</v>
      </c>
      <c r="L1971" s="47" t="s">
        <v>981</v>
      </c>
      <c r="M1971" s="47" t="s">
        <v>532</v>
      </c>
    </row>
    <row r="1972" spans="2:16" ht="15" customHeight="1">
      <c r="B1972" s="47">
        <v>1928</v>
      </c>
      <c r="C1972" s="47" t="s">
        <v>886</v>
      </c>
      <c r="D1972" s="47" t="s">
        <v>960</v>
      </c>
      <c r="F1972" s="47" t="s">
        <v>986</v>
      </c>
      <c r="G1972" s="47">
        <v>33</v>
      </c>
      <c r="L1972" s="47" t="s">
        <v>962</v>
      </c>
      <c r="M1972" s="47" t="s">
        <v>987</v>
      </c>
      <c r="O1972" s="47" t="s">
        <v>46</v>
      </c>
    </row>
    <row r="1973" spans="2:16" ht="15" customHeight="1">
      <c r="B1973" s="47">
        <v>1929</v>
      </c>
      <c r="C1973" s="47" t="s">
        <v>886</v>
      </c>
      <c r="D1973" s="47" t="s">
        <v>960</v>
      </c>
      <c r="F1973" s="47" t="s">
        <v>191</v>
      </c>
      <c r="G1973" s="47">
        <v>35</v>
      </c>
      <c r="L1973" s="47" t="s">
        <v>962</v>
      </c>
      <c r="M1973" s="47" t="s">
        <v>988</v>
      </c>
      <c r="O1973" s="47" t="s">
        <v>46</v>
      </c>
    </row>
    <row r="1974" spans="2:16" ht="15" customHeight="1">
      <c r="B1974" s="47">
        <v>1930</v>
      </c>
      <c r="C1974" s="47" t="s">
        <v>886</v>
      </c>
      <c r="D1974" s="47" t="s">
        <v>960</v>
      </c>
      <c r="F1974" s="47" t="s">
        <v>989</v>
      </c>
      <c r="G1974" s="47">
        <v>1</v>
      </c>
      <c r="L1974" s="47" t="s">
        <v>962</v>
      </c>
      <c r="M1974" s="47" t="s">
        <v>988</v>
      </c>
      <c r="O1974" s="47" t="s">
        <v>46</v>
      </c>
    </row>
    <row r="1975" spans="2:16" ht="15" customHeight="1">
      <c r="B1975" s="47">
        <v>1931</v>
      </c>
      <c r="C1975" s="47" t="s">
        <v>886</v>
      </c>
      <c r="D1975" s="47" t="s">
        <v>960</v>
      </c>
      <c r="F1975" s="47" t="s">
        <v>990</v>
      </c>
      <c r="G1975" s="47">
        <v>14</v>
      </c>
      <c r="L1975" s="47" t="s">
        <v>962</v>
      </c>
      <c r="M1975" s="47" t="s">
        <v>988</v>
      </c>
      <c r="O1975" s="47" t="s">
        <v>46</v>
      </c>
    </row>
    <row r="1976" spans="2:16" ht="15" customHeight="1">
      <c r="B1976" s="47">
        <v>1932</v>
      </c>
      <c r="C1976" s="47" t="s">
        <v>886</v>
      </c>
      <c r="D1976" s="47" t="s">
        <v>960</v>
      </c>
      <c r="F1976" s="47" t="s">
        <v>991</v>
      </c>
      <c r="G1976" s="47">
        <v>18</v>
      </c>
      <c r="L1976" s="47" t="s">
        <v>962</v>
      </c>
      <c r="M1976" s="47" t="s">
        <v>988</v>
      </c>
      <c r="O1976" s="47" t="s">
        <v>46</v>
      </c>
    </row>
    <row r="1977" spans="2:16" ht="15" customHeight="1">
      <c r="B1977" s="47">
        <v>1933</v>
      </c>
      <c r="C1977" s="47" t="s">
        <v>886</v>
      </c>
      <c r="D1977" s="47" t="s">
        <v>960</v>
      </c>
      <c r="F1977" s="47" t="s">
        <v>992</v>
      </c>
      <c r="G1977" s="47">
        <v>16</v>
      </c>
      <c r="L1977" s="47" t="s">
        <v>962</v>
      </c>
      <c r="M1977" s="47" t="s">
        <v>988</v>
      </c>
      <c r="O1977" s="47" t="s">
        <v>46</v>
      </c>
    </row>
    <row r="1978" spans="2:16" ht="15" customHeight="1">
      <c r="B1978" s="47">
        <v>1940</v>
      </c>
      <c r="C1978" s="47" t="s">
        <v>890</v>
      </c>
      <c r="D1978" s="47" t="s">
        <v>204</v>
      </c>
      <c r="G1978" s="47" t="s">
        <v>1018</v>
      </c>
      <c r="L1978" s="54" t="s">
        <v>403</v>
      </c>
      <c r="M1978" s="47" t="s">
        <v>251</v>
      </c>
      <c r="N1978" s="47" t="s">
        <v>1019</v>
      </c>
      <c r="O1978" s="47" t="s">
        <v>58</v>
      </c>
      <c r="P1978" s="47" t="s">
        <v>1020</v>
      </c>
    </row>
    <row r="1979" spans="2:16" ht="15" customHeight="1">
      <c r="B1979" s="47">
        <v>1941</v>
      </c>
      <c r="C1979" s="47" t="s">
        <v>890</v>
      </c>
      <c r="D1979" s="47" t="s">
        <v>204</v>
      </c>
      <c r="G1979" s="47" t="s">
        <v>1021</v>
      </c>
      <c r="L1979" s="54" t="s">
        <v>403</v>
      </c>
      <c r="M1979" s="47" t="s">
        <v>251</v>
      </c>
      <c r="N1979" s="47" t="s">
        <v>1019</v>
      </c>
      <c r="O1979" s="47" t="s">
        <v>58</v>
      </c>
      <c r="P1979" s="47" t="s">
        <v>1020</v>
      </c>
    </row>
    <row r="1980" spans="2:16" ht="15" customHeight="1">
      <c r="B1980" s="47">
        <v>1942</v>
      </c>
      <c r="C1980" s="47" t="s">
        <v>890</v>
      </c>
      <c r="D1980" s="47" t="s">
        <v>204</v>
      </c>
      <c r="G1980" s="47" t="s">
        <v>1021</v>
      </c>
      <c r="L1980" s="54" t="s">
        <v>403</v>
      </c>
      <c r="M1980" s="47" t="s">
        <v>251</v>
      </c>
      <c r="N1980" s="47" t="s">
        <v>1019</v>
      </c>
      <c r="O1980" s="47" t="s">
        <v>58</v>
      </c>
      <c r="P1980" s="47" t="s">
        <v>1020</v>
      </c>
    </row>
    <row r="1981" spans="2:16" ht="15" customHeight="1">
      <c r="B1981" s="47">
        <v>1944</v>
      </c>
      <c r="C1981" s="47" t="s">
        <v>890</v>
      </c>
      <c r="D1981" s="47" t="s">
        <v>204</v>
      </c>
      <c r="G1981" s="47" t="s">
        <v>1021</v>
      </c>
      <c r="L1981" s="54" t="s">
        <v>403</v>
      </c>
      <c r="M1981" s="47" t="s">
        <v>251</v>
      </c>
      <c r="N1981" s="47" t="s">
        <v>1019</v>
      </c>
      <c r="O1981" s="47" t="s">
        <v>58</v>
      </c>
      <c r="P1981" s="47" t="s">
        <v>1020</v>
      </c>
    </row>
    <row r="1982" spans="2:16" ht="15" customHeight="1">
      <c r="B1982">
        <v>1946</v>
      </c>
      <c r="C1982" t="s">
        <v>856</v>
      </c>
      <c r="D1982" s="47" t="s">
        <v>1124</v>
      </c>
      <c r="E1982" t="s">
        <v>1117</v>
      </c>
    </row>
    <row r="1983" spans="2:16" ht="15" customHeight="1">
      <c r="B1983">
        <v>1947</v>
      </c>
      <c r="C1983" t="s">
        <v>856</v>
      </c>
      <c r="D1983" t="s">
        <v>204</v>
      </c>
    </row>
    <row r="1984" spans="2:16" ht="15" customHeight="1">
      <c r="B1984">
        <v>1948</v>
      </c>
      <c r="C1984" t="s">
        <v>856</v>
      </c>
      <c r="D1984" s="2" t="s">
        <v>177</v>
      </c>
      <c r="F1984" s="47" t="s">
        <v>185</v>
      </c>
      <c r="H1984" s="47" t="s">
        <v>47</v>
      </c>
      <c r="I1984" s="47" t="s">
        <v>30</v>
      </c>
      <c r="J1984" s="47" t="s">
        <v>35</v>
      </c>
    </row>
    <row r="1985" spans="2:10" ht="15" customHeight="1">
      <c r="B1985">
        <v>1949</v>
      </c>
      <c r="C1985" t="s">
        <v>856</v>
      </c>
      <c r="D1985" s="2" t="s">
        <v>177</v>
      </c>
      <c r="F1985" s="47" t="s">
        <v>185</v>
      </c>
      <c r="H1985" s="47" t="s">
        <v>47</v>
      </c>
      <c r="I1985" s="47" t="s">
        <v>30</v>
      </c>
      <c r="J1985" s="47" t="s">
        <v>35</v>
      </c>
    </row>
    <row r="1986" spans="2:10" ht="15" customHeight="1">
      <c r="B1986">
        <v>1950</v>
      </c>
      <c r="C1986" t="s">
        <v>856</v>
      </c>
      <c r="D1986" s="2" t="s">
        <v>177</v>
      </c>
      <c r="F1986" s="47" t="s">
        <v>185</v>
      </c>
      <c r="H1986" s="47" t="s">
        <v>47</v>
      </c>
      <c r="I1986" s="47" t="s">
        <v>30</v>
      </c>
      <c r="J1986" s="47" t="s">
        <v>35</v>
      </c>
    </row>
    <row r="1987" spans="2:10" ht="15" customHeight="1">
      <c r="B1987">
        <v>1951</v>
      </c>
      <c r="C1987" t="s">
        <v>856</v>
      </c>
      <c r="D1987" s="2" t="s">
        <v>177</v>
      </c>
      <c r="F1987" s="47" t="s">
        <v>185</v>
      </c>
      <c r="H1987" s="47" t="s">
        <v>47</v>
      </c>
      <c r="I1987" s="47" t="s">
        <v>30</v>
      </c>
      <c r="J1987" s="47" t="s">
        <v>35</v>
      </c>
    </row>
    <row r="1988" spans="2:10" ht="15" customHeight="1">
      <c r="B1988">
        <v>1952</v>
      </c>
      <c r="C1988" t="s">
        <v>856</v>
      </c>
      <c r="D1988" s="2" t="s">
        <v>177</v>
      </c>
      <c r="F1988" s="47" t="s">
        <v>185</v>
      </c>
      <c r="H1988" s="47" t="s">
        <v>47</v>
      </c>
      <c r="I1988" s="47" t="s">
        <v>30</v>
      </c>
      <c r="J1988" s="47" t="s">
        <v>35</v>
      </c>
    </row>
    <row r="1989" spans="2:10" ht="15" customHeight="1">
      <c r="B1989">
        <v>1953</v>
      </c>
      <c r="C1989" t="s">
        <v>856</v>
      </c>
      <c r="D1989" s="2" t="s">
        <v>177</v>
      </c>
      <c r="F1989" s="47" t="s">
        <v>185</v>
      </c>
      <c r="H1989" s="47" t="s">
        <v>47</v>
      </c>
      <c r="I1989" s="47" t="s">
        <v>30</v>
      </c>
      <c r="J1989" s="47" t="s">
        <v>35</v>
      </c>
    </row>
    <row r="1990" spans="2:10" ht="15" customHeight="1">
      <c r="B1990">
        <v>1954</v>
      </c>
      <c r="C1990" t="s">
        <v>856</v>
      </c>
      <c r="D1990" s="2" t="s">
        <v>177</v>
      </c>
      <c r="F1990" s="47" t="s">
        <v>185</v>
      </c>
      <c r="H1990" s="47" t="s">
        <v>47</v>
      </c>
      <c r="I1990" s="47" t="s">
        <v>30</v>
      </c>
      <c r="J1990" s="47" t="s">
        <v>35</v>
      </c>
    </row>
    <row r="1991" spans="2:10" ht="15" customHeight="1">
      <c r="B1991">
        <v>1955</v>
      </c>
      <c r="C1991" t="s">
        <v>856</v>
      </c>
      <c r="D1991" s="2" t="s">
        <v>177</v>
      </c>
      <c r="F1991" s="47" t="s">
        <v>185</v>
      </c>
      <c r="H1991" s="47" t="s">
        <v>47</v>
      </c>
      <c r="I1991" s="47" t="s">
        <v>30</v>
      </c>
      <c r="J1991" s="47" t="s">
        <v>35</v>
      </c>
    </row>
    <row r="1992" spans="2:10" ht="15" customHeight="1">
      <c r="B1992">
        <v>1956</v>
      </c>
      <c r="C1992" t="s">
        <v>856</v>
      </c>
      <c r="D1992" s="2" t="s">
        <v>177</v>
      </c>
      <c r="F1992" s="47" t="s">
        <v>185</v>
      </c>
      <c r="H1992" s="47" t="s">
        <v>47</v>
      </c>
      <c r="I1992" s="47" t="s">
        <v>30</v>
      </c>
      <c r="J1992" s="47" t="s">
        <v>35</v>
      </c>
    </row>
    <row r="1993" spans="2:10" ht="15" customHeight="1">
      <c r="B1993">
        <v>1957</v>
      </c>
      <c r="C1993" t="s">
        <v>856</v>
      </c>
      <c r="D1993" s="2" t="s">
        <v>177</v>
      </c>
      <c r="F1993" s="47" t="s">
        <v>185</v>
      </c>
      <c r="H1993" s="47" t="s">
        <v>47</v>
      </c>
      <c r="I1993" s="47" t="s">
        <v>30</v>
      </c>
      <c r="J1993" s="47" t="s">
        <v>35</v>
      </c>
    </row>
    <row r="1994" spans="2:10" ht="15" customHeight="1">
      <c r="B1994">
        <v>1958</v>
      </c>
      <c r="C1994" t="s">
        <v>856</v>
      </c>
      <c r="D1994" s="2" t="s">
        <v>177</v>
      </c>
      <c r="F1994" s="47" t="s">
        <v>185</v>
      </c>
      <c r="H1994" s="47" t="s">
        <v>47</v>
      </c>
      <c r="I1994" s="47" t="s">
        <v>30</v>
      </c>
      <c r="J1994" s="47" t="s">
        <v>35</v>
      </c>
    </row>
    <row r="1995" spans="2:10" ht="15" customHeight="1">
      <c r="B1995">
        <v>1959</v>
      </c>
      <c r="C1995" t="s">
        <v>856</v>
      </c>
      <c r="D1995" s="2" t="s">
        <v>177</v>
      </c>
      <c r="F1995" s="47" t="s">
        <v>185</v>
      </c>
      <c r="H1995" s="47" t="s">
        <v>47</v>
      </c>
      <c r="I1995" s="47" t="s">
        <v>30</v>
      </c>
      <c r="J1995" s="47" t="s">
        <v>35</v>
      </c>
    </row>
    <row r="1996" spans="2:10" ht="15" customHeight="1">
      <c r="B1996">
        <v>1960</v>
      </c>
      <c r="C1996" t="s">
        <v>856</v>
      </c>
      <c r="D1996" s="2" t="s">
        <v>177</v>
      </c>
      <c r="F1996" s="47" t="s">
        <v>185</v>
      </c>
      <c r="H1996" s="47" t="s">
        <v>47</v>
      </c>
      <c r="I1996" s="47" t="s">
        <v>30</v>
      </c>
      <c r="J1996" s="47" t="s">
        <v>35</v>
      </c>
    </row>
    <row r="1997" spans="2:10" ht="15" customHeight="1">
      <c r="B1997">
        <v>1961</v>
      </c>
      <c r="C1997" t="s">
        <v>856</v>
      </c>
      <c r="D1997" s="2" t="s">
        <v>177</v>
      </c>
      <c r="F1997" s="47" t="s">
        <v>185</v>
      </c>
      <c r="H1997" s="47" t="s">
        <v>47</v>
      </c>
      <c r="I1997" s="47" t="s">
        <v>30</v>
      </c>
      <c r="J1997" s="47" t="s">
        <v>35</v>
      </c>
    </row>
    <row r="1998" spans="2:10" ht="15" customHeight="1">
      <c r="B1998">
        <v>1962</v>
      </c>
      <c r="C1998" t="s">
        <v>856</v>
      </c>
      <c r="D1998" s="2" t="s">
        <v>177</v>
      </c>
      <c r="F1998" s="47" t="s">
        <v>185</v>
      </c>
      <c r="H1998" s="47" t="s">
        <v>47</v>
      </c>
      <c r="I1998" s="47" t="s">
        <v>30</v>
      </c>
      <c r="J1998" s="47" t="s">
        <v>35</v>
      </c>
    </row>
    <row r="1999" spans="2:10" ht="15" customHeight="1">
      <c r="B1999">
        <v>1963</v>
      </c>
      <c r="C1999" t="s">
        <v>856</v>
      </c>
      <c r="D1999" s="2" t="s">
        <v>177</v>
      </c>
      <c r="F1999" s="47" t="s">
        <v>185</v>
      </c>
      <c r="H1999" s="47" t="s">
        <v>47</v>
      </c>
      <c r="I1999" s="47" t="s">
        <v>30</v>
      </c>
      <c r="J1999" s="47" t="s">
        <v>35</v>
      </c>
    </row>
    <row r="2000" spans="2:10" ht="15" customHeight="1">
      <c r="B2000">
        <v>1964</v>
      </c>
      <c r="C2000" t="s">
        <v>856</v>
      </c>
      <c r="D2000" s="2" t="s">
        <v>177</v>
      </c>
      <c r="F2000" s="47" t="s">
        <v>185</v>
      </c>
      <c r="H2000" s="47" t="s">
        <v>47</v>
      </c>
      <c r="I2000" s="47" t="s">
        <v>30</v>
      </c>
      <c r="J2000" s="47" t="s">
        <v>35</v>
      </c>
    </row>
    <row r="2001" spans="2:16" ht="15" customHeight="1">
      <c r="B2001">
        <v>1965</v>
      </c>
      <c r="C2001" t="s">
        <v>856</v>
      </c>
      <c r="D2001" s="2" t="s">
        <v>177</v>
      </c>
      <c r="F2001" s="47" t="s">
        <v>185</v>
      </c>
      <c r="H2001" s="47" t="s">
        <v>47</v>
      </c>
      <c r="I2001" s="47" t="s">
        <v>30</v>
      </c>
      <c r="J2001" s="47" t="s">
        <v>35</v>
      </c>
    </row>
    <row r="2002" spans="2:16" ht="15" customHeight="1">
      <c r="B2002">
        <v>1966</v>
      </c>
      <c r="C2002" t="s">
        <v>856</v>
      </c>
      <c r="D2002" s="2" t="s">
        <v>177</v>
      </c>
      <c r="F2002" s="47" t="s">
        <v>185</v>
      </c>
      <c r="H2002" s="47" t="s">
        <v>47</v>
      </c>
      <c r="I2002" s="47" t="s">
        <v>30</v>
      </c>
      <c r="J2002" s="47" t="s">
        <v>35</v>
      </c>
    </row>
    <row r="2003" spans="2:16" ht="15" customHeight="1">
      <c r="B2003">
        <v>1967</v>
      </c>
      <c r="C2003" t="s">
        <v>856</v>
      </c>
      <c r="D2003" s="2" t="s">
        <v>177</v>
      </c>
      <c r="F2003" s="47" t="s">
        <v>185</v>
      </c>
      <c r="H2003" s="47" t="s">
        <v>47</v>
      </c>
      <c r="I2003" s="47" t="s">
        <v>30</v>
      </c>
      <c r="J2003" s="47" t="s">
        <v>35</v>
      </c>
    </row>
    <row r="2004" spans="2:16" ht="15" customHeight="1">
      <c r="B2004">
        <v>1968</v>
      </c>
      <c r="C2004" t="s">
        <v>856</v>
      </c>
      <c r="D2004" s="2" t="s">
        <v>177</v>
      </c>
      <c r="F2004" s="47" t="s">
        <v>185</v>
      </c>
      <c r="H2004" s="47" t="s">
        <v>47</v>
      </c>
      <c r="I2004" s="47" t="s">
        <v>30</v>
      </c>
      <c r="J2004" s="47" t="s">
        <v>35</v>
      </c>
    </row>
    <row r="2005" spans="2:16" ht="15" customHeight="1">
      <c r="B2005">
        <v>1969</v>
      </c>
      <c r="C2005" t="s">
        <v>856</v>
      </c>
      <c r="D2005" s="2" t="s">
        <v>177</v>
      </c>
      <c r="F2005" s="47" t="s">
        <v>185</v>
      </c>
      <c r="H2005" s="47" t="s">
        <v>47</v>
      </c>
      <c r="I2005" s="47" t="s">
        <v>30</v>
      </c>
      <c r="J2005" s="47" t="s">
        <v>35</v>
      </c>
    </row>
    <row r="2006" spans="2:16" ht="15" customHeight="1">
      <c r="B2006">
        <v>1970</v>
      </c>
      <c r="C2006" t="s">
        <v>856</v>
      </c>
      <c r="D2006" s="2" t="s">
        <v>177</v>
      </c>
      <c r="F2006" s="47" t="s">
        <v>185</v>
      </c>
      <c r="H2006" s="47" t="s">
        <v>47</v>
      </c>
      <c r="I2006" s="47" t="s">
        <v>30</v>
      </c>
      <c r="J2006" s="47" t="s">
        <v>35</v>
      </c>
    </row>
    <row r="2007" spans="2:16" ht="15" customHeight="1">
      <c r="B2007">
        <v>1971</v>
      </c>
      <c r="C2007" t="s">
        <v>856</v>
      </c>
      <c r="D2007" s="2" t="s">
        <v>177</v>
      </c>
      <c r="F2007" s="47" t="s">
        <v>185</v>
      </c>
      <c r="H2007" s="47" t="s">
        <v>47</v>
      </c>
      <c r="I2007" s="47" t="s">
        <v>30</v>
      </c>
      <c r="J2007" s="47" t="s">
        <v>35</v>
      </c>
    </row>
    <row r="2008" spans="2:16" ht="15" customHeight="1">
      <c r="B2008">
        <v>1972</v>
      </c>
      <c r="C2008" t="s">
        <v>856</v>
      </c>
      <c r="D2008" s="2" t="s">
        <v>177</v>
      </c>
      <c r="F2008" s="47" t="s">
        <v>185</v>
      </c>
      <c r="H2008" s="47" t="s">
        <v>47</v>
      </c>
      <c r="I2008" s="47" t="s">
        <v>30</v>
      </c>
      <c r="J2008" s="47" t="s">
        <v>35</v>
      </c>
    </row>
    <row r="2009" spans="2:16" ht="15" customHeight="1">
      <c r="B2009" s="47">
        <v>1987</v>
      </c>
      <c r="C2009" s="47" t="s">
        <v>888</v>
      </c>
      <c r="D2009" s="47" t="s">
        <v>960</v>
      </c>
      <c r="F2009" s="47" t="s">
        <v>993</v>
      </c>
      <c r="G2009" s="47">
        <v>12</v>
      </c>
      <c r="L2009" s="47" t="s">
        <v>962</v>
      </c>
      <c r="M2009" s="47" t="s">
        <v>987</v>
      </c>
      <c r="O2009" s="47" t="s">
        <v>30</v>
      </c>
      <c r="P2009" s="47" t="s">
        <v>46</v>
      </c>
    </row>
    <row r="2010" spans="2:16" ht="15" customHeight="1">
      <c r="B2010" s="47">
        <v>1988</v>
      </c>
      <c r="C2010" s="47" t="s">
        <v>888</v>
      </c>
      <c r="D2010" s="47" t="s">
        <v>960</v>
      </c>
      <c r="F2010" s="47" t="s">
        <v>994</v>
      </c>
      <c r="G2010" s="47">
        <v>2</v>
      </c>
      <c r="L2010" s="47" t="s">
        <v>962</v>
      </c>
      <c r="M2010" s="47" t="s">
        <v>987</v>
      </c>
      <c r="O2010" s="47" t="s">
        <v>30</v>
      </c>
      <c r="P2010" s="47" t="s">
        <v>46</v>
      </c>
    </row>
    <row r="2011" spans="2:16" ht="15" customHeight="1">
      <c r="B2011" s="47">
        <v>1989</v>
      </c>
      <c r="C2011" s="47" t="s">
        <v>888</v>
      </c>
      <c r="D2011" s="47" t="s">
        <v>960</v>
      </c>
      <c r="F2011" s="47" t="s">
        <v>995</v>
      </c>
      <c r="G2011" s="47">
        <v>3</v>
      </c>
      <c r="L2011" s="47" t="s">
        <v>962</v>
      </c>
      <c r="M2011" s="47" t="s">
        <v>996</v>
      </c>
      <c r="O2011" s="47" t="s">
        <v>30</v>
      </c>
      <c r="P2011" s="47" t="s">
        <v>46</v>
      </c>
    </row>
    <row r="2012" spans="2:16" ht="15" customHeight="1">
      <c r="B2012" s="47">
        <v>1990</v>
      </c>
      <c r="C2012" s="47" t="s">
        <v>888</v>
      </c>
      <c r="D2012" s="47" t="s">
        <v>960</v>
      </c>
      <c r="F2012" s="47" t="s">
        <v>995</v>
      </c>
      <c r="G2012" s="47">
        <v>1</v>
      </c>
      <c r="L2012" s="47" t="s">
        <v>962</v>
      </c>
      <c r="M2012" s="47" t="s">
        <v>996</v>
      </c>
      <c r="N2012" s="47" t="s">
        <v>997</v>
      </c>
      <c r="O2012" s="47" t="s">
        <v>30</v>
      </c>
      <c r="P2012" s="47" t="s">
        <v>46</v>
      </c>
    </row>
    <row r="2013" spans="2:16" ht="15" customHeight="1">
      <c r="B2013" s="47">
        <v>1991</v>
      </c>
      <c r="C2013" s="47" t="s">
        <v>888</v>
      </c>
      <c r="D2013" s="47" t="s">
        <v>960</v>
      </c>
      <c r="F2013" s="47" t="s">
        <v>998</v>
      </c>
      <c r="G2013" s="47">
        <v>12</v>
      </c>
      <c r="L2013" s="47" t="s">
        <v>962</v>
      </c>
      <c r="M2013" s="47" t="s">
        <v>996</v>
      </c>
      <c r="O2013" s="47" t="s">
        <v>30</v>
      </c>
      <c r="P2013" s="47" t="s">
        <v>46</v>
      </c>
    </row>
    <row r="2014" spans="2:16" ht="15" customHeight="1">
      <c r="B2014" s="47">
        <v>1992</v>
      </c>
      <c r="C2014" s="47" t="s">
        <v>888</v>
      </c>
      <c r="D2014" s="47" t="s">
        <v>960</v>
      </c>
      <c r="F2014" s="47" t="s">
        <v>191</v>
      </c>
      <c r="G2014" s="47">
        <v>11</v>
      </c>
      <c r="L2014" s="47" t="s">
        <v>962</v>
      </c>
      <c r="M2014" s="47" t="s">
        <v>988</v>
      </c>
      <c r="O2014" s="47" t="s">
        <v>30</v>
      </c>
      <c r="P2014" s="47" t="s">
        <v>46</v>
      </c>
    </row>
    <row r="2015" spans="2:16" ht="15" customHeight="1">
      <c r="B2015" s="47">
        <v>1993</v>
      </c>
      <c r="C2015" s="47" t="s">
        <v>884</v>
      </c>
      <c r="D2015" s="47" t="s">
        <v>224</v>
      </c>
      <c r="M2015" s="47" t="s">
        <v>205</v>
      </c>
      <c r="N2015" s="47" t="s">
        <v>1003</v>
      </c>
      <c r="O2015" s="46" t="s">
        <v>43</v>
      </c>
      <c r="P2015" s="46" t="s">
        <v>50</v>
      </c>
    </row>
    <row r="2016" spans="2:16" ht="15" customHeight="1">
      <c r="B2016" s="47">
        <v>1994</v>
      </c>
      <c r="C2016" s="47" t="s">
        <v>885</v>
      </c>
      <c r="D2016" s="47" t="s">
        <v>224</v>
      </c>
      <c r="E2016" s="46" t="s">
        <v>1004</v>
      </c>
      <c r="L2016" s="47" t="s">
        <v>536</v>
      </c>
      <c r="M2016" s="47" t="s">
        <v>1005</v>
      </c>
      <c r="N2016" s="47" t="s">
        <v>1003</v>
      </c>
      <c r="O2016" s="46" t="s">
        <v>43</v>
      </c>
      <c r="P2016" s="46" t="s">
        <v>50</v>
      </c>
    </row>
    <row r="2017" spans="2:16" ht="15" customHeight="1">
      <c r="B2017" s="47">
        <v>1995</v>
      </c>
      <c r="C2017" s="47" t="s">
        <v>885</v>
      </c>
      <c r="D2017" s="47" t="s">
        <v>224</v>
      </c>
      <c r="E2017" s="46" t="s">
        <v>1004</v>
      </c>
      <c r="L2017" s="47" t="s">
        <v>536</v>
      </c>
      <c r="M2017" s="47" t="s">
        <v>1005</v>
      </c>
      <c r="N2017" s="47" t="s">
        <v>1003</v>
      </c>
      <c r="O2017" s="46" t="s">
        <v>43</v>
      </c>
      <c r="P2017" s="46" t="s">
        <v>50</v>
      </c>
    </row>
    <row r="2018" spans="2:16" ht="15" customHeight="1">
      <c r="B2018" s="47">
        <v>1996</v>
      </c>
      <c r="C2018" s="47" t="s">
        <v>885</v>
      </c>
      <c r="D2018" s="47" t="s">
        <v>224</v>
      </c>
      <c r="E2018" s="46" t="s">
        <v>1006</v>
      </c>
      <c r="L2018" s="47" t="s">
        <v>536</v>
      </c>
      <c r="M2018" s="47" t="s">
        <v>1005</v>
      </c>
      <c r="N2018" s="47" t="s">
        <v>1003</v>
      </c>
      <c r="O2018" s="46" t="s">
        <v>43</v>
      </c>
      <c r="P2018" s="46" t="s">
        <v>50</v>
      </c>
    </row>
    <row r="2019" spans="2:16" ht="15" customHeight="1">
      <c r="B2019" s="47">
        <v>1997</v>
      </c>
      <c r="C2019" s="47" t="s">
        <v>885</v>
      </c>
      <c r="D2019" s="47" t="s">
        <v>224</v>
      </c>
      <c r="E2019" s="46" t="s">
        <v>1006</v>
      </c>
      <c r="L2019" s="47" t="s">
        <v>536</v>
      </c>
      <c r="M2019" s="47" t="s">
        <v>1005</v>
      </c>
      <c r="N2019" s="47" t="s">
        <v>1003</v>
      </c>
      <c r="O2019" s="46" t="s">
        <v>43</v>
      </c>
      <c r="P2019" s="46" t="s">
        <v>50</v>
      </c>
    </row>
    <row r="2020" spans="2:16" ht="15" customHeight="1">
      <c r="B2020" s="47">
        <v>1998</v>
      </c>
      <c r="C2020" s="47" t="s">
        <v>885</v>
      </c>
      <c r="D2020" s="47" t="s">
        <v>224</v>
      </c>
      <c r="E2020" s="46" t="s">
        <v>267</v>
      </c>
      <c r="L2020" s="47" t="s">
        <v>536</v>
      </c>
      <c r="M2020" s="47" t="s">
        <v>371</v>
      </c>
      <c r="N2020" s="47" t="s">
        <v>1003</v>
      </c>
      <c r="O2020" s="46" t="s">
        <v>43</v>
      </c>
      <c r="P2020" s="46" t="s">
        <v>50</v>
      </c>
    </row>
    <row r="2021" spans="2:16" ht="15" customHeight="1">
      <c r="B2021" s="47">
        <v>1999</v>
      </c>
      <c r="C2021" s="47" t="s">
        <v>885</v>
      </c>
      <c r="D2021" s="47" t="s">
        <v>224</v>
      </c>
      <c r="E2021" s="16" t="s">
        <v>1103</v>
      </c>
      <c r="L2021" s="47" t="s">
        <v>536</v>
      </c>
      <c r="M2021" s="47" t="s">
        <v>371</v>
      </c>
      <c r="N2021" s="47" t="s">
        <v>1003</v>
      </c>
      <c r="O2021" s="46" t="s">
        <v>43</v>
      </c>
      <c r="P2021" s="46" t="s">
        <v>50</v>
      </c>
    </row>
    <row r="2022" spans="2:16" ht="15" customHeight="1">
      <c r="B2022" s="47">
        <v>2000</v>
      </c>
      <c r="C2022" s="47" t="s">
        <v>885</v>
      </c>
      <c r="D2022" s="47" t="s">
        <v>224</v>
      </c>
      <c r="E2022" s="46" t="s">
        <v>228</v>
      </c>
      <c r="M2022" s="47" t="s">
        <v>371</v>
      </c>
      <c r="N2022" s="47" t="s">
        <v>1003</v>
      </c>
      <c r="O2022" s="46" t="s">
        <v>43</v>
      </c>
      <c r="P2022" s="46" t="s">
        <v>50</v>
      </c>
    </row>
    <row r="2023" spans="2:16" ht="15" customHeight="1">
      <c r="B2023" s="47">
        <v>2001</v>
      </c>
      <c r="C2023" s="47" t="s">
        <v>885</v>
      </c>
      <c r="D2023" s="47" t="s">
        <v>224</v>
      </c>
      <c r="E2023" s="46" t="s">
        <v>522</v>
      </c>
      <c r="L2023" s="54" t="s">
        <v>1007</v>
      </c>
      <c r="M2023" s="47" t="s">
        <v>1008</v>
      </c>
      <c r="N2023" s="47" t="s">
        <v>1003</v>
      </c>
      <c r="O2023" s="46" t="s">
        <v>43</v>
      </c>
      <c r="P2023" s="46" t="s">
        <v>50</v>
      </c>
    </row>
    <row r="2024" spans="2:16" ht="15" customHeight="1">
      <c r="B2024" s="47">
        <v>2002</v>
      </c>
      <c r="C2024" s="47" t="s">
        <v>885</v>
      </c>
      <c r="D2024" s="47" t="s">
        <v>224</v>
      </c>
      <c r="E2024" s="47" t="s">
        <v>1097</v>
      </c>
      <c r="L2024" s="47" t="s">
        <v>1009</v>
      </c>
      <c r="M2024" s="47" t="s">
        <v>1008</v>
      </c>
      <c r="N2024" s="47" t="s">
        <v>1003</v>
      </c>
      <c r="O2024" s="46" t="s">
        <v>43</v>
      </c>
      <c r="P2024" s="46" t="s">
        <v>50</v>
      </c>
    </row>
    <row r="2025" spans="2:16" ht="15" customHeight="1">
      <c r="B2025" s="47">
        <v>2003</v>
      </c>
      <c r="C2025" s="47" t="s">
        <v>885</v>
      </c>
      <c r="D2025" s="47" t="s">
        <v>224</v>
      </c>
      <c r="E2025" s="46" t="s">
        <v>1004</v>
      </c>
      <c r="L2025" s="47" t="s">
        <v>536</v>
      </c>
      <c r="M2025" s="47" t="s">
        <v>1005</v>
      </c>
      <c r="N2025" s="47" t="s">
        <v>1010</v>
      </c>
      <c r="O2025" s="46" t="s">
        <v>43</v>
      </c>
      <c r="P2025" s="46" t="s">
        <v>50</v>
      </c>
    </row>
    <row r="2026" spans="2:16" ht="15" customHeight="1">
      <c r="B2026" s="47">
        <v>2004</v>
      </c>
      <c r="C2026" s="47" t="s">
        <v>885</v>
      </c>
      <c r="D2026" s="47" t="s">
        <v>224</v>
      </c>
      <c r="E2026" s="46" t="s">
        <v>1004</v>
      </c>
      <c r="L2026" s="47" t="s">
        <v>536</v>
      </c>
      <c r="M2026" s="47" t="s">
        <v>1005</v>
      </c>
      <c r="N2026" s="47" t="s">
        <v>1010</v>
      </c>
      <c r="O2026" s="46" t="s">
        <v>43</v>
      </c>
      <c r="P2026" s="46" t="s">
        <v>50</v>
      </c>
    </row>
    <row r="2027" spans="2:16" ht="15" customHeight="1">
      <c r="B2027" s="47">
        <v>2005</v>
      </c>
      <c r="C2027" s="47" t="s">
        <v>885</v>
      </c>
      <c r="D2027" s="47" t="s">
        <v>224</v>
      </c>
      <c r="E2027" s="46" t="s">
        <v>1006</v>
      </c>
      <c r="L2027" s="47" t="s">
        <v>536</v>
      </c>
      <c r="M2027" s="47" t="s">
        <v>1005</v>
      </c>
      <c r="N2027" s="47" t="s">
        <v>1010</v>
      </c>
      <c r="O2027" s="46" t="s">
        <v>43</v>
      </c>
      <c r="P2027" s="46" t="s">
        <v>50</v>
      </c>
    </row>
    <row r="2028" spans="2:16" ht="15" customHeight="1">
      <c r="B2028" s="47">
        <v>2006</v>
      </c>
      <c r="C2028" s="47" t="s">
        <v>885</v>
      </c>
      <c r="D2028" s="47" t="s">
        <v>224</v>
      </c>
      <c r="E2028" s="46" t="s">
        <v>1006</v>
      </c>
      <c r="L2028" s="47" t="s">
        <v>536</v>
      </c>
      <c r="M2028" s="47" t="s">
        <v>1005</v>
      </c>
      <c r="N2028" s="47" t="s">
        <v>1010</v>
      </c>
      <c r="O2028" s="46" t="s">
        <v>43</v>
      </c>
      <c r="P2028" s="46" t="s">
        <v>50</v>
      </c>
    </row>
    <row r="2029" spans="2:16" ht="15" customHeight="1">
      <c r="B2029" s="47">
        <v>2007</v>
      </c>
      <c r="C2029" s="47" t="s">
        <v>885</v>
      </c>
      <c r="D2029" s="47" t="s">
        <v>224</v>
      </c>
      <c r="E2029" s="46" t="s">
        <v>267</v>
      </c>
      <c r="L2029" s="47" t="s">
        <v>536</v>
      </c>
      <c r="M2029" s="47" t="s">
        <v>371</v>
      </c>
      <c r="N2029" s="47" t="s">
        <v>1010</v>
      </c>
      <c r="O2029" s="46" t="s">
        <v>43</v>
      </c>
      <c r="P2029" s="46" t="s">
        <v>50</v>
      </c>
    </row>
    <row r="2030" spans="2:16" ht="15" customHeight="1">
      <c r="B2030" s="47">
        <v>2008</v>
      </c>
      <c r="C2030" s="47" t="s">
        <v>885</v>
      </c>
      <c r="D2030" s="47" t="s">
        <v>224</v>
      </c>
      <c r="E2030" s="16" t="s">
        <v>1103</v>
      </c>
      <c r="L2030" s="47" t="s">
        <v>536</v>
      </c>
      <c r="M2030" s="47" t="s">
        <v>371</v>
      </c>
      <c r="N2030" s="47" t="s">
        <v>1010</v>
      </c>
      <c r="O2030" s="46" t="s">
        <v>43</v>
      </c>
      <c r="P2030" s="46" t="s">
        <v>50</v>
      </c>
    </row>
    <row r="2031" spans="2:16" ht="15" customHeight="1">
      <c r="B2031" s="47">
        <v>2009</v>
      </c>
      <c r="C2031" s="47" t="s">
        <v>885</v>
      </c>
      <c r="D2031" s="47" t="s">
        <v>224</v>
      </c>
      <c r="E2031" s="46" t="s">
        <v>228</v>
      </c>
      <c r="M2031" s="47" t="s">
        <v>371</v>
      </c>
      <c r="N2031" s="47" t="s">
        <v>1010</v>
      </c>
      <c r="O2031" s="46" t="s">
        <v>43</v>
      </c>
      <c r="P2031" s="46" t="s">
        <v>50</v>
      </c>
    </row>
    <row r="2032" spans="2:16" ht="15" customHeight="1">
      <c r="B2032" s="47">
        <v>2010</v>
      </c>
      <c r="C2032" s="47" t="s">
        <v>885</v>
      </c>
      <c r="D2032" s="47" t="s">
        <v>224</v>
      </c>
      <c r="E2032" s="46" t="s">
        <v>522</v>
      </c>
      <c r="L2032" s="54" t="s">
        <v>1007</v>
      </c>
      <c r="M2032" s="47" t="s">
        <v>1008</v>
      </c>
      <c r="N2032" s="47" t="s">
        <v>1010</v>
      </c>
      <c r="O2032" s="46" t="s">
        <v>43</v>
      </c>
      <c r="P2032" s="46" t="s">
        <v>50</v>
      </c>
    </row>
    <row r="2033" spans="2:16" ht="15" customHeight="1">
      <c r="B2033" s="47">
        <v>2011</v>
      </c>
      <c r="C2033" s="47" t="s">
        <v>885</v>
      </c>
      <c r="D2033" s="47" t="s">
        <v>224</v>
      </c>
      <c r="E2033" s="47" t="s">
        <v>1097</v>
      </c>
      <c r="L2033" s="47" t="s">
        <v>1009</v>
      </c>
      <c r="M2033" s="47" t="s">
        <v>1008</v>
      </c>
      <c r="N2033" s="47" t="s">
        <v>1010</v>
      </c>
      <c r="O2033" s="46" t="s">
        <v>43</v>
      </c>
      <c r="P2033" s="46" t="s">
        <v>50</v>
      </c>
    </row>
    <row r="2034" spans="2:16" ht="15" customHeight="1">
      <c r="B2034" s="47">
        <v>2012</v>
      </c>
      <c r="C2034" s="47" t="s">
        <v>885</v>
      </c>
      <c r="D2034" s="47" t="s">
        <v>224</v>
      </c>
      <c r="E2034" s="46" t="s">
        <v>1004</v>
      </c>
      <c r="L2034" s="47" t="s">
        <v>536</v>
      </c>
      <c r="M2034" s="47" t="s">
        <v>1005</v>
      </c>
      <c r="N2034" s="47" t="s">
        <v>1011</v>
      </c>
      <c r="O2034" s="46" t="s">
        <v>43</v>
      </c>
      <c r="P2034" s="46" t="s">
        <v>50</v>
      </c>
    </row>
    <row r="2035" spans="2:16" ht="15" customHeight="1">
      <c r="B2035" s="47">
        <v>2013</v>
      </c>
      <c r="C2035" s="47" t="s">
        <v>885</v>
      </c>
      <c r="D2035" s="47" t="s">
        <v>224</v>
      </c>
      <c r="E2035" s="46" t="s">
        <v>1004</v>
      </c>
      <c r="L2035" s="47" t="s">
        <v>536</v>
      </c>
      <c r="M2035" s="47" t="s">
        <v>1005</v>
      </c>
      <c r="N2035" s="47" t="s">
        <v>1011</v>
      </c>
      <c r="O2035" s="46" t="s">
        <v>43</v>
      </c>
      <c r="P2035" s="46" t="s">
        <v>50</v>
      </c>
    </row>
    <row r="2036" spans="2:16" ht="15" customHeight="1">
      <c r="B2036" s="47">
        <v>2014</v>
      </c>
      <c r="C2036" s="47" t="s">
        <v>885</v>
      </c>
      <c r="D2036" s="47" t="s">
        <v>224</v>
      </c>
      <c r="E2036" s="46" t="s">
        <v>1006</v>
      </c>
      <c r="L2036" s="47" t="s">
        <v>536</v>
      </c>
      <c r="M2036" s="47" t="s">
        <v>1005</v>
      </c>
      <c r="N2036" s="47" t="s">
        <v>1011</v>
      </c>
      <c r="O2036" s="46" t="s">
        <v>43</v>
      </c>
      <c r="P2036" s="46" t="s">
        <v>50</v>
      </c>
    </row>
    <row r="2037" spans="2:16" ht="15" customHeight="1">
      <c r="B2037" s="47">
        <v>2015</v>
      </c>
      <c r="C2037" s="47" t="s">
        <v>885</v>
      </c>
      <c r="D2037" s="47" t="s">
        <v>224</v>
      </c>
      <c r="E2037" s="46" t="s">
        <v>1006</v>
      </c>
      <c r="L2037" s="47" t="s">
        <v>536</v>
      </c>
      <c r="M2037" s="47" t="s">
        <v>1005</v>
      </c>
      <c r="N2037" s="47" t="s">
        <v>1011</v>
      </c>
      <c r="O2037" s="46" t="s">
        <v>43</v>
      </c>
      <c r="P2037" s="46" t="s">
        <v>50</v>
      </c>
    </row>
    <row r="2038" spans="2:16" ht="15" customHeight="1">
      <c r="B2038" s="47">
        <v>2016</v>
      </c>
      <c r="C2038" s="47" t="s">
        <v>885</v>
      </c>
      <c r="D2038" s="47" t="s">
        <v>224</v>
      </c>
      <c r="E2038" s="46" t="s">
        <v>267</v>
      </c>
      <c r="L2038" s="47" t="s">
        <v>536</v>
      </c>
      <c r="M2038" s="47" t="s">
        <v>371</v>
      </c>
      <c r="N2038" s="47" t="s">
        <v>1011</v>
      </c>
      <c r="O2038" s="46" t="s">
        <v>43</v>
      </c>
      <c r="P2038" s="46" t="s">
        <v>50</v>
      </c>
    </row>
    <row r="2039" spans="2:16" ht="15" customHeight="1">
      <c r="B2039" s="47">
        <v>2017</v>
      </c>
      <c r="C2039" s="47" t="s">
        <v>885</v>
      </c>
      <c r="D2039" s="47" t="s">
        <v>224</v>
      </c>
      <c r="E2039" s="16" t="s">
        <v>1103</v>
      </c>
      <c r="L2039" s="47" t="s">
        <v>536</v>
      </c>
      <c r="M2039" s="47" t="s">
        <v>371</v>
      </c>
      <c r="N2039" s="47" t="s">
        <v>1011</v>
      </c>
      <c r="O2039" s="46" t="s">
        <v>43</v>
      </c>
      <c r="P2039" s="46" t="s">
        <v>50</v>
      </c>
    </row>
    <row r="2040" spans="2:16" ht="15" customHeight="1">
      <c r="B2040" s="47">
        <v>2018</v>
      </c>
      <c r="C2040" s="47" t="s">
        <v>885</v>
      </c>
      <c r="D2040" s="47" t="s">
        <v>224</v>
      </c>
      <c r="E2040" s="46" t="s">
        <v>228</v>
      </c>
      <c r="M2040" s="47" t="s">
        <v>371</v>
      </c>
      <c r="N2040" s="47" t="s">
        <v>1011</v>
      </c>
      <c r="O2040" s="46" t="s">
        <v>43</v>
      </c>
      <c r="P2040" s="46" t="s">
        <v>50</v>
      </c>
    </row>
    <row r="2041" spans="2:16" ht="15" customHeight="1">
      <c r="B2041" s="47">
        <v>2019</v>
      </c>
      <c r="C2041" s="47" t="s">
        <v>885</v>
      </c>
      <c r="D2041" s="47" t="s">
        <v>224</v>
      </c>
      <c r="E2041" s="46" t="s">
        <v>522</v>
      </c>
      <c r="L2041" s="54" t="s">
        <v>1007</v>
      </c>
      <c r="M2041" s="47" t="s">
        <v>1008</v>
      </c>
      <c r="N2041" s="47" t="s">
        <v>1011</v>
      </c>
      <c r="O2041" s="46" t="s">
        <v>43</v>
      </c>
      <c r="P2041" s="46" t="s">
        <v>50</v>
      </c>
    </row>
    <row r="2042" spans="2:16" ht="15" customHeight="1">
      <c r="B2042" s="47">
        <v>2020</v>
      </c>
      <c r="C2042" s="47" t="s">
        <v>885</v>
      </c>
      <c r="D2042" s="47" t="s">
        <v>224</v>
      </c>
      <c r="E2042" s="47" t="s">
        <v>1097</v>
      </c>
      <c r="L2042" s="47" t="s">
        <v>1009</v>
      </c>
      <c r="M2042" s="47" t="s">
        <v>1008</v>
      </c>
      <c r="N2042" s="47" t="s">
        <v>1011</v>
      </c>
      <c r="O2042" s="46" t="s">
        <v>43</v>
      </c>
      <c r="P2042" s="46" t="s">
        <v>50</v>
      </c>
    </row>
    <row r="2043" spans="2:16" ht="15" customHeight="1">
      <c r="B2043" s="47">
        <v>2021</v>
      </c>
      <c r="C2043" s="47" t="s">
        <v>885</v>
      </c>
      <c r="D2043" s="47" t="s">
        <v>224</v>
      </c>
      <c r="E2043" s="47" t="s">
        <v>519</v>
      </c>
      <c r="L2043" s="54" t="s">
        <v>403</v>
      </c>
      <c r="M2043" s="47" t="s">
        <v>1012</v>
      </c>
      <c r="N2043" s="47" t="s">
        <v>1003</v>
      </c>
      <c r="O2043" s="46" t="s">
        <v>43</v>
      </c>
      <c r="P2043" s="46" t="s">
        <v>50</v>
      </c>
    </row>
    <row r="2044" spans="2:16" ht="15" customHeight="1">
      <c r="B2044" s="47">
        <v>2022</v>
      </c>
      <c r="C2044" s="47" t="s">
        <v>885</v>
      </c>
      <c r="D2044" s="47" t="s">
        <v>224</v>
      </c>
      <c r="E2044" s="47" t="s">
        <v>519</v>
      </c>
      <c r="L2044" s="54" t="s">
        <v>403</v>
      </c>
      <c r="M2044" s="47" t="s">
        <v>1012</v>
      </c>
      <c r="N2044" s="47" t="s">
        <v>1010</v>
      </c>
      <c r="O2044" s="46" t="s">
        <v>43</v>
      </c>
      <c r="P2044" s="46" t="s">
        <v>50</v>
      </c>
    </row>
    <row r="2045" spans="2:16" ht="15" customHeight="1">
      <c r="B2045" s="47">
        <v>2023</v>
      </c>
      <c r="C2045" s="47" t="s">
        <v>885</v>
      </c>
      <c r="D2045" s="47" t="s">
        <v>224</v>
      </c>
      <c r="E2045" s="47" t="s">
        <v>519</v>
      </c>
      <c r="L2045" s="54" t="s">
        <v>403</v>
      </c>
      <c r="M2045" s="47" t="s">
        <v>1012</v>
      </c>
      <c r="N2045" s="47" t="s">
        <v>1011</v>
      </c>
      <c r="O2045" s="46" t="s">
        <v>43</v>
      </c>
      <c r="P2045" s="46" t="s">
        <v>50</v>
      </c>
    </row>
    <row r="2046" spans="2:16" ht="15" customHeight="1">
      <c r="B2046">
        <v>2026</v>
      </c>
      <c r="C2046" t="s">
        <v>856</v>
      </c>
      <c r="D2046" t="s">
        <v>224</v>
      </c>
    </row>
    <row r="2047" spans="2:16" ht="15" customHeight="1">
      <c r="B2047">
        <v>2027</v>
      </c>
      <c r="C2047" t="s">
        <v>856</v>
      </c>
      <c r="D2047" t="s">
        <v>224</v>
      </c>
    </row>
    <row r="2048" spans="2:16" ht="15" customHeight="1">
      <c r="B2048">
        <v>2028</v>
      </c>
      <c r="C2048" t="s">
        <v>856</v>
      </c>
      <c r="D2048" t="s">
        <v>224</v>
      </c>
    </row>
    <row r="2049" spans="2:16" ht="15" customHeight="1">
      <c r="B2049">
        <v>2029</v>
      </c>
      <c r="C2049" t="s">
        <v>856</v>
      </c>
      <c r="D2049" t="s">
        <v>224</v>
      </c>
    </row>
    <row r="2050" spans="2:16" ht="15" customHeight="1">
      <c r="B2050">
        <v>2030</v>
      </c>
      <c r="C2050" t="s">
        <v>856</v>
      </c>
      <c r="D2050" t="s">
        <v>224</v>
      </c>
    </row>
    <row r="2051" spans="2:16" ht="15" customHeight="1">
      <c r="B2051">
        <v>2031</v>
      </c>
      <c r="C2051" t="s">
        <v>856</v>
      </c>
      <c r="D2051" t="s">
        <v>224</v>
      </c>
    </row>
    <row r="2052" spans="2:16" ht="15" customHeight="1">
      <c r="B2052" s="47">
        <v>2032</v>
      </c>
      <c r="C2052" s="47" t="s">
        <v>857</v>
      </c>
      <c r="D2052" s="47" t="s">
        <v>204</v>
      </c>
      <c r="G2052" s="47" t="s">
        <v>1022</v>
      </c>
      <c r="N2052" s="47" t="s">
        <v>1023</v>
      </c>
      <c r="O2052" s="47" t="s">
        <v>58</v>
      </c>
      <c r="P2052" s="47" t="s">
        <v>1020</v>
      </c>
    </row>
    <row r="2053" spans="2:16" ht="15" customHeight="1">
      <c r="B2053">
        <v>2032</v>
      </c>
      <c r="C2053" s="47" t="s">
        <v>857</v>
      </c>
      <c r="D2053" s="47" t="s">
        <v>204</v>
      </c>
      <c r="H2053" s="47" t="s">
        <v>58</v>
      </c>
      <c r="I2053" s="47" t="s">
        <v>231</v>
      </c>
      <c r="L2053" s="15"/>
      <c r="M2053" s="15"/>
      <c r="N2053" s="47" t="s">
        <v>232</v>
      </c>
      <c r="O2053" s="47" t="s">
        <v>30</v>
      </c>
      <c r="P2053" s="47" t="s">
        <v>46</v>
      </c>
    </row>
    <row r="2054" spans="2:16" ht="15" customHeight="1">
      <c r="B2054" s="47">
        <v>2033</v>
      </c>
      <c r="C2054" s="47" t="s">
        <v>857</v>
      </c>
      <c r="D2054" s="47" t="s">
        <v>204</v>
      </c>
      <c r="G2054" s="47" t="s">
        <v>1022</v>
      </c>
      <c r="N2054" s="47" t="s">
        <v>1023</v>
      </c>
      <c r="O2054" s="47" t="s">
        <v>58</v>
      </c>
      <c r="P2054" s="47" t="s">
        <v>1020</v>
      </c>
    </row>
    <row r="2055" spans="2:16" ht="15" customHeight="1">
      <c r="B2055" s="47">
        <v>2033</v>
      </c>
      <c r="C2055" s="47" t="s">
        <v>857</v>
      </c>
      <c r="D2055" s="47" t="s">
        <v>204</v>
      </c>
      <c r="H2055" s="47" t="s">
        <v>58</v>
      </c>
      <c r="I2055" s="47" t="s">
        <v>231</v>
      </c>
      <c r="L2055" s="15"/>
      <c r="M2055" s="15"/>
      <c r="N2055" s="47" t="s">
        <v>232</v>
      </c>
      <c r="O2055" s="47" t="s">
        <v>30</v>
      </c>
      <c r="P2055" s="47" t="s">
        <v>46</v>
      </c>
    </row>
    <row r="2056" spans="2:16" ht="15" customHeight="1">
      <c r="B2056" s="47">
        <v>2034</v>
      </c>
      <c r="C2056" s="47" t="s">
        <v>857</v>
      </c>
      <c r="D2056" s="47" t="s">
        <v>204</v>
      </c>
      <c r="G2056" s="47" t="s">
        <v>1022</v>
      </c>
      <c r="N2056" s="47" t="s">
        <v>1023</v>
      </c>
      <c r="O2056" s="47" t="s">
        <v>58</v>
      </c>
      <c r="P2056" s="47" t="s">
        <v>1020</v>
      </c>
    </row>
    <row r="2057" spans="2:16" ht="15" customHeight="1">
      <c r="B2057" s="47">
        <v>2034</v>
      </c>
      <c r="C2057" s="47" t="s">
        <v>857</v>
      </c>
      <c r="D2057" s="47" t="s">
        <v>204</v>
      </c>
      <c r="H2057" s="47" t="s">
        <v>58</v>
      </c>
      <c r="I2057" s="47" t="s">
        <v>231</v>
      </c>
      <c r="L2057" s="15"/>
      <c r="M2057" s="15"/>
      <c r="N2057" s="47" t="s">
        <v>232</v>
      </c>
      <c r="O2057" s="47" t="s">
        <v>30</v>
      </c>
      <c r="P2057" s="47" t="s">
        <v>46</v>
      </c>
    </row>
    <row r="2058" spans="2:16" ht="15" customHeight="1">
      <c r="B2058" s="47">
        <v>2035</v>
      </c>
      <c r="C2058" s="47" t="s">
        <v>857</v>
      </c>
      <c r="D2058" s="47" t="s">
        <v>204</v>
      </c>
      <c r="G2058" s="47" t="s">
        <v>1022</v>
      </c>
      <c r="L2058" s="54" t="s">
        <v>403</v>
      </c>
      <c r="M2058" s="47" t="s">
        <v>1024</v>
      </c>
      <c r="N2058" s="47" t="s">
        <v>1025</v>
      </c>
      <c r="O2058" s="47" t="s">
        <v>58</v>
      </c>
      <c r="P2058" s="47" t="s">
        <v>1020</v>
      </c>
    </row>
    <row r="2059" spans="2:16" ht="15" customHeight="1">
      <c r="B2059" s="47">
        <v>2036</v>
      </c>
      <c r="C2059" s="47" t="s">
        <v>857</v>
      </c>
      <c r="D2059" s="47" t="s">
        <v>204</v>
      </c>
      <c r="G2059" s="47" t="s">
        <v>1022</v>
      </c>
      <c r="L2059" s="54" t="s">
        <v>403</v>
      </c>
      <c r="M2059" s="47" t="s">
        <v>1024</v>
      </c>
      <c r="N2059" s="47" t="s">
        <v>1025</v>
      </c>
      <c r="O2059" s="47" t="s">
        <v>58</v>
      </c>
      <c r="P2059" s="47" t="s">
        <v>1020</v>
      </c>
    </row>
    <row r="2060" spans="2:16" ht="15" customHeight="1">
      <c r="B2060" s="47">
        <v>2037</v>
      </c>
      <c r="C2060" s="47" t="s">
        <v>857</v>
      </c>
      <c r="D2060" s="47" t="s">
        <v>204</v>
      </c>
      <c r="G2060" s="47" t="s">
        <v>1022</v>
      </c>
      <c r="L2060" s="54" t="s">
        <v>403</v>
      </c>
      <c r="M2060" s="47" t="s">
        <v>1024</v>
      </c>
      <c r="N2060" s="47" t="s">
        <v>1025</v>
      </c>
      <c r="O2060" s="47" t="s">
        <v>58</v>
      </c>
      <c r="P2060" s="47" t="s">
        <v>1020</v>
      </c>
    </row>
    <row r="2061" spans="2:16" ht="15" customHeight="1">
      <c r="B2061" s="47">
        <v>2038</v>
      </c>
      <c r="C2061" s="47" t="s">
        <v>857</v>
      </c>
      <c r="D2061" s="47" t="s">
        <v>204</v>
      </c>
      <c r="G2061" s="47" t="s">
        <v>1022</v>
      </c>
      <c r="L2061" s="54" t="s">
        <v>403</v>
      </c>
      <c r="M2061" s="47" t="s">
        <v>1026</v>
      </c>
      <c r="N2061" s="47" t="s">
        <v>1027</v>
      </c>
      <c r="O2061" s="47" t="s">
        <v>58</v>
      </c>
      <c r="P2061" s="47" t="s">
        <v>1020</v>
      </c>
    </row>
    <row r="2062" spans="2:16" ht="15" customHeight="1">
      <c r="B2062" s="47">
        <v>2039</v>
      </c>
      <c r="C2062" s="47" t="s">
        <v>857</v>
      </c>
      <c r="D2062" s="47" t="s">
        <v>204</v>
      </c>
      <c r="L2062" s="54" t="s">
        <v>403</v>
      </c>
      <c r="M2062" s="47" t="s">
        <v>1026</v>
      </c>
      <c r="N2062" s="47" t="s">
        <v>1027</v>
      </c>
      <c r="O2062" s="47" t="s">
        <v>58</v>
      </c>
      <c r="P2062" s="47" t="s">
        <v>1020</v>
      </c>
    </row>
    <row r="2063" spans="2:16" ht="15" customHeight="1">
      <c r="B2063" s="47">
        <v>2041</v>
      </c>
      <c r="C2063" s="47" t="s">
        <v>857</v>
      </c>
      <c r="D2063" s="47" t="s">
        <v>204</v>
      </c>
      <c r="G2063" s="47" t="s">
        <v>1028</v>
      </c>
      <c r="L2063" s="47" t="s">
        <v>1029</v>
      </c>
      <c r="M2063" s="47" t="s">
        <v>1030</v>
      </c>
      <c r="N2063" s="47" t="s">
        <v>307</v>
      </c>
      <c r="O2063" s="47" t="s">
        <v>58</v>
      </c>
      <c r="P2063" s="47" t="s">
        <v>1020</v>
      </c>
    </row>
    <row r="2064" spans="2:16" ht="15" customHeight="1">
      <c r="B2064" s="47">
        <v>2042</v>
      </c>
      <c r="C2064" s="47" t="s">
        <v>857</v>
      </c>
      <c r="D2064" s="47" t="s">
        <v>204</v>
      </c>
      <c r="G2064" s="47" t="s">
        <v>1028</v>
      </c>
      <c r="L2064" s="47" t="s">
        <v>1029</v>
      </c>
      <c r="M2064" s="47" t="s">
        <v>1030</v>
      </c>
      <c r="N2064" s="47" t="s">
        <v>307</v>
      </c>
      <c r="O2064" s="47" t="s">
        <v>58</v>
      </c>
      <c r="P2064" s="47" t="s">
        <v>1020</v>
      </c>
    </row>
    <row r="2065" spans="2:16" ht="15" customHeight="1">
      <c r="B2065" s="47">
        <v>2043</v>
      </c>
      <c r="C2065" s="47" t="s">
        <v>857</v>
      </c>
      <c r="D2065" s="47" t="s">
        <v>204</v>
      </c>
      <c r="G2065" s="47" t="s">
        <v>1028</v>
      </c>
      <c r="L2065" s="47" t="s">
        <v>1029</v>
      </c>
      <c r="M2065" s="47" t="s">
        <v>1030</v>
      </c>
      <c r="N2065" s="47" t="s">
        <v>307</v>
      </c>
      <c r="O2065" s="47" t="s">
        <v>58</v>
      </c>
      <c r="P2065" s="47" t="s">
        <v>1020</v>
      </c>
    </row>
    <row r="2066" spans="2:16" ht="15" customHeight="1">
      <c r="B2066" s="47">
        <v>2044</v>
      </c>
      <c r="C2066" s="47" t="s">
        <v>857</v>
      </c>
      <c r="D2066" s="47" t="s">
        <v>204</v>
      </c>
      <c r="G2066" s="47" t="s">
        <v>1022</v>
      </c>
      <c r="L2066" s="54" t="s">
        <v>403</v>
      </c>
      <c r="M2066" s="47" t="s">
        <v>1031</v>
      </c>
      <c r="N2066" s="47" t="s">
        <v>1032</v>
      </c>
      <c r="O2066" s="47" t="s">
        <v>58</v>
      </c>
      <c r="P2066" s="47" t="s">
        <v>1020</v>
      </c>
    </row>
    <row r="2067" spans="2:16" ht="15" customHeight="1">
      <c r="B2067" s="47">
        <v>2046</v>
      </c>
      <c r="C2067" s="47" t="s">
        <v>901</v>
      </c>
      <c r="D2067" s="48"/>
      <c r="E2067" s="46" t="s">
        <v>1004</v>
      </c>
      <c r="L2067" s="47" t="s">
        <v>536</v>
      </c>
      <c r="M2067" s="47" t="s">
        <v>1005</v>
      </c>
      <c r="O2067" s="46" t="s">
        <v>43</v>
      </c>
      <c r="P2067" s="46" t="s">
        <v>50</v>
      </c>
    </row>
    <row r="2068" spans="2:16" ht="15" customHeight="1">
      <c r="B2068" s="47">
        <v>2047</v>
      </c>
      <c r="C2068" s="47" t="s">
        <v>901</v>
      </c>
      <c r="D2068" s="48"/>
      <c r="E2068" s="46" t="s">
        <v>1004</v>
      </c>
      <c r="L2068" s="47" t="s">
        <v>536</v>
      </c>
      <c r="M2068" s="47" t="s">
        <v>1005</v>
      </c>
      <c r="O2068" s="46" t="s">
        <v>43</v>
      </c>
      <c r="P2068" s="46" t="s">
        <v>50</v>
      </c>
    </row>
    <row r="2069" spans="2:16" ht="15" customHeight="1">
      <c r="B2069" s="47">
        <v>2047</v>
      </c>
      <c r="C2069" s="47" t="s">
        <v>888</v>
      </c>
      <c r="D2069" s="47" t="s">
        <v>960</v>
      </c>
      <c r="F2069" s="47" t="s">
        <v>990</v>
      </c>
      <c r="G2069" s="47">
        <v>3</v>
      </c>
      <c r="L2069" s="47" t="s">
        <v>962</v>
      </c>
      <c r="M2069" s="47" t="s">
        <v>988</v>
      </c>
      <c r="O2069" s="47" t="s">
        <v>30</v>
      </c>
      <c r="P2069" s="47" t="s">
        <v>46</v>
      </c>
    </row>
    <row r="2070" spans="2:16" ht="15" customHeight="1">
      <c r="B2070" s="47">
        <v>2048</v>
      </c>
      <c r="C2070" s="47" t="s">
        <v>901</v>
      </c>
      <c r="D2070" s="48"/>
      <c r="E2070" s="46" t="s">
        <v>1006</v>
      </c>
      <c r="L2070" s="47" t="s">
        <v>536</v>
      </c>
      <c r="M2070" s="47" t="s">
        <v>1005</v>
      </c>
      <c r="O2070" s="46" t="s">
        <v>43</v>
      </c>
      <c r="P2070" s="46" t="s">
        <v>50</v>
      </c>
    </row>
    <row r="2071" spans="2:16" ht="15" customHeight="1">
      <c r="B2071" s="47">
        <v>2048</v>
      </c>
      <c r="C2071" s="47" t="s">
        <v>888</v>
      </c>
      <c r="D2071" s="47" t="s">
        <v>960</v>
      </c>
      <c r="F2071" s="47" t="s">
        <v>991</v>
      </c>
      <c r="G2071" s="47">
        <v>20</v>
      </c>
      <c r="L2071" s="47" t="s">
        <v>962</v>
      </c>
      <c r="M2071" s="47" t="s">
        <v>988</v>
      </c>
      <c r="O2071" s="47" t="s">
        <v>30</v>
      </c>
      <c r="P2071" s="47" t="s">
        <v>46</v>
      </c>
    </row>
    <row r="2072" spans="2:16" ht="15" customHeight="1">
      <c r="B2072" s="47">
        <v>2049</v>
      </c>
      <c r="C2072" s="47" t="s">
        <v>901</v>
      </c>
      <c r="D2072" s="48"/>
      <c r="E2072" s="46" t="s">
        <v>1006</v>
      </c>
      <c r="L2072" s="47" t="s">
        <v>536</v>
      </c>
      <c r="M2072" s="47" t="s">
        <v>1005</v>
      </c>
      <c r="O2072" s="46" t="s">
        <v>43</v>
      </c>
      <c r="P2072" s="46" t="s">
        <v>50</v>
      </c>
    </row>
    <row r="2073" spans="2:16" ht="15" customHeight="1">
      <c r="B2073" s="47">
        <v>2049</v>
      </c>
      <c r="C2073" s="47" t="s">
        <v>888</v>
      </c>
      <c r="D2073" s="47" t="s">
        <v>960</v>
      </c>
      <c r="F2073" s="47" t="s">
        <v>999</v>
      </c>
      <c r="G2073" s="47">
        <v>2</v>
      </c>
      <c r="L2073" s="47" t="s">
        <v>962</v>
      </c>
      <c r="M2073" s="47" t="s">
        <v>988</v>
      </c>
      <c r="O2073" s="47" t="s">
        <v>30</v>
      </c>
      <c r="P2073" s="47" t="s">
        <v>46</v>
      </c>
    </row>
    <row r="2074" spans="2:16" ht="15" customHeight="1">
      <c r="B2074" s="47">
        <v>2050</v>
      </c>
      <c r="C2074" s="47" t="s">
        <v>901</v>
      </c>
      <c r="D2074" s="48"/>
      <c r="E2074" s="46" t="s">
        <v>267</v>
      </c>
      <c r="L2074" s="47" t="s">
        <v>536</v>
      </c>
      <c r="M2074" s="47" t="s">
        <v>371</v>
      </c>
      <c r="O2074" s="46" t="s">
        <v>43</v>
      </c>
      <c r="P2074" s="46" t="s">
        <v>50</v>
      </c>
    </row>
    <row r="2075" spans="2:16" ht="15" customHeight="1">
      <c r="B2075" s="47">
        <v>2050</v>
      </c>
      <c r="C2075" s="47" t="s">
        <v>888</v>
      </c>
      <c r="D2075" s="47" t="s">
        <v>960</v>
      </c>
      <c r="F2075" s="47" t="s">
        <v>1000</v>
      </c>
      <c r="G2075" s="47" t="s">
        <v>1001</v>
      </c>
      <c r="L2075" s="47" t="s">
        <v>962</v>
      </c>
      <c r="M2075" s="47" t="s">
        <v>988</v>
      </c>
      <c r="O2075" s="47" t="s">
        <v>30</v>
      </c>
      <c r="P2075" s="47" t="s">
        <v>46</v>
      </c>
    </row>
    <row r="2076" spans="2:16" ht="15" customHeight="1">
      <c r="B2076" s="47">
        <v>2051</v>
      </c>
      <c r="C2076" s="47" t="s">
        <v>901</v>
      </c>
      <c r="D2076" s="48"/>
      <c r="E2076" s="16" t="s">
        <v>1103</v>
      </c>
      <c r="L2076" s="47" t="s">
        <v>536</v>
      </c>
      <c r="M2076" s="47" t="s">
        <v>371</v>
      </c>
      <c r="O2076" s="46" t="s">
        <v>43</v>
      </c>
      <c r="P2076" s="46" t="s">
        <v>50</v>
      </c>
    </row>
    <row r="2077" spans="2:16" ht="15" customHeight="1">
      <c r="B2077" s="47">
        <v>2051</v>
      </c>
      <c r="C2077" s="47" t="s">
        <v>888</v>
      </c>
      <c r="D2077" s="47" t="s">
        <v>960</v>
      </c>
      <c r="F2077" s="47" t="s">
        <v>1000</v>
      </c>
      <c r="G2077" s="47" t="s">
        <v>1001</v>
      </c>
      <c r="L2077" s="47" t="s">
        <v>962</v>
      </c>
      <c r="M2077" s="47" t="s">
        <v>1002</v>
      </c>
      <c r="O2077" s="47" t="s">
        <v>30</v>
      </c>
      <c r="P2077" s="47" t="s">
        <v>46</v>
      </c>
    </row>
    <row r="2078" spans="2:16" ht="15" customHeight="1">
      <c r="B2078" s="47">
        <v>2052</v>
      </c>
      <c r="C2078" s="47" t="s">
        <v>1013</v>
      </c>
      <c r="D2078" s="47" t="s">
        <v>1014</v>
      </c>
      <c r="E2078" s="47" t="s">
        <v>1015</v>
      </c>
      <c r="L2078" s="54" t="s">
        <v>403</v>
      </c>
      <c r="M2078" s="47" t="s">
        <v>1016</v>
      </c>
      <c r="O2078" s="46" t="s">
        <v>43</v>
      </c>
    </row>
    <row r="2079" spans="2:16" ht="15" customHeight="1">
      <c r="B2079" s="47">
        <v>2052</v>
      </c>
      <c r="C2079" s="47" t="s">
        <v>901</v>
      </c>
      <c r="D2079" s="48"/>
      <c r="E2079" s="46" t="s">
        <v>228</v>
      </c>
      <c r="M2079" s="47" t="s">
        <v>371</v>
      </c>
      <c r="O2079" s="46" t="s">
        <v>43</v>
      </c>
      <c r="P2079" s="46" t="s">
        <v>50</v>
      </c>
    </row>
    <row r="2080" spans="2:16" ht="15" customHeight="1">
      <c r="B2080" s="47">
        <v>2053</v>
      </c>
      <c r="C2080" s="47" t="s">
        <v>1013</v>
      </c>
      <c r="D2080" s="47" t="s">
        <v>1014</v>
      </c>
      <c r="E2080" s="47" t="s">
        <v>1017</v>
      </c>
      <c r="L2080" s="54" t="s">
        <v>403</v>
      </c>
      <c r="M2080" s="47" t="s">
        <v>1016</v>
      </c>
      <c r="O2080" s="46" t="s">
        <v>43</v>
      </c>
    </row>
    <row r="2081" spans="2:16" ht="15" customHeight="1">
      <c r="B2081" s="47">
        <v>2053</v>
      </c>
      <c r="C2081" s="47" t="s">
        <v>901</v>
      </c>
      <c r="D2081" s="48"/>
      <c r="E2081" s="47" t="s">
        <v>519</v>
      </c>
      <c r="L2081" s="54" t="s">
        <v>403</v>
      </c>
      <c r="M2081" s="47" t="s">
        <v>1012</v>
      </c>
      <c r="O2081" s="46" t="s">
        <v>43</v>
      </c>
      <c r="P2081" s="46" t="s">
        <v>50</v>
      </c>
    </row>
    <row r="2082" spans="2:16" ht="15" customHeight="1">
      <c r="B2082" s="47">
        <v>2054</v>
      </c>
      <c r="C2082" s="47" t="s">
        <v>901</v>
      </c>
      <c r="D2082" s="48"/>
      <c r="E2082" s="46" t="s">
        <v>522</v>
      </c>
      <c r="L2082" s="54" t="s">
        <v>1007</v>
      </c>
      <c r="M2082" s="47" t="s">
        <v>1008</v>
      </c>
      <c r="O2082" s="46" t="s">
        <v>43</v>
      </c>
      <c r="P2082" s="46" t="s">
        <v>50</v>
      </c>
    </row>
    <row r="2083" spans="2:16" ht="15" customHeight="1">
      <c r="B2083" s="47">
        <v>2055</v>
      </c>
      <c r="C2083" s="47" t="s">
        <v>1219</v>
      </c>
      <c r="F2083" s="47" t="s">
        <v>1233</v>
      </c>
      <c r="G2083" s="47">
        <v>1</v>
      </c>
      <c r="H2083" s="47" t="s">
        <v>1274</v>
      </c>
      <c r="L2083" s="47" t="s">
        <v>314</v>
      </c>
      <c r="M2083" s="47" t="s">
        <v>1281</v>
      </c>
    </row>
    <row r="2084" spans="2:16" ht="15" customHeight="1">
      <c r="B2084" s="47">
        <v>2055</v>
      </c>
      <c r="C2084" s="47" t="s">
        <v>901</v>
      </c>
      <c r="D2084" s="48"/>
      <c r="E2084" s="47" t="s">
        <v>1097</v>
      </c>
      <c r="L2084" s="47" t="s">
        <v>1009</v>
      </c>
      <c r="M2084" s="47" t="s">
        <v>1008</v>
      </c>
      <c r="O2084" s="46" t="s">
        <v>43</v>
      </c>
      <c r="P2084" s="46" t="s">
        <v>50</v>
      </c>
    </row>
    <row r="2085" spans="2:16" ht="15" customHeight="1">
      <c r="B2085" s="47">
        <v>2056</v>
      </c>
      <c r="C2085" s="47" t="s">
        <v>1219</v>
      </c>
      <c r="F2085" s="47" t="s">
        <v>1233</v>
      </c>
      <c r="G2085" s="47">
        <v>1</v>
      </c>
      <c r="H2085" s="47" t="s">
        <v>1274</v>
      </c>
      <c r="L2085" s="47" t="s">
        <v>1276</v>
      </c>
      <c r="M2085" s="47" t="s">
        <v>1279</v>
      </c>
    </row>
    <row r="2086" spans="2:16" ht="15" customHeight="1">
      <c r="B2086" s="47">
        <v>2056</v>
      </c>
      <c r="C2086" s="47" t="s">
        <v>901</v>
      </c>
      <c r="D2086" s="48"/>
      <c r="E2086" s="46" t="s">
        <v>1033</v>
      </c>
      <c r="F2086" s="46"/>
      <c r="G2086" s="46"/>
      <c r="H2086" s="46"/>
      <c r="I2086" s="46"/>
      <c r="J2086" s="46"/>
      <c r="K2086" s="46"/>
      <c r="L2086" s="46" t="s">
        <v>1034</v>
      </c>
      <c r="M2086" s="46" t="s">
        <v>292</v>
      </c>
      <c r="N2086" s="46"/>
      <c r="O2086" s="46" t="s">
        <v>43</v>
      </c>
      <c r="P2086" s="46" t="s">
        <v>50</v>
      </c>
    </row>
    <row r="2087" spans="2:16" ht="15" customHeight="1">
      <c r="B2087" s="47">
        <v>2057</v>
      </c>
      <c r="C2087" s="47" t="s">
        <v>1219</v>
      </c>
      <c r="F2087" s="47" t="s">
        <v>1233</v>
      </c>
      <c r="G2087" s="47">
        <v>1</v>
      </c>
      <c r="H2087" s="47" t="s">
        <v>1274</v>
      </c>
      <c r="L2087" s="47" t="s">
        <v>1277</v>
      </c>
      <c r="M2087" s="47" t="s">
        <v>1282</v>
      </c>
    </row>
    <row r="2088" spans="2:16" ht="15" customHeight="1">
      <c r="B2088" s="47">
        <v>2057</v>
      </c>
      <c r="C2088" s="47" t="s">
        <v>901</v>
      </c>
      <c r="D2088" s="48"/>
      <c r="E2088" s="46" t="s">
        <v>276</v>
      </c>
      <c r="F2088" s="46"/>
      <c r="G2088" s="46"/>
      <c r="H2088" s="46"/>
      <c r="I2088" s="46"/>
      <c r="J2088" s="46"/>
      <c r="K2088" s="46"/>
      <c r="L2088" s="46"/>
      <c r="M2088" s="46" t="s">
        <v>1035</v>
      </c>
      <c r="N2088" s="46"/>
      <c r="O2088" s="46" t="s">
        <v>43</v>
      </c>
      <c r="P2088" s="46" t="s">
        <v>50</v>
      </c>
    </row>
    <row r="2089" spans="2:16" ht="15" customHeight="1">
      <c r="B2089" s="47">
        <v>2058</v>
      </c>
      <c r="C2089" s="47" t="s">
        <v>1219</v>
      </c>
      <c r="F2089" s="47" t="s">
        <v>1233</v>
      </c>
      <c r="G2089" s="47">
        <v>1</v>
      </c>
      <c r="H2089" s="47" t="s">
        <v>1274</v>
      </c>
      <c r="L2089" s="47" t="s">
        <v>314</v>
      </c>
      <c r="M2089" s="47" t="s">
        <v>1281</v>
      </c>
    </row>
    <row r="2090" spans="2:16" ht="15" customHeight="1">
      <c r="B2090" s="47">
        <v>2058</v>
      </c>
      <c r="C2090" s="47" t="s">
        <v>901</v>
      </c>
      <c r="D2090" s="48"/>
      <c r="E2090" s="47" t="s">
        <v>1093</v>
      </c>
      <c r="F2090" s="46"/>
      <c r="G2090" s="46"/>
      <c r="H2090" s="46"/>
      <c r="I2090" s="46"/>
      <c r="J2090" s="46"/>
      <c r="K2090" s="46"/>
      <c r="L2090" s="46" t="s">
        <v>531</v>
      </c>
      <c r="M2090" s="46" t="s">
        <v>292</v>
      </c>
      <c r="N2090" s="46"/>
      <c r="O2090" s="46" t="s">
        <v>43</v>
      </c>
      <c r="P2090" s="46" t="s">
        <v>50</v>
      </c>
    </row>
    <row r="2091" spans="2:16" ht="15" customHeight="1">
      <c r="B2091" s="47">
        <v>2059</v>
      </c>
      <c r="C2091" s="47" t="s">
        <v>901</v>
      </c>
      <c r="D2091" s="48"/>
      <c r="E2091" s="46" t="s">
        <v>522</v>
      </c>
      <c r="L2091" s="54" t="s">
        <v>1007</v>
      </c>
      <c r="M2091" s="47" t="s">
        <v>1008</v>
      </c>
      <c r="O2091" s="46" t="s">
        <v>43</v>
      </c>
      <c r="P2091" s="46" t="s">
        <v>50</v>
      </c>
    </row>
    <row r="2092" spans="2:16" ht="15" customHeight="1">
      <c r="B2092" s="47">
        <v>2060</v>
      </c>
      <c r="C2092" s="47" t="s">
        <v>1219</v>
      </c>
      <c r="F2092" s="47" t="s">
        <v>1233</v>
      </c>
      <c r="G2092" s="47">
        <v>1</v>
      </c>
      <c r="H2092" s="47" t="s">
        <v>1274</v>
      </c>
      <c r="L2092" s="47" t="s">
        <v>314</v>
      </c>
      <c r="M2092" s="47" t="s">
        <v>1281</v>
      </c>
    </row>
    <row r="2093" spans="2:16" ht="15" customHeight="1">
      <c r="B2093" s="47">
        <v>2060</v>
      </c>
      <c r="C2093" s="47" t="s">
        <v>901</v>
      </c>
      <c r="D2093" s="48"/>
      <c r="E2093" s="47" t="s">
        <v>1097</v>
      </c>
      <c r="L2093" s="47" t="s">
        <v>1009</v>
      </c>
      <c r="M2093" s="47" t="s">
        <v>1008</v>
      </c>
      <c r="O2093" s="46" t="s">
        <v>43</v>
      </c>
      <c r="P2093" s="46" t="s">
        <v>50</v>
      </c>
    </row>
    <row r="2094" spans="2:16" ht="15" customHeight="1">
      <c r="B2094" s="47">
        <v>2061</v>
      </c>
      <c r="C2094" s="47" t="s">
        <v>1219</v>
      </c>
      <c r="F2094" s="47" t="s">
        <v>1233</v>
      </c>
      <c r="G2094" s="47">
        <v>1</v>
      </c>
      <c r="H2094" s="47" t="s">
        <v>1274</v>
      </c>
      <c r="L2094" s="47" t="s">
        <v>1276</v>
      </c>
      <c r="M2094" s="47" t="s">
        <v>1279</v>
      </c>
    </row>
    <row r="2095" spans="2:16" ht="15" customHeight="1">
      <c r="B2095" s="47">
        <v>2061</v>
      </c>
      <c r="C2095" s="47" t="s">
        <v>901</v>
      </c>
      <c r="D2095" s="48"/>
      <c r="E2095" s="46" t="s">
        <v>1033</v>
      </c>
      <c r="F2095" s="46"/>
      <c r="G2095" s="46"/>
      <c r="H2095" s="46"/>
      <c r="I2095" s="46"/>
      <c r="J2095" s="46"/>
      <c r="K2095" s="46"/>
      <c r="L2095" s="46" t="s">
        <v>1034</v>
      </c>
      <c r="M2095" s="46" t="s">
        <v>292</v>
      </c>
      <c r="N2095" s="46"/>
      <c r="O2095" s="46" t="s">
        <v>43</v>
      </c>
      <c r="P2095" s="46" t="s">
        <v>50</v>
      </c>
    </row>
    <row r="2096" spans="2:16" ht="15" customHeight="1">
      <c r="B2096" s="47">
        <v>2062</v>
      </c>
      <c r="C2096" s="47" t="s">
        <v>1219</v>
      </c>
      <c r="F2096" s="47" t="s">
        <v>1233</v>
      </c>
      <c r="G2096" s="47">
        <v>1</v>
      </c>
      <c r="H2096" s="47" t="s">
        <v>1274</v>
      </c>
      <c r="L2096" s="47" t="s">
        <v>1277</v>
      </c>
      <c r="M2096" s="47" t="s">
        <v>1282</v>
      </c>
    </row>
    <row r="2097" spans="2:16" ht="15" customHeight="1">
      <c r="B2097" s="47">
        <v>2062</v>
      </c>
      <c r="C2097" s="47" t="s">
        <v>901</v>
      </c>
      <c r="D2097" s="48"/>
      <c r="E2097" s="46" t="s">
        <v>276</v>
      </c>
      <c r="F2097" s="46"/>
      <c r="G2097" s="46"/>
      <c r="H2097" s="46"/>
      <c r="I2097" s="46"/>
      <c r="J2097" s="46"/>
      <c r="K2097" s="46"/>
      <c r="L2097" s="46"/>
      <c r="M2097" s="46" t="s">
        <v>1035</v>
      </c>
      <c r="N2097" s="46"/>
      <c r="O2097" s="46" t="s">
        <v>43</v>
      </c>
      <c r="P2097" s="46" t="s">
        <v>50</v>
      </c>
    </row>
    <row r="2098" spans="2:16" ht="15" customHeight="1">
      <c r="B2098" s="47">
        <v>2063</v>
      </c>
      <c r="C2098" s="47" t="s">
        <v>1219</v>
      </c>
      <c r="F2098" s="47" t="s">
        <v>1233</v>
      </c>
      <c r="G2098" s="47">
        <v>1</v>
      </c>
      <c r="H2098" s="47" t="s">
        <v>1274</v>
      </c>
      <c r="L2098" s="47" t="s">
        <v>314</v>
      </c>
      <c r="M2098" s="47" t="s">
        <v>1281</v>
      </c>
    </row>
    <row r="2099" spans="2:16" ht="15" customHeight="1">
      <c r="B2099" s="47">
        <v>2063</v>
      </c>
      <c r="C2099" s="47" t="s">
        <v>901</v>
      </c>
      <c r="D2099" s="48"/>
      <c r="E2099" s="47" t="s">
        <v>1093</v>
      </c>
      <c r="F2099" s="46"/>
      <c r="G2099" s="46"/>
      <c r="H2099" s="46"/>
      <c r="I2099" s="46"/>
      <c r="J2099" s="46"/>
      <c r="K2099" s="46"/>
      <c r="L2099" s="46" t="s">
        <v>531</v>
      </c>
      <c r="M2099" s="46" t="s">
        <v>292</v>
      </c>
      <c r="N2099" s="46"/>
      <c r="O2099" s="46" t="s">
        <v>43</v>
      </c>
      <c r="P2099" s="46" t="s">
        <v>50</v>
      </c>
    </row>
    <row r="2100" spans="2:16" ht="15" customHeight="1">
      <c r="B2100" s="47">
        <v>2064</v>
      </c>
      <c r="C2100" s="47" t="s">
        <v>901</v>
      </c>
      <c r="D2100" s="48"/>
      <c r="E2100" s="46" t="s">
        <v>522</v>
      </c>
      <c r="L2100" s="54" t="s">
        <v>1007</v>
      </c>
      <c r="M2100" s="47" t="s">
        <v>1008</v>
      </c>
      <c r="O2100" s="46" t="s">
        <v>43</v>
      </c>
      <c r="P2100" s="46" t="s">
        <v>50</v>
      </c>
    </row>
    <row r="2101" spans="2:16" ht="15" customHeight="1">
      <c r="B2101" s="47">
        <v>2065</v>
      </c>
      <c r="C2101" s="47" t="s">
        <v>1219</v>
      </c>
      <c r="F2101" s="47" t="s">
        <v>1233</v>
      </c>
      <c r="G2101" s="47">
        <v>1</v>
      </c>
      <c r="H2101" s="47" t="s">
        <v>1274</v>
      </c>
      <c r="L2101" s="47" t="s">
        <v>314</v>
      </c>
      <c r="M2101" s="47" t="s">
        <v>1281</v>
      </c>
    </row>
    <row r="2102" spans="2:16" ht="15" customHeight="1">
      <c r="B2102" s="47">
        <v>2065</v>
      </c>
      <c r="C2102" s="47" t="s">
        <v>901</v>
      </c>
      <c r="D2102" s="48"/>
      <c r="E2102" s="47" t="s">
        <v>1097</v>
      </c>
      <c r="L2102" s="47" t="s">
        <v>1009</v>
      </c>
      <c r="M2102" s="47" t="s">
        <v>1008</v>
      </c>
      <c r="O2102" s="46" t="s">
        <v>43</v>
      </c>
      <c r="P2102" s="46" t="s">
        <v>50</v>
      </c>
    </row>
    <row r="2103" spans="2:16" ht="15" customHeight="1">
      <c r="B2103" s="47">
        <v>2066</v>
      </c>
      <c r="C2103" s="47" t="s">
        <v>1219</v>
      </c>
      <c r="F2103" s="47" t="s">
        <v>1233</v>
      </c>
      <c r="G2103" s="47">
        <v>1</v>
      </c>
      <c r="H2103" s="47" t="s">
        <v>1274</v>
      </c>
      <c r="L2103" s="47" t="s">
        <v>1276</v>
      </c>
      <c r="M2103" s="47" t="s">
        <v>1279</v>
      </c>
    </row>
    <row r="2104" spans="2:16" ht="15" customHeight="1">
      <c r="B2104" s="47">
        <v>2066</v>
      </c>
      <c r="C2104" s="47" t="s">
        <v>901</v>
      </c>
      <c r="D2104" s="48"/>
      <c r="E2104" s="46" t="s">
        <v>1033</v>
      </c>
      <c r="F2104" s="46"/>
      <c r="G2104" s="46"/>
      <c r="H2104" s="46"/>
      <c r="I2104" s="46"/>
      <c r="J2104" s="46"/>
      <c r="K2104" s="46"/>
      <c r="L2104" s="46" t="s">
        <v>1034</v>
      </c>
      <c r="M2104" s="46" t="s">
        <v>292</v>
      </c>
      <c r="N2104" s="46"/>
      <c r="O2104" s="46" t="s">
        <v>43</v>
      </c>
      <c r="P2104" s="46" t="s">
        <v>50</v>
      </c>
    </row>
    <row r="2105" spans="2:16" ht="15" customHeight="1">
      <c r="B2105" s="47">
        <v>2067</v>
      </c>
      <c r="C2105" s="47" t="s">
        <v>1219</v>
      </c>
      <c r="F2105" s="47" t="s">
        <v>1233</v>
      </c>
      <c r="G2105" s="47">
        <v>1</v>
      </c>
      <c r="H2105" s="47" t="s">
        <v>1274</v>
      </c>
      <c r="L2105" s="47" t="s">
        <v>1277</v>
      </c>
      <c r="M2105" s="47" t="s">
        <v>1282</v>
      </c>
    </row>
    <row r="2106" spans="2:16" ht="15" customHeight="1">
      <c r="B2106" s="47">
        <v>2067</v>
      </c>
      <c r="C2106" s="47" t="s">
        <v>901</v>
      </c>
      <c r="D2106" s="48"/>
      <c r="E2106" s="46" t="s">
        <v>276</v>
      </c>
      <c r="F2106" s="46"/>
      <c r="G2106" s="46"/>
      <c r="H2106" s="46"/>
      <c r="I2106" s="46"/>
      <c r="J2106" s="46"/>
      <c r="K2106" s="46"/>
      <c r="L2106" s="46"/>
      <c r="M2106" s="46" t="s">
        <v>1035</v>
      </c>
      <c r="N2106" s="46"/>
      <c r="O2106" s="46" t="s">
        <v>43</v>
      </c>
      <c r="P2106" s="46" t="s">
        <v>50</v>
      </c>
    </row>
    <row r="2107" spans="2:16" ht="15" customHeight="1">
      <c r="B2107" s="47">
        <v>2068</v>
      </c>
      <c r="C2107" s="47" t="s">
        <v>1219</v>
      </c>
      <c r="F2107" s="47" t="s">
        <v>1233</v>
      </c>
      <c r="G2107" s="47">
        <v>1</v>
      </c>
      <c r="H2107" s="47" t="s">
        <v>1274</v>
      </c>
      <c r="L2107" s="47" t="s">
        <v>314</v>
      </c>
      <c r="M2107" s="47" t="s">
        <v>1281</v>
      </c>
    </row>
    <row r="2108" spans="2:16" ht="15" customHeight="1">
      <c r="B2108" s="47">
        <v>2068</v>
      </c>
      <c r="C2108" s="47" t="s">
        <v>901</v>
      </c>
      <c r="D2108" s="48"/>
      <c r="E2108" s="47" t="s">
        <v>1093</v>
      </c>
      <c r="F2108" s="46"/>
      <c r="G2108" s="46"/>
      <c r="H2108" s="46"/>
      <c r="I2108" s="46"/>
      <c r="J2108" s="46"/>
      <c r="K2108" s="46"/>
      <c r="L2108" s="46" t="s">
        <v>531</v>
      </c>
      <c r="M2108" s="46" t="s">
        <v>292</v>
      </c>
      <c r="N2108" s="46"/>
      <c r="O2108" s="46" t="s">
        <v>43</v>
      </c>
      <c r="P2108" s="46" t="s">
        <v>50</v>
      </c>
    </row>
    <row r="2109" spans="2:16" ht="15" customHeight="1">
      <c r="B2109" s="47">
        <v>2072</v>
      </c>
      <c r="C2109" s="47" t="s">
        <v>892</v>
      </c>
      <c r="D2109" s="47" t="s">
        <v>960</v>
      </c>
      <c r="F2109" s="47" t="s">
        <v>1038</v>
      </c>
      <c r="G2109" s="47">
        <v>4</v>
      </c>
      <c r="L2109" s="47" t="s">
        <v>962</v>
      </c>
      <c r="M2109" s="47" t="s">
        <v>987</v>
      </c>
      <c r="O2109" s="47" t="s">
        <v>46</v>
      </c>
    </row>
    <row r="2110" spans="2:16" ht="15" customHeight="1">
      <c r="B2110" s="47">
        <v>2073</v>
      </c>
      <c r="C2110" s="47" t="s">
        <v>892</v>
      </c>
      <c r="D2110" s="47" t="s">
        <v>960</v>
      </c>
      <c r="F2110" s="47" t="s">
        <v>1039</v>
      </c>
      <c r="G2110" s="47">
        <v>1</v>
      </c>
      <c r="L2110" s="47" t="s">
        <v>962</v>
      </c>
      <c r="M2110" s="47" t="s">
        <v>1040</v>
      </c>
      <c r="O2110" s="47" t="s">
        <v>46</v>
      </c>
    </row>
    <row r="2111" spans="2:16" ht="15" customHeight="1">
      <c r="B2111" s="47">
        <v>2074</v>
      </c>
      <c r="C2111" s="47" t="s">
        <v>892</v>
      </c>
      <c r="D2111" s="47" t="s">
        <v>960</v>
      </c>
      <c r="F2111" s="47" t="s">
        <v>1041</v>
      </c>
      <c r="G2111" s="47">
        <v>6</v>
      </c>
      <c r="L2111" s="47" t="s">
        <v>962</v>
      </c>
      <c r="M2111" s="47" t="s">
        <v>996</v>
      </c>
      <c r="O2111" s="47" t="s">
        <v>46</v>
      </c>
    </row>
    <row r="2112" spans="2:16" ht="15" customHeight="1">
      <c r="B2112" s="47">
        <v>2075</v>
      </c>
      <c r="C2112" s="47" t="s">
        <v>892</v>
      </c>
      <c r="D2112" s="47" t="s">
        <v>960</v>
      </c>
      <c r="F2112" s="47" t="s">
        <v>191</v>
      </c>
      <c r="G2112" s="47">
        <v>25</v>
      </c>
      <c r="L2112" s="47" t="s">
        <v>962</v>
      </c>
      <c r="M2112" s="47" t="s">
        <v>988</v>
      </c>
      <c r="O2112" s="47" t="s">
        <v>46</v>
      </c>
    </row>
    <row r="2113" spans="2:15" ht="15" customHeight="1">
      <c r="B2113" s="47">
        <v>2076</v>
      </c>
      <c r="C2113" s="47" t="s">
        <v>892</v>
      </c>
      <c r="D2113" s="47" t="s">
        <v>960</v>
      </c>
      <c r="F2113" s="47" t="s">
        <v>1042</v>
      </c>
      <c r="G2113" s="47">
        <v>23</v>
      </c>
      <c r="L2113" s="47" t="s">
        <v>962</v>
      </c>
      <c r="M2113" s="47" t="s">
        <v>988</v>
      </c>
      <c r="O2113" s="47" t="s">
        <v>46</v>
      </c>
    </row>
    <row r="2114" spans="2:15" ht="15" customHeight="1">
      <c r="B2114" s="47">
        <v>2077</v>
      </c>
      <c r="C2114" s="47" t="s">
        <v>892</v>
      </c>
      <c r="D2114" s="47" t="s">
        <v>960</v>
      </c>
      <c r="F2114" s="47" t="s">
        <v>1043</v>
      </c>
      <c r="G2114" s="47">
        <v>15</v>
      </c>
      <c r="L2114" s="47" t="s">
        <v>962</v>
      </c>
      <c r="M2114" s="47" t="s">
        <v>988</v>
      </c>
      <c r="O2114" s="47" t="s">
        <v>46</v>
      </c>
    </row>
    <row r="2115" spans="2:15" ht="15" customHeight="1">
      <c r="B2115" s="47">
        <v>2078</v>
      </c>
      <c r="C2115" s="47" t="s">
        <v>892</v>
      </c>
      <c r="D2115" s="47" t="s">
        <v>960</v>
      </c>
      <c r="F2115" s="47" t="s">
        <v>991</v>
      </c>
      <c r="G2115" s="47">
        <v>7</v>
      </c>
      <c r="L2115" s="47" t="s">
        <v>962</v>
      </c>
      <c r="M2115" s="47" t="s">
        <v>988</v>
      </c>
      <c r="O2115" s="47" t="s">
        <v>46</v>
      </c>
    </row>
    <row r="2116" spans="2:15" ht="15" customHeight="1">
      <c r="B2116" s="47">
        <v>2079</v>
      </c>
      <c r="C2116" s="47" t="s">
        <v>892</v>
      </c>
      <c r="D2116" s="47" t="s">
        <v>960</v>
      </c>
      <c r="F2116" s="47" t="s">
        <v>1044</v>
      </c>
      <c r="G2116" s="47">
        <v>2</v>
      </c>
      <c r="L2116" s="47" t="s">
        <v>962</v>
      </c>
      <c r="M2116" s="47" t="s">
        <v>988</v>
      </c>
      <c r="O2116" s="47" t="s">
        <v>46</v>
      </c>
    </row>
    <row r="2117" spans="2:15" ht="15" customHeight="1">
      <c r="B2117" s="47">
        <v>2080</v>
      </c>
      <c r="C2117" s="47" t="s">
        <v>892</v>
      </c>
      <c r="D2117" s="47" t="s">
        <v>960</v>
      </c>
      <c r="F2117" s="47" t="s">
        <v>1041</v>
      </c>
      <c r="G2117" s="47">
        <v>1</v>
      </c>
      <c r="L2117" s="47" t="s">
        <v>962</v>
      </c>
      <c r="M2117" s="47" t="s">
        <v>988</v>
      </c>
      <c r="O2117" s="47" t="s">
        <v>46</v>
      </c>
    </row>
    <row r="2118" spans="2:15" ht="15" customHeight="1">
      <c r="B2118" s="47">
        <v>2081</v>
      </c>
      <c r="C2118" s="47" t="s">
        <v>892</v>
      </c>
      <c r="D2118" s="47" t="s">
        <v>960</v>
      </c>
      <c r="F2118" s="47" t="s">
        <v>1137</v>
      </c>
      <c r="G2118" s="47">
        <v>1</v>
      </c>
      <c r="L2118" s="47" t="s">
        <v>962</v>
      </c>
      <c r="M2118" s="47" t="s">
        <v>988</v>
      </c>
      <c r="O2118" s="47" t="s">
        <v>46</v>
      </c>
    </row>
    <row r="2119" spans="2:15" ht="15" customHeight="1">
      <c r="B2119" s="47">
        <v>2082</v>
      </c>
      <c r="C2119" s="47" t="s">
        <v>893</v>
      </c>
      <c r="D2119" s="47" t="s">
        <v>960</v>
      </c>
      <c r="F2119" s="47" t="s">
        <v>1045</v>
      </c>
      <c r="L2119" s="47" t="s">
        <v>962</v>
      </c>
      <c r="M2119" s="47" t="s">
        <v>1046</v>
      </c>
      <c r="N2119" s="47" t="s">
        <v>1047</v>
      </c>
      <c r="O2119" s="47" t="s">
        <v>46</v>
      </c>
    </row>
    <row r="2120" spans="2:15" ht="15" customHeight="1">
      <c r="B2120" s="47">
        <v>2083</v>
      </c>
      <c r="C2120" s="47" t="s">
        <v>893</v>
      </c>
      <c r="D2120" s="47" t="s">
        <v>960</v>
      </c>
      <c r="F2120" s="47" t="s">
        <v>999</v>
      </c>
      <c r="G2120" s="47">
        <v>3</v>
      </c>
      <c r="L2120" s="47" t="s">
        <v>962</v>
      </c>
      <c r="M2120" s="47" t="s">
        <v>1030</v>
      </c>
      <c r="O2120" s="47" t="s">
        <v>46</v>
      </c>
    </row>
    <row r="2121" spans="2:15" ht="15" customHeight="1">
      <c r="B2121" s="47">
        <v>2084</v>
      </c>
      <c r="C2121" s="47" t="s">
        <v>893</v>
      </c>
      <c r="D2121" s="47" t="s">
        <v>960</v>
      </c>
      <c r="F2121" s="47" t="s">
        <v>1048</v>
      </c>
      <c r="G2121" s="47">
        <v>10</v>
      </c>
      <c r="L2121" s="47" t="s">
        <v>962</v>
      </c>
      <c r="M2121" s="47" t="s">
        <v>1049</v>
      </c>
      <c r="O2121" s="47" t="s">
        <v>46</v>
      </c>
    </row>
    <row r="2122" spans="2:15" ht="15" customHeight="1">
      <c r="B2122" s="47">
        <v>2085</v>
      </c>
      <c r="C2122" s="47" t="s">
        <v>893</v>
      </c>
      <c r="D2122" s="47" t="s">
        <v>960</v>
      </c>
      <c r="F2122" s="47" t="s">
        <v>971</v>
      </c>
      <c r="G2122" s="47">
        <v>2</v>
      </c>
      <c r="L2122" s="47" t="s">
        <v>962</v>
      </c>
      <c r="M2122" s="47" t="s">
        <v>1049</v>
      </c>
      <c r="O2122" s="47" t="s">
        <v>46</v>
      </c>
    </row>
    <row r="2123" spans="2:15" ht="15" customHeight="1">
      <c r="B2123" s="47">
        <v>2086</v>
      </c>
      <c r="C2123" s="47" t="s">
        <v>893</v>
      </c>
      <c r="D2123" s="47" t="s">
        <v>960</v>
      </c>
      <c r="F2123" s="47" t="s">
        <v>1050</v>
      </c>
      <c r="G2123" s="47">
        <v>1</v>
      </c>
      <c r="L2123" s="47" t="s">
        <v>962</v>
      </c>
      <c r="M2123" s="47" t="s">
        <v>1049</v>
      </c>
      <c r="O2123" s="47" t="s">
        <v>46</v>
      </c>
    </row>
    <row r="2124" spans="2:15" ht="15" customHeight="1">
      <c r="B2124" s="47">
        <v>2087</v>
      </c>
      <c r="C2124" s="47" t="s">
        <v>893</v>
      </c>
      <c r="D2124" s="47" t="s">
        <v>960</v>
      </c>
      <c r="F2124" s="47" t="s">
        <v>191</v>
      </c>
      <c r="G2124" s="47">
        <v>15</v>
      </c>
      <c r="L2124" s="47" t="s">
        <v>962</v>
      </c>
      <c r="M2124" s="47" t="s">
        <v>988</v>
      </c>
      <c r="O2124" s="47" t="s">
        <v>46</v>
      </c>
    </row>
    <row r="2125" spans="2:15" ht="15" customHeight="1">
      <c r="B2125" s="47">
        <v>2088</v>
      </c>
      <c r="C2125" s="47" t="s">
        <v>893</v>
      </c>
      <c r="D2125" s="47" t="s">
        <v>960</v>
      </c>
      <c r="F2125" s="47" t="s">
        <v>1051</v>
      </c>
      <c r="G2125" s="47">
        <v>10</v>
      </c>
      <c r="L2125" s="47" t="s">
        <v>962</v>
      </c>
      <c r="M2125" s="47" t="s">
        <v>988</v>
      </c>
      <c r="O2125" s="47" t="s">
        <v>46</v>
      </c>
    </row>
    <row r="2126" spans="2:15" ht="15" customHeight="1">
      <c r="B2126" s="47">
        <v>2089</v>
      </c>
      <c r="C2126" s="47" t="s">
        <v>893</v>
      </c>
      <c r="D2126" s="47" t="s">
        <v>960</v>
      </c>
      <c r="F2126" s="47" t="s">
        <v>1052</v>
      </c>
      <c r="G2126" s="47">
        <v>2</v>
      </c>
      <c r="L2126" s="47" t="s">
        <v>962</v>
      </c>
      <c r="M2126" s="47" t="s">
        <v>988</v>
      </c>
      <c r="O2126" s="47" t="s">
        <v>46</v>
      </c>
    </row>
    <row r="2127" spans="2:15" ht="15" customHeight="1">
      <c r="B2127" s="47">
        <v>2090</v>
      </c>
      <c r="C2127" s="47" t="s">
        <v>893</v>
      </c>
      <c r="D2127" s="47" t="s">
        <v>960</v>
      </c>
      <c r="F2127" s="47" t="s">
        <v>1053</v>
      </c>
      <c r="G2127" s="47">
        <v>4</v>
      </c>
      <c r="L2127" s="47" t="s">
        <v>962</v>
      </c>
      <c r="M2127" s="47" t="s">
        <v>988</v>
      </c>
      <c r="O2127" s="47" t="s">
        <v>46</v>
      </c>
    </row>
    <row r="2128" spans="2:15" ht="15" customHeight="1">
      <c r="B2128" s="47">
        <v>2091</v>
      </c>
      <c r="C2128" s="47" t="s">
        <v>893</v>
      </c>
      <c r="D2128" s="47" t="s">
        <v>960</v>
      </c>
      <c r="F2128" s="47" t="s">
        <v>1043</v>
      </c>
      <c r="G2128" s="47">
        <v>17</v>
      </c>
      <c r="L2128" s="47" t="s">
        <v>962</v>
      </c>
      <c r="M2128" s="47" t="s">
        <v>988</v>
      </c>
      <c r="O2128" s="47" t="s">
        <v>46</v>
      </c>
    </row>
    <row r="2129" spans="2:15" ht="15" customHeight="1">
      <c r="B2129" s="47">
        <v>2113</v>
      </c>
      <c r="C2129" s="47" t="s">
        <v>907</v>
      </c>
      <c r="D2129" s="47" t="s">
        <v>171</v>
      </c>
      <c r="E2129" s="47" t="s">
        <v>1098</v>
      </c>
      <c r="H2129" s="47" t="s">
        <v>30</v>
      </c>
      <c r="M2129" s="15" t="s">
        <v>1115</v>
      </c>
      <c r="N2129" s="47" t="s">
        <v>1116</v>
      </c>
      <c r="O2129" s="47" t="s">
        <v>30</v>
      </c>
    </row>
    <row r="2130" spans="2:15" ht="15" customHeight="1">
      <c r="B2130">
        <v>2120</v>
      </c>
      <c r="C2130" t="s">
        <v>910</v>
      </c>
      <c r="D2130" t="s">
        <v>224</v>
      </c>
    </row>
    <row r="2131" spans="2:15" ht="15" customHeight="1">
      <c r="B2131" s="47">
        <v>2120</v>
      </c>
      <c r="C2131" s="47" t="s">
        <v>894</v>
      </c>
      <c r="F2131" s="47" t="s">
        <v>1036</v>
      </c>
      <c r="G2131" s="47">
        <v>50</v>
      </c>
      <c r="L2131" s="47" t="s">
        <v>962</v>
      </c>
      <c r="M2131" s="47" t="s">
        <v>996</v>
      </c>
      <c r="N2131" s="47" t="s">
        <v>1037</v>
      </c>
      <c r="O2131" s="47" t="s">
        <v>47</v>
      </c>
    </row>
    <row r="2132" spans="2:15" ht="15" customHeight="1">
      <c r="B2132">
        <v>2121</v>
      </c>
      <c r="C2132" t="s">
        <v>910</v>
      </c>
      <c r="D2132" t="s">
        <v>224</v>
      </c>
    </row>
    <row r="2133" spans="2:15" ht="15" customHeight="1">
      <c r="B2133" s="47">
        <v>2121</v>
      </c>
      <c r="C2133" s="47" t="s">
        <v>894</v>
      </c>
      <c r="F2133" s="47" t="s">
        <v>1258</v>
      </c>
      <c r="G2133" s="47">
        <v>1</v>
      </c>
      <c r="H2133" s="47" t="s">
        <v>530</v>
      </c>
      <c r="L2133" s="47" t="s">
        <v>1147</v>
      </c>
      <c r="M2133" s="47" t="s">
        <v>1285</v>
      </c>
    </row>
    <row r="2134" spans="2:15" ht="15" customHeight="1">
      <c r="B2134">
        <v>2122</v>
      </c>
      <c r="C2134" t="s">
        <v>910</v>
      </c>
      <c r="D2134" t="s">
        <v>224</v>
      </c>
    </row>
    <row r="2135" spans="2:15" ht="15" customHeight="1">
      <c r="B2135" s="47">
        <v>2122</v>
      </c>
      <c r="C2135" s="47" t="s">
        <v>894</v>
      </c>
      <c r="F2135" s="47" t="s">
        <v>1258</v>
      </c>
      <c r="G2135" s="47">
        <v>1</v>
      </c>
      <c r="H2135" s="47" t="s">
        <v>530</v>
      </c>
      <c r="L2135" s="47" t="s">
        <v>1147</v>
      </c>
      <c r="M2135" s="47" t="s">
        <v>1285</v>
      </c>
    </row>
    <row r="2136" spans="2:15" ht="15" customHeight="1">
      <c r="B2136">
        <v>2123</v>
      </c>
      <c r="C2136" t="s">
        <v>910</v>
      </c>
      <c r="D2136" t="s">
        <v>224</v>
      </c>
    </row>
    <row r="2137" spans="2:15" ht="15" customHeight="1">
      <c r="B2137" s="47">
        <v>2123</v>
      </c>
      <c r="C2137" s="47" t="s">
        <v>894</v>
      </c>
      <c r="F2137" s="47" t="s">
        <v>1258</v>
      </c>
      <c r="G2137" s="47">
        <v>1</v>
      </c>
      <c r="H2137" s="47" t="s">
        <v>530</v>
      </c>
      <c r="L2137" s="47" t="s">
        <v>1147</v>
      </c>
      <c r="M2137" s="47" t="s">
        <v>1285</v>
      </c>
    </row>
    <row r="2138" spans="2:15" ht="15" customHeight="1">
      <c r="B2138">
        <v>2124</v>
      </c>
      <c r="C2138" t="s">
        <v>910</v>
      </c>
      <c r="D2138" t="s">
        <v>224</v>
      </c>
    </row>
    <row r="2139" spans="2:15" ht="15" customHeight="1">
      <c r="B2139" s="47">
        <v>2124</v>
      </c>
      <c r="C2139" s="47" t="s">
        <v>894</v>
      </c>
      <c r="F2139" s="47" t="s">
        <v>1258</v>
      </c>
      <c r="G2139" s="47">
        <v>1</v>
      </c>
      <c r="H2139" s="47" t="s">
        <v>530</v>
      </c>
      <c r="L2139" s="47" t="s">
        <v>314</v>
      </c>
      <c r="M2139" s="47" t="s">
        <v>1279</v>
      </c>
    </row>
    <row r="2140" spans="2:15" ht="15" customHeight="1">
      <c r="B2140" s="47">
        <v>2125</v>
      </c>
      <c r="C2140" s="47" t="s">
        <v>894</v>
      </c>
      <c r="F2140" s="47" t="s">
        <v>1258</v>
      </c>
      <c r="G2140" s="47">
        <v>1</v>
      </c>
      <c r="H2140" s="47" t="s">
        <v>530</v>
      </c>
      <c r="L2140" s="47" t="s">
        <v>314</v>
      </c>
      <c r="M2140" s="47" t="s">
        <v>1279</v>
      </c>
    </row>
    <row r="2141" spans="2:15" ht="15" customHeight="1">
      <c r="B2141" s="47">
        <v>2126</v>
      </c>
      <c r="C2141" s="47" t="s">
        <v>894</v>
      </c>
      <c r="F2141" s="47" t="s">
        <v>1258</v>
      </c>
      <c r="G2141" s="47">
        <v>1</v>
      </c>
      <c r="H2141" s="47" t="s">
        <v>530</v>
      </c>
      <c r="L2141" s="47" t="s">
        <v>314</v>
      </c>
      <c r="M2141" s="47" t="s">
        <v>1279</v>
      </c>
    </row>
    <row r="2142" spans="2:15" ht="15" customHeight="1">
      <c r="B2142" s="47">
        <v>2127</v>
      </c>
      <c r="C2142" s="47" t="s">
        <v>894</v>
      </c>
      <c r="F2142" s="47" t="s">
        <v>1237</v>
      </c>
      <c r="G2142" s="47">
        <v>1</v>
      </c>
      <c r="H2142" s="47" t="s">
        <v>1274</v>
      </c>
      <c r="L2142" s="47" t="s">
        <v>314</v>
      </c>
      <c r="M2142" s="47" t="s">
        <v>1279</v>
      </c>
    </row>
    <row r="2143" spans="2:15" ht="15" customHeight="1">
      <c r="B2143" s="47">
        <v>2128</v>
      </c>
      <c r="C2143" s="47" t="s">
        <v>894</v>
      </c>
      <c r="F2143" s="47" t="s">
        <v>1259</v>
      </c>
      <c r="G2143" s="47">
        <v>1</v>
      </c>
      <c r="H2143" s="47" t="s">
        <v>530</v>
      </c>
      <c r="L2143" s="47" t="s">
        <v>314</v>
      </c>
      <c r="M2143" s="47" t="s">
        <v>1279</v>
      </c>
    </row>
    <row r="2144" spans="2:15" ht="15" customHeight="1">
      <c r="B2144" s="47">
        <v>2129</v>
      </c>
      <c r="C2144" s="47" t="s">
        <v>894</v>
      </c>
      <c r="F2144" s="47" t="s">
        <v>1223</v>
      </c>
      <c r="G2144" s="47">
        <v>1</v>
      </c>
      <c r="H2144" s="47" t="s">
        <v>1274</v>
      </c>
      <c r="L2144" s="47" t="s">
        <v>314</v>
      </c>
      <c r="M2144" s="47" t="s">
        <v>1279</v>
      </c>
    </row>
    <row r="2145" spans="2:13" ht="15" customHeight="1">
      <c r="B2145" s="47">
        <v>2130</v>
      </c>
      <c r="C2145" s="47" t="s">
        <v>894</v>
      </c>
      <c r="F2145" s="47" t="s">
        <v>1224</v>
      </c>
      <c r="G2145" s="47">
        <v>1</v>
      </c>
      <c r="H2145" s="47" t="s">
        <v>530</v>
      </c>
      <c r="L2145" s="47" t="s">
        <v>314</v>
      </c>
      <c r="M2145" s="47" t="s">
        <v>1279</v>
      </c>
    </row>
    <row r="2146" spans="2:13" ht="15" customHeight="1">
      <c r="B2146" s="47">
        <v>2131</v>
      </c>
      <c r="C2146" s="47" t="s">
        <v>894</v>
      </c>
      <c r="F2146" s="47" t="s">
        <v>1224</v>
      </c>
      <c r="G2146" s="47">
        <v>1</v>
      </c>
      <c r="H2146" s="47" t="s">
        <v>530</v>
      </c>
      <c r="L2146" s="47" t="s">
        <v>314</v>
      </c>
      <c r="M2146" s="47" t="s">
        <v>1279</v>
      </c>
    </row>
    <row r="2147" spans="2:13" ht="15" customHeight="1">
      <c r="B2147" s="47">
        <v>2132</v>
      </c>
      <c r="C2147" s="47" t="s">
        <v>894</v>
      </c>
      <c r="F2147" s="47" t="s">
        <v>1224</v>
      </c>
      <c r="G2147" s="47">
        <v>1</v>
      </c>
      <c r="H2147" s="47" t="s">
        <v>530</v>
      </c>
      <c r="L2147" s="47" t="s">
        <v>314</v>
      </c>
      <c r="M2147" s="47" t="s">
        <v>1279</v>
      </c>
    </row>
    <row r="2148" spans="2:13" ht="15" customHeight="1">
      <c r="B2148" s="47">
        <v>2133</v>
      </c>
      <c r="C2148" s="47" t="s">
        <v>894</v>
      </c>
      <c r="F2148" s="47" t="s">
        <v>185</v>
      </c>
      <c r="G2148" s="47">
        <v>1</v>
      </c>
      <c r="H2148" s="47" t="s">
        <v>1274</v>
      </c>
      <c r="L2148" s="47" t="s">
        <v>314</v>
      </c>
      <c r="M2148" s="47" t="s">
        <v>1279</v>
      </c>
    </row>
    <row r="2149" spans="2:13" ht="15" customHeight="1">
      <c r="B2149" s="47">
        <v>2134</v>
      </c>
      <c r="C2149" s="47" t="s">
        <v>894</v>
      </c>
      <c r="F2149" s="47" t="s">
        <v>1222</v>
      </c>
      <c r="G2149" s="47">
        <v>1</v>
      </c>
      <c r="H2149" s="47" t="s">
        <v>530</v>
      </c>
      <c r="L2149" s="47" t="s">
        <v>314</v>
      </c>
      <c r="M2149" s="47" t="s">
        <v>1279</v>
      </c>
    </row>
    <row r="2150" spans="2:13" ht="15" customHeight="1">
      <c r="B2150" s="47">
        <v>2135</v>
      </c>
      <c r="C2150" s="47" t="s">
        <v>894</v>
      </c>
      <c r="F2150" s="47" t="s">
        <v>1222</v>
      </c>
      <c r="G2150" s="47">
        <v>1</v>
      </c>
      <c r="H2150" s="47" t="s">
        <v>530</v>
      </c>
      <c r="L2150" s="47" t="s">
        <v>314</v>
      </c>
      <c r="M2150" s="47" t="s">
        <v>1279</v>
      </c>
    </row>
    <row r="2151" spans="2:13" ht="15" customHeight="1">
      <c r="B2151" s="47">
        <v>2136</v>
      </c>
      <c r="C2151" s="47" t="s">
        <v>894</v>
      </c>
      <c r="F2151" s="47" t="s">
        <v>1222</v>
      </c>
      <c r="G2151" s="47">
        <v>1</v>
      </c>
      <c r="H2151" s="47" t="s">
        <v>530</v>
      </c>
      <c r="L2151" s="47" t="s">
        <v>314</v>
      </c>
      <c r="M2151" s="47" t="s">
        <v>1279</v>
      </c>
    </row>
    <row r="2152" spans="2:13" ht="15" customHeight="1">
      <c r="B2152" s="47">
        <v>2137</v>
      </c>
      <c r="C2152" s="47" t="s">
        <v>894</v>
      </c>
      <c r="F2152" s="47" t="s">
        <v>1230</v>
      </c>
      <c r="G2152" s="47">
        <v>1</v>
      </c>
      <c r="H2152" s="47" t="s">
        <v>530</v>
      </c>
      <c r="L2152" s="47" t="s">
        <v>314</v>
      </c>
      <c r="M2152" s="47" t="s">
        <v>1279</v>
      </c>
    </row>
    <row r="2153" spans="2:13" ht="15" customHeight="1">
      <c r="B2153" s="47">
        <v>2138</v>
      </c>
      <c r="C2153" s="47" t="s">
        <v>894</v>
      </c>
      <c r="F2153" s="47" t="s">
        <v>1227</v>
      </c>
      <c r="G2153" s="47" t="s">
        <v>1273</v>
      </c>
      <c r="H2153" s="47" t="s">
        <v>530</v>
      </c>
      <c r="L2153" s="47" t="s">
        <v>314</v>
      </c>
      <c r="M2153" s="47" t="s">
        <v>1279</v>
      </c>
    </row>
    <row r="2154" spans="2:13" ht="15" customHeight="1">
      <c r="B2154" s="47">
        <v>2139</v>
      </c>
      <c r="C2154" s="47" t="s">
        <v>894</v>
      </c>
      <c r="F2154" s="47" t="s">
        <v>1228</v>
      </c>
      <c r="G2154" s="47" t="s">
        <v>1273</v>
      </c>
      <c r="H2154" s="47" t="s">
        <v>530</v>
      </c>
      <c r="L2154" s="47" t="s">
        <v>314</v>
      </c>
      <c r="M2154" s="47" t="s">
        <v>1279</v>
      </c>
    </row>
    <row r="2155" spans="2:13" ht="15" customHeight="1">
      <c r="B2155" s="47">
        <v>2140</v>
      </c>
      <c r="C2155" s="47" t="s">
        <v>894</v>
      </c>
      <c r="F2155" s="47" t="s">
        <v>185</v>
      </c>
      <c r="G2155" s="47">
        <v>1</v>
      </c>
      <c r="H2155" s="47" t="s">
        <v>1274</v>
      </c>
      <c r="L2155" s="47" t="s">
        <v>314</v>
      </c>
      <c r="M2155" s="47" t="s">
        <v>1279</v>
      </c>
    </row>
    <row r="2156" spans="2:13" ht="15" customHeight="1">
      <c r="B2156" s="47">
        <v>2141</v>
      </c>
      <c r="C2156" s="47" t="s">
        <v>894</v>
      </c>
      <c r="F2156" s="47" t="s">
        <v>185</v>
      </c>
      <c r="G2156" s="47">
        <v>1</v>
      </c>
      <c r="H2156" s="47" t="s">
        <v>1274</v>
      </c>
      <c r="L2156" s="47" t="s">
        <v>314</v>
      </c>
      <c r="M2156" s="47" t="s">
        <v>1279</v>
      </c>
    </row>
    <row r="2157" spans="2:13" ht="15" customHeight="1">
      <c r="B2157" s="47">
        <v>2142</v>
      </c>
      <c r="C2157" s="47" t="s">
        <v>894</v>
      </c>
      <c r="F2157" s="47" t="s">
        <v>1251</v>
      </c>
      <c r="G2157" s="47">
        <v>1</v>
      </c>
      <c r="H2157" s="47" t="s">
        <v>530</v>
      </c>
      <c r="L2157" s="47" t="s">
        <v>314</v>
      </c>
      <c r="M2157" s="47" t="s">
        <v>1279</v>
      </c>
    </row>
    <row r="2158" spans="2:13" ht="15" customHeight="1">
      <c r="B2158" s="47">
        <v>2143</v>
      </c>
      <c r="C2158" s="47" t="s">
        <v>894</v>
      </c>
      <c r="F2158" s="47" t="s">
        <v>1228</v>
      </c>
      <c r="G2158" s="47" t="s">
        <v>1273</v>
      </c>
      <c r="H2158" s="47" t="s">
        <v>530</v>
      </c>
      <c r="L2158" s="47" t="s">
        <v>314</v>
      </c>
      <c r="M2158" s="47" t="s">
        <v>1279</v>
      </c>
    </row>
    <row r="2159" spans="2:13" ht="15" customHeight="1">
      <c r="B2159" s="47">
        <v>2144</v>
      </c>
      <c r="C2159" s="47" t="s">
        <v>894</v>
      </c>
      <c r="F2159" s="47" t="s">
        <v>1243</v>
      </c>
      <c r="G2159" s="47">
        <v>1</v>
      </c>
      <c r="H2159" s="47" t="s">
        <v>530</v>
      </c>
      <c r="L2159" s="47" t="s">
        <v>314</v>
      </c>
      <c r="M2159" s="47" t="s">
        <v>1279</v>
      </c>
    </row>
    <row r="2160" spans="2:13" ht="15" customHeight="1">
      <c r="B2160" s="47">
        <v>2145</v>
      </c>
      <c r="C2160" s="47" t="s">
        <v>894</v>
      </c>
      <c r="F2160" s="47" t="s">
        <v>1243</v>
      </c>
      <c r="G2160" s="47">
        <v>1</v>
      </c>
      <c r="H2160" s="47" t="s">
        <v>530</v>
      </c>
      <c r="L2160" s="47" t="s">
        <v>314</v>
      </c>
      <c r="M2160" s="47" t="s">
        <v>1279</v>
      </c>
    </row>
    <row r="2161" spans="2:15" ht="15" customHeight="1">
      <c r="B2161" s="47">
        <v>2146</v>
      </c>
      <c r="C2161" s="47" t="s">
        <v>894</v>
      </c>
      <c r="F2161" s="47" t="s">
        <v>1224</v>
      </c>
      <c r="G2161" s="47">
        <v>1</v>
      </c>
      <c r="H2161" s="47" t="s">
        <v>530</v>
      </c>
      <c r="L2161" s="47" t="s">
        <v>314</v>
      </c>
      <c r="M2161" s="47" t="s">
        <v>1279</v>
      </c>
    </row>
    <row r="2162" spans="2:15" ht="15" customHeight="1">
      <c r="B2162" s="47">
        <v>2147</v>
      </c>
      <c r="C2162" s="47" t="s">
        <v>894</v>
      </c>
      <c r="F2162" s="47" t="s">
        <v>1224</v>
      </c>
      <c r="G2162" s="47">
        <v>1</v>
      </c>
      <c r="H2162" s="47" t="s">
        <v>530</v>
      </c>
      <c r="L2162" s="47" t="s">
        <v>314</v>
      </c>
      <c r="M2162" s="47" t="s">
        <v>1279</v>
      </c>
    </row>
    <row r="2163" spans="2:15" ht="15" customHeight="1">
      <c r="B2163" s="47">
        <v>2148</v>
      </c>
      <c r="C2163" s="47" t="s">
        <v>894</v>
      </c>
      <c r="F2163" s="47" t="s">
        <v>1229</v>
      </c>
      <c r="G2163" s="47">
        <v>1</v>
      </c>
      <c r="H2163" s="47" t="s">
        <v>530</v>
      </c>
      <c r="L2163" s="47" t="s">
        <v>314</v>
      </c>
      <c r="M2163" s="47" t="s">
        <v>1279</v>
      </c>
    </row>
    <row r="2164" spans="2:15" ht="15" customHeight="1">
      <c r="B2164" s="47">
        <v>2149</v>
      </c>
      <c r="C2164" s="47" t="s">
        <v>894</v>
      </c>
      <c r="F2164" s="47" t="s">
        <v>1222</v>
      </c>
      <c r="G2164" s="47">
        <v>1</v>
      </c>
      <c r="H2164" s="47" t="s">
        <v>530</v>
      </c>
      <c r="L2164" s="47" t="s">
        <v>314</v>
      </c>
      <c r="M2164" s="47" t="s">
        <v>1279</v>
      </c>
    </row>
    <row r="2165" spans="2:15" ht="15" customHeight="1">
      <c r="B2165" s="47">
        <v>2150</v>
      </c>
      <c r="C2165" s="47" t="s">
        <v>894</v>
      </c>
      <c r="F2165" s="47" t="s">
        <v>1222</v>
      </c>
      <c r="G2165" s="47">
        <v>1</v>
      </c>
      <c r="H2165" s="47" t="s">
        <v>530</v>
      </c>
      <c r="L2165" s="47" t="s">
        <v>314</v>
      </c>
      <c r="M2165" s="47" t="s">
        <v>1279</v>
      </c>
    </row>
    <row r="2166" spans="2:15" ht="15" customHeight="1">
      <c r="B2166" s="47">
        <v>2152</v>
      </c>
      <c r="C2166" s="47" t="s">
        <v>894</v>
      </c>
      <c r="F2166" s="47" t="s">
        <v>1227</v>
      </c>
      <c r="G2166" s="47" t="s">
        <v>1273</v>
      </c>
      <c r="H2166" s="47" t="s">
        <v>530</v>
      </c>
      <c r="L2166" s="47" t="s">
        <v>314</v>
      </c>
      <c r="M2166" s="47" t="s">
        <v>1279</v>
      </c>
    </row>
    <row r="2167" spans="2:15" ht="15" customHeight="1">
      <c r="B2167" s="47">
        <v>2153</v>
      </c>
      <c r="C2167" s="47" t="s">
        <v>894</v>
      </c>
      <c r="F2167" s="47" t="s">
        <v>1260</v>
      </c>
      <c r="G2167" s="47">
        <v>1</v>
      </c>
      <c r="H2167" s="47" t="s">
        <v>1274</v>
      </c>
      <c r="L2167" s="47" t="s">
        <v>314</v>
      </c>
      <c r="M2167" s="47" t="s">
        <v>1279</v>
      </c>
    </row>
    <row r="2168" spans="2:15" ht="15" customHeight="1">
      <c r="B2168" s="47">
        <v>2155</v>
      </c>
      <c r="C2168" s="47" t="s">
        <v>908</v>
      </c>
      <c r="D2168" s="47" t="s">
        <v>171</v>
      </c>
      <c r="E2168" s="47" t="s">
        <v>1098</v>
      </c>
      <c r="H2168" s="47" t="s">
        <v>30</v>
      </c>
      <c r="M2168" s="15" t="s">
        <v>1115</v>
      </c>
      <c r="N2168" s="47" t="s">
        <v>1116</v>
      </c>
      <c r="O2168" s="47" t="s">
        <v>30</v>
      </c>
    </row>
    <row r="2169" spans="2:15" ht="15" customHeight="1">
      <c r="B2169" s="47">
        <v>2155</v>
      </c>
      <c r="C2169" s="47" t="s">
        <v>894</v>
      </c>
      <c r="F2169" s="47" t="s">
        <v>1260</v>
      </c>
      <c r="G2169" s="47">
        <v>1</v>
      </c>
      <c r="H2169" s="47" t="s">
        <v>1274</v>
      </c>
      <c r="L2169" s="47" t="s">
        <v>314</v>
      </c>
      <c r="M2169" s="47" t="s">
        <v>1279</v>
      </c>
    </row>
    <row r="2170" spans="2:15" ht="15" customHeight="1">
      <c r="B2170" s="47">
        <v>2156</v>
      </c>
      <c r="C2170" s="47" t="s">
        <v>894</v>
      </c>
      <c r="F2170" s="47" t="s">
        <v>1223</v>
      </c>
      <c r="G2170" s="47">
        <v>1</v>
      </c>
      <c r="H2170" s="47" t="s">
        <v>1274</v>
      </c>
      <c r="L2170" s="47" t="s">
        <v>314</v>
      </c>
      <c r="M2170" s="47" t="s">
        <v>1279</v>
      </c>
    </row>
    <row r="2171" spans="2:15" ht="15" customHeight="1">
      <c r="B2171" s="47">
        <v>2157</v>
      </c>
      <c r="C2171" s="47" t="s">
        <v>894</v>
      </c>
      <c r="F2171" s="47" t="s">
        <v>1223</v>
      </c>
      <c r="G2171" s="47">
        <v>1</v>
      </c>
      <c r="H2171" s="47" t="s">
        <v>1274</v>
      </c>
      <c r="L2171" s="47" t="s">
        <v>314</v>
      </c>
      <c r="M2171" s="47" t="s">
        <v>1279</v>
      </c>
    </row>
    <row r="2172" spans="2:15" ht="15" customHeight="1">
      <c r="B2172" s="47">
        <v>2158</v>
      </c>
      <c r="C2172" s="47" t="s">
        <v>894</v>
      </c>
      <c r="F2172" s="47" t="s">
        <v>1223</v>
      </c>
      <c r="G2172" s="47">
        <v>1</v>
      </c>
      <c r="H2172" s="47" t="s">
        <v>1274</v>
      </c>
      <c r="L2172" s="47" t="s">
        <v>314</v>
      </c>
      <c r="M2172" s="47" t="s">
        <v>1279</v>
      </c>
    </row>
    <row r="2173" spans="2:15" ht="15" customHeight="1">
      <c r="B2173" s="47">
        <v>2159</v>
      </c>
      <c r="C2173" s="47" t="s">
        <v>894</v>
      </c>
      <c r="F2173" s="47" t="s">
        <v>1223</v>
      </c>
      <c r="G2173" s="47">
        <v>1</v>
      </c>
      <c r="H2173" s="47" t="s">
        <v>1274</v>
      </c>
      <c r="L2173" s="47" t="s">
        <v>314</v>
      </c>
      <c r="M2173" s="47" t="s">
        <v>1279</v>
      </c>
    </row>
    <row r="2174" spans="2:15" ht="15" customHeight="1">
      <c r="B2174" s="47">
        <v>2160</v>
      </c>
      <c r="C2174" s="47" t="s">
        <v>894</v>
      </c>
      <c r="F2174" s="47" t="s">
        <v>1223</v>
      </c>
      <c r="G2174" s="47">
        <v>1</v>
      </c>
      <c r="H2174" s="47" t="s">
        <v>1274</v>
      </c>
      <c r="L2174" s="47" t="s">
        <v>314</v>
      </c>
      <c r="M2174" s="47" t="s">
        <v>1279</v>
      </c>
    </row>
    <row r="2175" spans="2:15" ht="15" customHeight="1">
      <c r="B2175" s="47">
        <v>2161</v>
      </c>
      <c r="C2175" s="47" t="s">
        <v>894</v>
      </c>
      <c r="F2175" s="47" t="s">
        <v>1223</v>
      </c>
      <c r="G2175" s="47">
        <v>1</v>
      </c>
      <c r="H2175" s="47" t="s">
        <v>1274</v>
      </c>
      <c r="L2175" s="47" t="s">
        <v>314</v>
      </c>
      <c r="M2175" s="47" t="s">
        <v>1279</v>
      </c>
    </row>
    <row r="2176" spans="2:15" ht="15" customHeight="1">
      <c r="B2176" s="47">
        <v>2162</v>
      </c>
      <c r="C2176" s="47" t="s">
        <v>894</v>
      </c>
      <c r="F2176" s="47" t="s">
        <v>1223</v>
      </c>
      <c r="G2176" s="47">
        <v>1</v>
      </c>
      <c r="H2176" s="47" t="s">
        <v>1274</v>
      </c>
      <c r="L2176" s="47" t="s">
        <v>314</v>
      </c>
      <c r="M2176" s="47" t="s">
        <v>1279</v>
      </c>
    </row>
    <row r="2177" spans="2:13" ht="15" customHeight="1">
      <c r="B2177" s="47">
        <v>2163</v>
      </c>
      <c r="C2177" s="47" t="s">
        <v>894</v>
      </c>
      <c r="F2177" s="47" t="s">
        <v>1223</v>
      </c>
      <c r="G2177" s="47">
        <v>1</v>
      </c>
      <c r="H2177" s="47" t="s">
        <v>1274</v>
      </c>
      <c r="L2177" s="47" t="s">
        <v>314</v>
      </c>
      <c r="M2177" s="47" t="s">
        <v>1279</v>
      </c>
    </row>
    <row r="2178" spans="2:13" ht="15" customHeight="1">
      <c r="B2178" s="47">
        <v>2164</v>
      </c>
      <c r="C2178" s="47" t="s">
        <v>894</v>
      </c>
      <c r="F2178" s="47" t="s">
        <v>1223</v>
      </c>
      <c r="G2178" s="47">
        <v>1</v>
      </c>
      <c r="H2178" s="47" t="s">
        <v>1274</v>
      </c>
      <c r="L2178" s="47" t="s">
        <v>314</v>
      </c>
      <c r="M2178" s="47" t="s">
        <v>1279</v>
      </c>
    </row>
    <row r="2179" spans="2:13" ht="15" customHeight="1">
      <c r="B2179" s="47">
        <v>2165</v>
      </c>
      <c r="C2179" s="47" t="s">
        <v>894</v>
      </c>
      <c r="F2179" s="47" t="s">
        <v>1223</v>
      </c>
      <c r="G2179" s="47">
        <v>1</v>
      </c>
      <c r="H2179" s="47" t="s">
        <v>1274</v>
      </c>
      <c r="L2179" s="47" t="s">
        <v>314</v>
      </c>
      <c r="M2179" s="47" t="s">
        <v>1279</v>
      </c>
    </row>
    <row r="2180" spans="2:13" ht="15" customHeight="1">
      <c r="B2180" s="47">
        <v>2166</v>
      </c>
      <c r="C2180" s="47" t="s">
        <v>894</v>
      </c>
      <c r="F2180" s="47" t="s">
        <v>1223</v>
      </c>
      <c r="G2180" s="47">
        <v>1</v>
      </c>
      <c r="H2180" s="47" t="s">
        <v>1274</v>
      </c>
      <c r="L2180" s="47" t="s">
        <v>314</v>
      </c>
      <c r="M2180" s="47" t="s">
        <v>1279</v>
      </c>
    </row>
    <row r="2181" spans="2:13" ht="15" customHeight="1">
      <c r="B2181" s="47">
        <v>2167</v>
      </c>
      <c r="C2181" s="47" t="s">
        <v>894</v>
      </c>
      <c r="F2181" s="47" t="s">
        <v>1237</v>
      </c>
      <c r="G2181" s="47">
        <v>1</v>
      </c>
      <c r="H2181" s="47" t="s">
        <v>1274</v>
      </c>
      <c r="L2181" s="47" t="s">
        <v>314</v>
      </c>
      <c r="M2181" s="47" t="s">
        <v>1279</v>
      </c>
    </row>
    <row r="2182" spans="2:13" ht="15" customHeight="1">
      <c r="B2182" s="47">
        <v>2168</v>
      </c>
      <c r="C2182" s="47" t="s">
        <v>894</v>
      </c>
      <c r="F2182" s="47" t="s">
        <v>1237</v>
      </c>
      <c r="G2182" s="47">
        <v>1</v>
      </c>
      <c r="H2182" s="47" t="s">
        <v>1274</v>
      </c>
      <c r="L2182" s="47" t="s">
        <v>314</v>
      </c>
      <c r="M2182" s="47" t="s">
        <v>1279</v>
      </c>
    </row>
    <row r="2183" spans="2:13" ht="15" customHeight="1">
      <c r="B2183" s="47">
        <v>2169</v>
      </c>
      <c r="C2183" s="47" t="s">
        <v>894</v>
      </c>
      <c r="F2183" s="47" t="s">
        <v>980</v>
      </c>
      <c r="G2183" s="47">
        <v>1</v>
      </c>
      <c r="H2183" s="47" t="s">
        <v>530</v>
      </c>
      <c r="L2183" s="47" t="s">
        <v>314</v>
      </c>
      <c r="M2183" s="47" t="s">
        <v>1279</v>
      </c>
    </row>
    <row r="2184" spans="2:13" ht="15" customHeight="1">
      <c r="B2184" s="47">
        <v>2170</v>
      </c>
      <c r="C2184" s="47" t="s">
        <v>894</v>
      </c>
      <c r="F2184" s="47" t="s">
        <v>1224</v>
      </c>
      <c r="G2184" s="47">
        <v>1</v>
      </c>
      <c r="H2184" s="47" t="s">
        <v>530</v>
      </c>
      <c r="L2184" s="47" t="s">
        <v>314</v>
      </c>
      <c r="M2184" s="47" t="s">
        <v>1279</v>
      </c>
    </row>
    <row r="2185" spans="2:13" ht="15" customHeight="1">
      <c r="B2185" s="47">
        <v>2171</v>
      </c>
      <c r="C2185" s="47" t="s">
        <v>894</v>
      </c>
      <c r="F2185" s="47" t="s">
        <v>185</v>
      </c>
      <c r="G2185" s="47">
        <v>1</v>
      </c>
      <c r="H2185" s="47" t="s">
        <v>1274</v>
      </c>
      <c r="L2185" s="47" t="s">
        <v>314</v>
      </c>
      <c r="M2185" s="47" t="s">
        <v>1279</v>
      </c>
    </row>
    <row r="2186" spans="2:13" ht="15" customHeight="1">
      <c r="B2186" s="47">
        <v>2172</v>
      </c>
      <c r="C2186" s="47" t="s">
        <v>894</v>
      </c>
      <c r="F2186" s="47" t="s">
        <v>185</v>
      </c>
      <c r="G2186" s="47">
        <v>1</v>
      </c>
      <c r="H2186" s="47" t="s">
        <v>1274</v>
      </c>
      <c r="L2186" s="47" t="s">
        <v>314</v>
      </c>
      <c r="M2186" s="47" t="s">
        <v>1279</v>
      </c>
    </row>
    <row r="2187" spans="2:13" ht="15" customHeight="1">
      <c r="B2187" s="47">
        <v>2173</v>
      </c>
      <c r="C2187" s="47" t="s">
        <v>894</v>
      </c>
      <c r="F2187" s="47" t="s">
        <v>1228</v>
      </c>
      <c r="G2187" s="47" t="s">
        <v>1273</v>
      </c>
      <c r="H2187" s="47" t="s">
        <v>530</v>
      </c>
      <c r="L2187" s="47" t="s">
        <v>314</v>
      </c>
      <c r="M2187" s="47" t="s">
        <v>1279</v>
      </c>
    </row>
    <row r="2188" spans="2:13" ht="15" customHeight="1">
      <c r="B2188" s="47">
        <v>2174</v>
      </c>
      <c r="C2188" s="47" t="s">
        <v>894</v>
      </c>
      <c r="F2188" s="47" t="s">
        <v>1227</v>
      </c>
      <c r="G2188" s="47" t="s">
        <v>1273</v>
      </c>
      <c r="H2188" s="47" t="s">
        <v>530</v>
      </c>
      <c r="L2188" s="47" t="s">
        <v>314</v>
      </c>
      <c r="M2188" s="47" t="s">
        <v>1279</v>
      </c>
    </row>
    <row r="2189" spans="2:13" ht="15" customHeight="1">
      <c r="B2189" s="47">
        <v>2175</v>
      </c>
      <c r="C2189" s="47" t="s">
        <v>894</v>
      </c>
      <c r="F2189" s="47" t="s">
        <v>1258</v>
      </c>
      <c r="G2189" s="47">
        <v>1</v>
      </c>
      <c r="H2189" s="47" t="s">
        <v>530</v>
      </c>
      <c r="L2189" s="47" t="s">
        <v>1276</v>
      </c>
      <c r="M2189" s="47" t="s">
        <v>1279</v>
      </c>
    </row>
    <row r="2190" spans="2:13" ht="15" customHeight="1">
      <c r="B2190" s="47">
        <v>2176</v>
      </c>
      <c r="C2190" s="47" t="s">
        <v>894</v>
      </c>
      <c r="F2190" s="47" t="s">
        <v>1258</v>
      </c>
      <c r="G2190" s="47">
        <v>1</v>
      </c>
      <c r="H2190" s="47" t="s">
        <v>530</v>
      </c>
      <c r="L2190" s="47" t="s">
        <v>1276</v>
      </c>
      <c r="M2190" s="47" t="s">
        <v>1279</v>
      </c>
    </row>
    <row r="2191" spans="2:13" ht="15" customHeight="1">
      <c r="B2191" s="47">
        <v>2177</v>
      </c>
      <c r="C2191" s="47" t="s">
        <v>894</v>
      </c>
      <c r="F2191" s="47" t="s">
        <v>1258</v>
      </c>
      <c r="G2191" s="47">
        <v>1</v>
      </c>
      <c r="H2191" s="47" t="s">
        <v>530</v>
      </c>
      <c r="L2191" s="47" t="s">
        <v>1276</v>
      </c>
      <c r="M2191" s="47" t="s">
        <v>1279</v>
      </c>
    </row>
    <row r="2192" spans="2:13" ht="15" customHeight="1">
      <c r="B2192" s="47">
        <v>2178</v>
      </c>
      <c r="C2192" s="47" t="s">
        <v>894</v>
      </c>
      <c r="F2192" s="47" t="s">
        <v>1237</v>
      </c>
      <c r="G2192" s="47">
        <v>1</v>
      </c>
      <c r="H2192" s="47" t="s">
        <v>1274</v>
      </c>
      <c r="L2192" s="47" t="s">
        <v>1276</v>
      </c>
      <c r="M2192" s="47" t="s">
        <v>1279</v>
      </c>
    </row>
    <row r="2193" spans="2:13" ht="15" customHeight="1">
      <c r="B2193" s="47">
        <v>2179</v>
      </c>
      <c r="C2193" s="47" t="s">
        <v>894</v>
      </c>
      <c r="F2193" s="47" t="s">
        <v>1259</v>
      </c>
      <c r="G2193" s="47">
        <v>1</v>
      </c>
      <c r="H2193" s="47" t="s">
        <v>530</v>
      </c>
      <c r="L2193" s="47" t="s">
        <v>1276</v>
      </c>
      <c r="M2193" s="47" t="s">
        <v>1279</v>
      </c>
    </row>
    <row r="2194" spans="2:13" ht="15" customHeight="1">
      <c r="B2194" s="47">
        <v>2180</v>
      </c>
      <c r="C2194" s="47" t="s">
        <v>894</v>
      </c>
      <c r="F2194" s="47" t="s">
        <v>1223</v>
      </c>
      <c r="G2194" s="47">
        <v>1</v>
      </c>
      <c r="H2194" s="47" t="s">
        <v>1274</v>
      </c>
      <c r="L2194" s="47" t="s">
        <v>1276</v>
      </c>
      <c r="M2194" s="47" t="s">
        <v>1279</v>
      </c>
    </row>
    <row r="2195" spans="2:13" ht="15" customHeight="1">
      <c r="B2195" s="47">
        <v>2181</v>
      </c>
      <c r="C2195" s="47" t="s">
        <v>894</v>
      </c>
      <c r="F2195" s="47" t="s">
        <v>1224</v>
      </c>
      <c r="G2195" s="47">
        <v>1</v>
      </c>
      <c r="H2195" s="47" t="s">
        <v>530</v>
      </c>
      <c r="L2195" s="47" t="s">
        <v>1276</v>
      </c>
      <c r="M2195" s="47" t="s">
        <v>1279</v>
      </c>
    </row>
    <row r="2196" spans="2:13" ht="15" customHeight="1">
      <c r="B2196" s="47">
        <v>2182</v>
      </c>
      <c r="C2196" s="47" t="s">
        <v>894</v>
      </c>
      <c r="F2196" s="47" t="s">
        <v>1224</v>
      </c>
      <c r="G2196" s="47">
        <v>1</v>
      </c>
      <c r="H2196" s="47" t="s">
        <v>530</v>
      </c>
      <c r="L2196" s="47" t="s">
        <v>1276</v>
      </c>
      <c r="M2196" s="47" t="s">
        <v>1279</v>
      </c>
    </row>
    <row r="2197" spans="2:13" ht="15" customHeight="1">
      <c r="B2197" s="47">
        <v>2183</v>
      </c>
      <c r="C2197" s="47" t="s">
        <v>894</v>
      </c>
      <c r="F2197" s="47" t="s">
        <v>1224</v>
      </c>
      <c r="G2197" s="47">
        <v>1</v>
      </c>
      <c r="H2197" s="47" t="s">
        <v>530</v>
      </c>
      <c r="L2197" s="47" t="s">
        <v>1276</v>
      </c>
      <c r="M2197" s="47" t="s">
        <v>1279</v>
      </c>
    </row>
    <row r="2198" spans="2:13" ht="15" customHeight="1">
      <c r="B2198" s="47">
        <v>2184</v>
      </c>
      <c r="C2198" s="47" t="s">
        <v>894</v>
      </c>
      <c r="F2198" s="47" t="s">
        <v>185</v>
      </c>
      <c r="G2198" s="47">
        <v>1</v>
      </c>
      <c r="H2198" s="47" t="s">
        <v>1274</v>
      </c>
      <c r="L2198" s="47" t="s">
        <v>1276</v>
      </c>
      <c r="M2198" s="47" t="s">
        <v>1279</v>
      </c>
    </row>
    <row r="2199" spans="2:13" ht="15" customHeight="1">
      <c r="B2199" s="47">
        <v>2185</v>
      </c>
      <c r="C2199" s="47" t="s">
        <v>894</v>
      </c>
      <c r="F2199" s="47" t="s">
        <v>1222</v>
      </c>
      <c r="G2199" s="47">
        <v>1</v>
      </c>
      <c r="H2199" s="47" t="s">
        <v>530</v>
      </c>
      <c r="L2199" s="47" t="s">
        <v>1276</v>
      </c>
      <c r="M2199" s="47" t="s">
        <v>1279</v>
      </c>
    </row>
    <row r="2200" spans="2:13" ht="15" customHeight="1">
      <c r="B2200" s="47">
        <v>2186</v>
      </c>
      <c r="C2200" s="47" t="s">
        <v>894</v>
      </c>
      <c r="F2200" s="47" t="s">
        <v>1222</v>
      </c>
      <c r="G2200" s="47">
        <v>1</v>
      </c>
      <c r="H2200" s="47" t="s">
        <v>530</v>
      </c>
      <c r="L2200" s="47" t="s">
        <v>1276</v>
      </c>
      <c r="M2200" s="47" t="s">
        <v>1279</v>
      </c>
    </row>
    <row r="2201" spans="2:13" ht="15" customHeight="1">
      <c r="B2201" s="47">
        <v>2187</v>
      </c>
      <c r="C2201" s="47" t="s">
        <v>894</v>
      </c>
      <c r="F2201" s="47" t="s">
        <v>1222</v>
      </c>
      <c r="G2201" s="47">
        <v>1</v>
      </c>
      <c r="H2201" s="47" t="s">
        <v>530</v>
      </c>
      <c r="L2201" s="47" t="s">
        <v>1276</v>
      </c>
      <c r="M2201" s="47" t="s">
        <v>1279</v>
      </c>
    </row>
    <row r="2202" spans="2:13" ht="15" customHeight="1">
      <c r="B2202" s="47">
        <v>2188</v>
      </c>
      <c r="C2202" s="47" t="s">
        <v>894</v>
      </c>
      <c r="F2202" s="47" t="s">
        <v>1230</v>
      </c>
      <c r="G2202" s="47">
        <v>1</v>
      </c>
      <c r="H2202" s="47" t="s">
        <v>530</v>
      </c>
      <c r="L2202" s="47" t="s">
        <v>1276</v>
      </c>
      <c r="M2202" s="47" t="s">
        <v>1279</v>
      </c>
    </row>
    <row r="2203" spans="2:13" ht="15" customHeight="1">
      <c r="B2203" s="47">
        <v>2189</v>
      </c>
      <c r="C2203" s="47" t="s">
        <v>894</v>
      </c>
      <c r="F2203" s="47" t="s">
        <v>1227</v>
      </c>
      <c r="G2203" s="47" t="s">
        <v>1273</v>
      </c>
      <c r="H2203" s="47" t="s">
        <v>530</v>
      </c>
      <c r="L2203" s="47" t="s">
        <v>1276</v>
      </c>
      <c r="M2203" s="47" t="s">
        <v>1279</v>
      </c>
    </row>
    <row r="2204" spans="2:13" ht="15" customHeight="1">
      <c r="B2204" s="47">
        <v>2190</v>
      </c>
      <c r="C2204" s="47" t="s">
        <v>894</v>
      </c>
      <c r="F2204" s="47" t="s">
        <v>1228</v>
      </c>
      <c r="G2204" s="47" t="s">
        <v>1273</v>
      </c>
      <c r="H2204" s="47" t="s">
        <v>530</v>
      </c>
      <c r="L2204" s="47" t="s">
        <v>1276</v>
      </c>
      <c r="M2204" s="47" t="s">
        <v>1279</v>
      </c>
    </row>
    <row r="2205" spans="2:13" ht="15" customHeight="1">
      <c r="B2205" s="47">
        <v>2191</v>
      </c>
      <c r="C2205" s="47" t="s">
        <v>894</v>
      </c>
      <c r="F2205" s="47" t="s">
        <v>185</v>
      </c>
      <c r="G2205" s="47">
        <v>1</v>
      </c>
      <c r="H2205" s="47" t="s">
        <v>1274</v>
      </c>
      <c r="L2205" s="47" t="s">
        <v>1276</v>
      </c>
      <c r="M2205" s="47" t="s">
        <v>1279</v>
      </c>
    </row>
    <row r="2206" spans="2:13" ht="15" customHeight="1">
      <c r="B2206" s="47">
        <v>2192</v>
      </c>
      <c r="C2206" s="47" t="s">
        <v>894</v>
      </c>
      <c r="F2206" s="47" t="s">
        <v>185</v>
      </c>
      <c r="G2206" s="47">
        <v>1</v>
      </c>
      <c r="H2206" s="47" t="s">
        <v>1274</v>
      </c>
      <c r="L2206" s="47" t="s">
        <v>1276</v>
      </c>
      <c r="M2206" s="47" t="s">
        <v>1279</v>
      </c>
    </row>
    <row r="2207" spans="2:13" ht="15" customHeight="1">
      <c r="B2207" s="47">
        <v>2193</v>
      </c>
      <c r="C2207" s="47" t="s">
        <v>894</v>
      </c>
      <c r="F2207" s="47" t="s">
        <v>1251</v>
      </c>
      <c r="G2207" s="47">
        <v>1</v>
      </c>
      <c r="H2207" s="47" t="s">
        <v>530</v>
      </c>
      <c r="L2207" s="47" t="s">
        <v>1276</v>
      </c>
      <c r="M2207" s="47" t="s">
        <v>1279</v>
      </c>
    </row>
    <row r="2208" spans="2:13" ht="15" customHeight="1">
      <c r="B2208" s="47">
        <v>2194</v>
      </c>
      <c r="C2208" s="47" t="s">
        <v>894</v>
      </c>
      <c r="F2208" s="47" t="s">
        <v>1228</v>
      </c>
      <c r="G2208" s="47" t="s">
        <v>1273</v>
      </c>
      <c r="H2208" s="47" t="s">
        <v>530</v>
      </c>
      <c r="L2208" s="47" t="s">
        <v>1276</v>
      </c>
      <c r="M2208" s="47" t="s">
        <v>1279</v>
      </c>
    </row>
    <row r="2209" spans="2:13" ht="15" customHeight="1">
      <c r="B2209" s="47">
        <v>2195</v>
      </c>
      <c r="C2209" s="47" t="s">
        <v>894</v>
      </c>
      <c r="F2209" s="47" t="s">
        <v>1243</v>
      </c>
      <c r="G2209" s="47">
        <v>1</v>
      </c>
      <c r="H2209" s="47" t="s">
        <v>530</v>
      </c>
      <c r="L2209" s="47" t="s">
        <v>1276</v>
      </c>
      <c r="M2209" s="47" t="s">
        <v>1279</v>
      </c>
    </row>
    <row r="2210" spans="2:13" ht="15" customHeight="1">
      <c r="B2210" s="47">
        <v>2196</v>
      </c>
      <c r="C2210" s="47" t="s">
        <v>894</v>
      </c>
      <c r="F2210" s="47" t="s">
        <v>1243</v>
      </c>
      <c r="G2210" s="47">
        <v>1</v>
      </c>
      <c r="H2210" s="47" t="s">
        <v>530</v>
      </c>
      <c r="L2210" s="47" t="s">
        <v>1276</v>
      </c>
      <c r="M2210" s="47" t="s">
        <v>1279</v>
      </c>
    </row>
    <row r="2211" spans="2:13" ht="15" customHeight="1">
      <c r="B2211" s="47">
        <v>2197</v>
      </c>
      <c r="C2211" s="47" t="s">
        <v>894</v>
      </c>
      <c r="F2211" s="47" t="s">
        <v>1224</v>
      </c>
      <c r="G2211" s="47">
        <v>1</v>
      </c>
      <c r="H2211" s="47" t="s">
        <v>530</v>
      </c>
      <c r="L2211" s="47" t="s">
        <v>1276</v>
      </c>
      <c r="M2211" s="47" t="s">
        <v>1279</v>
      </c>
    </row>
    <row r="2212" spans="2:13" ht="15" customHeight="1">
      <c r="B2212" s="47">
        <v>2198</v>
      </c>
      <c r="C2212" s="47" t="s">
        <v>894</v>
      </c>
      <c r="F2212" s="47" t="s">
        <v>1224</v>
      </c>
      <c r="G2212" s="47">
        <v>1</v>
      </c>
      <c r="H2212" s="47" t="s">
        <v>530</v>
      </c>
      <c r="L2212" s="47" t="s">
        <v>1276</v>
      </c>
      <c r="M2212" s="47" t="s">
        <v>1279</v>
      </c>
    </row>
    <row r="2213" spans="2:13" ht="15" customHeight="1">
      <c r="B2213" s="47">
        <v>2199</v>
      </c>
      <c r="C2213" s="47" t="s">
        <v>894</v>
      </c>
      <c r="F2213" s="47" t="s">
        <v>1229</v>
      </c>
      <c r="G2213" s="47">
        <v>1</v>
      </c>
      <c r="H2213" s="47" t="s">
        <v>530</v>
      </c>
      <c r="L2213" s="47" t="s">
        <v>1276</v>
      </c>
      <c r="M2213" s="47" t="s">
        <v>1279</v>
      </c>
    </row>
    <row r="2214" spans="2:13" ht="15" customHeight="1">
      <c r="B2214" s="47">
        <v>2200</v>
      </c>
      <c r="C2214" s="47" t="s">
        <v>894</v>
      </c>
      <c r="F2214" s="47" t="s">
        <v>1222</v>
      </c>
      <c r="G2214" s="47">
        <v>1</v>
      </c>
      <c r="H2214" s="47" t="s">
        <v>530</v>
      </c>
      <c r="L2214" s="47" t="s">
        <v>1276</v>
      </c>
      <c r="M2214" s="47" t="s">
        <v>1279</v>
      </c>
    </row>
    <row r="2215" spans="2:13" ht="15" customHeight="1">
      <c r="B2215" s="47">
        <v>2201</v>
      </c>
      <c r="C2215" s="47" t="s">
        <v>894</v>
      </c>
      <c r="F2215" s="47" t="s">
        <v>1222</v>
      </c>
      <c r="G2215" s="47">
        <v>1</v>
      </c>
      <c r="H2215" s="47" t="s">
        <v>530</v>
      </c>
      <c r="L2215" s="47" t="s">
        <v>1276</v>
      </c>
      <c r="M2215" s="47" t="s">
        <v>1279</v>
      </c>
    </row>
    <row r="2216" spans="2:13" ht="15" customHeight="1">
      <c r="B2216">
        <v>2201</v>
      </c>
      <c r="C2216" t="s">
        <v>914</v>
      </c>
      <c r="D2216" t="s">
        <v>204</v>
      </c>
    </row>
    <row r="2217" spans="2:13" ht="15" customHeight="1">
      <c r="B2217" s="47">
        <v>2202</v>
      </c>
      <c r="C2217" s="47" t="s">
        <v>894</v>
      </c>
      <c r="F2217" s="47" t="s">
        <v>1227</v>
      </c>
      <c r="G2217" s="47" t="s">
        <v>1273</v>
      </c>
      <c r="H2217" s="47" t="s">
        <v>530</v>
      </c>
      <c r="L2217" s="47" t="s">
        <v>1276</v>
      </c>
      <c r="M2217" s="47" t="s">
        <v>1279</v>
      </c>
    </row>
    <row r="2218" spans="2:13" ht="15" customHeight="1">
      <c r="B2218">
        <v>2202</v>
      </c>
      <c r="C2218" t="s">
        <v>914</v>
      </c>
      <c r="D2218" s="2" t="s">
        <v>177</v>
      </c>
      <c r="F2218" s="47" t="s">
        <v>185</v>
      </c>
      <c r="H2218" s="47" t="s">
        <v>47</v>
      </c>
      <c r="I2218" s="47" t="s">
        <v>30</v>
      </c>
      <c r="J2218" s="47" t="s">
        <v>35</v>
      </c>
    </row>
    <row r="2219" spans="2:13" ht="15" customHeight="1">
      <c r="B2219" s="47">
        <v>2203</v>
      </c>
      <c r="C2219" s="47" t="s">
        <v>894</v>
      </c>
      <c r="F2219" s="47" t="s">
        <v>1260</v>
      </c>
      <c r="G2219" s="47">
        <v>1</v>
      </c>
      <c r="H2219" s="47" t="s">
        <v>1274</v>
      </c>
      <c r="L2219" s="47" t="s">
        <v>1276</v>
      </c>
      <c r="M2219" s="47" t="s">
        <v>1279</v>
      </c>
    </row>
    <row r="2220" spans="2:13" ht="15" customHeight="1">
      <c r="B2220">
        <v>2203</v>
      </c>
      <c r="C2220" t="s">
        <v>914</v>
      </c>
      <c r="D2220" s="2" t="s">
        <v>177</v>
      </c>
      <c r="F2220" s="47" t="s">
        <v>185</v>
      </c>
      <c r="H2220" s="47" t="s">
        <v>47</v>
      </c>
      <c r="I2220" s="47" t="s">
        <v>30</v>
      </c>
      <c r="J2220" s="47" t="s">
        <v>35</v>
      </c>
    </row>
    <row r="2221" spans="2:13" ht="15" customHeight="1">
      <c r="B2221">
        <v>2204</v>
      </c>
      <c r="C2221" t="s">
        <v>914</v>
      </c>
      <c r="D2221" s="2" t="s">
        <v>177</v>
      </c>
      <c r="F2221" s="47" t="s">
        <v>185</v>
      </c>
      <c r="H2221" s="47" t="s">
        <v>47</v>
      </c>
      <c r="I2221" s="47" t="s">
        <v>30</v>
      </c>
      <c r="J2221" s="47" t="s">
        <v>35</v>
      </c>
    </row>
    <row r="2222" spans="2:13" ht="15" customHeight="1">
      <c r="B2222" s="47">
        <v>2205</v>
      </c>
      <c r="C2222" s="47" t="s">
        <v>894</v>
      </c>
      <c r="F2222" s="47" t="s">
        <v>1223</v>
      </c>
      <c r="G2222" s="47">
        <v>1</v>
      </c>
      <c r="H2222" s="47" t="s">
        <v>1274</v>
      </c>
      <c r="L2222" s="47" t="s">
        <v>1276</v>
      </c>
      <c r="M2222" s="47" t="s">
        <v>1279</v>
      </c>
    </row>
    <row r="2223" spans="2:13" ht="15" customHeight="1">
      <c r="B2223">
        <v>2205</v>
      </c>
      <c r="C2223" t="s">
        <v>914</v>
      </c>
      <c r="D2223" s="2" t="s">
        <v>177</v>
      </c>
      <c r="F2223" s="47" t="s">
        <v>185</v>
      </c>
      <c r="H2223" s="47" t="s">
        <v>47</v>
      </c>
      <c r="I2223" s="47" t="s">
        <v>30</v>
      </c>
      <c r="J2223" s="47" t="s">
        <v>35</v>
      </c>
    </row>
    <row r="2224" spans="2:13" ht="15" customHeight="1">
      <c r="B2224" s="47">
        <v>2206</v>
      </c>
      <c r="C2224" s="47" t="s">
        <v>894</v>
      </c>
      <c r="F2224" s="47" t="s">
        <v>1223</v>
      </c>
      <c r="G2224" s="47">
        <v>1</v>
      </c>
      <c r="H2224" s="47" t="s">
        <v>1274</v>
      </c>
      <c r="L2224" s="47" t="s">
        <v>1276</v>
      </c>
      <c r="M2224" s="47" t="s">
        <v>1279</v>
      </c>
    </row>
    <row r="2225" spans="2:13" ht="15" customHeight="1">
      <c r="B2225">
        <v>2206</v>
      </c>
      <c r="C2225" t="s">
        <v>914</v>
      </c>
      <c r="D2225" s="2" t="s">
        <v>177</v>
      </c>
      <c r="F2225" s="47" t="s">
        <v>185</v>
      </c>
      <c r="H2225" s="47" t="s">
        <v>47</v>
      </c>
      <c r="I2225" s="47" t="s">
        <v>30</v>
      </c>
      <c r="J2225" s="47" t="s">
        <v>35</v>
      </c>
    </row>
    <row r="2226" spans="2:13" ht="15" customHeight="1">
      <c r="B2226" s="47">
        <v>2207</v>
      </c>
      <c r="C2226" s="47" t="s">
        <v>894</v>
      </c>
      <c r="F2226" s="47" t="s">
        <v>1223</v>
      </c>
      <c r="G2226" s="47">
        <v>1</v>
      </c>
      <c r="H2226" s="47" t="s">
        <v>1274</v>
      </c>
      <c r="L2226" s="47" t="s">
        <v>1276</v>
      </c>
      <c r="M2226" s="47" t="s">
        <v>1279</v>
      </c>
    </row>
    <row r="2227" spans="2:13" ht="15" customHeight="1">
      <c r="B2227">
        <v>2207</v>
      </c>
      <c r="C2227" t="s">
        <v>914</v>
      </c>
      <c r="D2227" s="2" t="s">
        <v>177</v>
      </c>
      <c r="F2227" s="47" t="s">
        <v>185</v>
      </c>
      <c r="H2227" s="47" t="s">
        <v>47</v>
      </c>
      <c r="I2227" s="47" t="s">
        <v>30</v>
      </c>
      <c r="J2227" s="47" t="s">
        <v>35</v>
      </c>
    </row>
    <row r="2228" spans="2:13" ht="15" customHeight="1">
      <c r="B2228" s="47">
        <v>2208</v>
      </c>
      <c r="C2228" s="47" t="s">
        <v>894</v>
      </c>
      <c r="F2228" s="47" t="s">
        <v>1223</v>
      </c>
      <c r="G2228" s="47">
        <v>1</v>
      </c>
      <c r="H2228" s="47" t="s">
        <v>1274</v>
      </c>
      <c r="L2228" s="47" t="s">
        <v>1276</v>
      </c>
      <c r="M2228" s="47" t="s">
        <v>1279</v>
      </c>
    </row>
    <row r="2229" spans="2:13" ht="15" customHeight="1">
      <c r="B2229">
        <v>2208</v>
      </c>
      <c r="C2229" t="s">
        <v>914</v>
      </c>
      <c r="D2229" s="2" t="s">
        <v>177</v>
      </c>
      <c r="F2229" s="47" t="s">
        <v>185</v>
      </c>
      <c r="H2229" s="47" t="s">
        <v>47</v>
      </c>
      <c r="I2229" s="47" t="s">
        <v>30</v>
      </c>
      <c r="J2229" s="47" t="s">
        <v>35</v>
      </c>
    </row>
    <row r="2230" spans="2:13" ht="15" customHeight="1">
      <c r="B2230" s="47">
        <v>2209</v>
      </c>
      <c r="C2230" s="47" t="s">
        <v>894</v>
      </c>
      <c r="F2230" s="47" t="s">
        <v>1223</v>
      </c>
      <c r="G2230" s="47">
        <v>1</v>
      </c>
      <c r="H2230" s="47" t="s">
        <v>1274</v>
      </c>
      <c r="L2230" s="47" t="s">
        <v>1276</v>
      </c>
      <c r="M2230" s="47" t="s">
        <v>1279</v>
      </c>
    </row>
    <row r="2231" spans="2:13" ht="15" customHeight="1">
      <c r="B2231">
        <v>2209</v>
      </c>
      <c r="C2231" t="s">
        <v>914</v>
      </c>
      <c r="D2231" s="2" t="s">
        <v>177</v>
      </c>
      <c r="F2231" s="47" t="s">
        <v>185</v>
      </c>
      <c r="H2231" s="47" t="s">
        <v>47</v>
      </c>
      <c r="I2231" s="47" t="s">
        <v>30</v>
      </c>
      <c r="J2231" s="47" t="s">
        <v>35</v>
      </c>
    </row>
    <row r="2232" spans="2:13" ht="15" customHeight="1">
      <c r="B2232" s="47">
        <v>2210</v>
      </c>
      <c r="C2232" s="47" t="s">
        <v>894</v>
      </c>
      <c r="F2232" s="47" t="s">
        <v>1223</v>
      </c>
      <c r="G2232" s="47">
        <v>1</v>
      </c>
      <c r="H2232" s="47" t="s">
        <v>1274</v>
      </c>
      <c r="L2232" s="47" t="s">
        <v>1276</v>
      </c>
      <c r="M2232" s="47" t="s">
        <v>1279</v>
      </c>
    </row>
    <row r="2233" spans="2:13" ht="15" customHeight="1">
      <c r="B2233">
        <v>2210</v>
      </c>
      <c r="C2233" t="s">
        <v>914</v>
      </c>
      <c r="D2233" s="2" t="s">
        <v>177</v>
      </c>
      <c r="F2233" s="47" t="s">
        <v>185</v>
      </c>
      <c r="H2233" s="47" t="s">
        <v>47</v>
      </c>
      <c r="I2233" s="47" t="s">
        <v>30</v>
      </c>
      <c r="J2233" s="47" t="s">
        <v>35</v>
      </c>
    </row>
    <row r="2234" spans="2:13" ht="15" customHeight="1">
      <c r="B2234" s="47">
        <v>2211</v>
      </c>
      <c r="C2234" s="47" t="s">
        <v>894</v>
      </c>
      <c r="F2234" s="47" t="s">
        <v>1223</v>
      </c>
      <c r="G2234" s="47">
        <v>1</v>
      </c>
      <c r="H2234" s="47" t="s">
        <v>1274</v>
      </c>
      <c r="L2234" s="47" t="s">
        <v>1276</v>
      </c>
      <c r="M2234" s="47" t="s">
        <v>1279</v>
      </c>
    </row>
    <row r="2235" spans="2:13" ht="15" customHeight="1">
      <c r="B2235">
        <v>2211</v>
      </c>
      <c r="C2235" t="s">
        <v>914</v>
      </c>
      <c r="D2235" s="2" t="s">
        <v>177</v>
      </c>
      <c r="F2235" s="47" t="s">
        <v>185</v>
      </c>
      <c r="H2235" s="47" t="s">
        <v>47</v>
      </c>
      <c r="I2235" s="47" t="s">
        <v>30</v>
      </c>
      <c r="J2235" s="47" t="s">
        <v>35</v>
      </c>
    </row>
    <row r="2236" spans="2:13" ht="15" customHeight="1">
      <c r="B2236" s="47">
        <v>2212</v>
      </c>
      <c r="C2236" s="47" t="s">
        <v>894</v>
      </c>
      <c r="F2236" s="47" t="s">
        <v>1223</v>
      </c>
      <c r="G2236" s="47">
        <v>1</v>
      </c>
      <c r="H2236" s="47" t="s">
        <v>1274</v>
      </c>
      <c r="L2236" s="47" t="s">
        <v>1276</v>
      </c>
      <c r="M2236" s="47" t="s">
        <v>1279</v>
      </c>
    </row>
    <row r="2237" spans="2:13" ht="15" customHeight="1">
      <c r="B2237">
        <v>2212</v>
      </c>
      <c r="C2237" t="s">
        <v>914</v>
      </c>
      <c r="D2237" s="2" t="s">
        <v>177</v>
      </c>
      <c r="F2237" s="47" t="s">
        <v>185</v>
      </c>
      <c r="H2237" s="47" t="s">
        <v>47</v>
      </c>
      <c r="I2237" s="47" t="s">
        <v>30</v>
      </c>
      <c r="J2237" s="47" t="s">
        <v>35</v>
      </c>
    </row>
    <row r="2238" spans="2:13" ht="15" customHeight="1">
      <c r="B2238" s="47">
        <v>2213</v>
      </c>
      <c r="C2238" s="47" t="s">
        <v>894</v>
      </c>
      <c r="F2238" s="47" t="s">
        <v>1223</v>
      </c>
      <c r="G2238" s="47">
        <v>1</v>
      </c>
      <c r="H2238" s="47" t="s">
        <v>1274</v>
      </c>
      <c r="L2238" s="47" t="s">
        <v>1276</v>
      </c>
      <c r="M2238" s="47" t="s">
        <v>1279</v>
      </c>
    </row>
    <row r="2239" spans="2:13" ht="15" customHeight="1">
      <c r="B2239">
        <v>2213</v>
      </c>
      <c r="C2239" t="s">
        <v>914</v>
      </c>
      <c r="D2239" s="2" t="s">
        <v>177</v>
      </c>
      <c r="F2239" s="47" t="s">
        <v>185</v>
      </c>
      <c r="H2239" s="47" t="s">
        <v>47</v>
      </c>
      <c r="I2239" s="47" t="s">
        <v>30</v>
      </c>
      <c r="J2239" s="47" t="s">
        <v>35</v>
      </c>
    </row>
    <row r="2240" spans="2:13" ht="15" customHeight="1">
      <c r="B2240" s="47">
        <v>2214</v>
      </c>
      <c r="C2240" s="47" t="s">
        <v>894</v>
      </c>
      <c r="F2240" s="47" t="s">
        <v>1237</v>
      </c>
      <c r="G2240" s="47">
        <v>1</v>
      </c>
      <c r="H2240" s="47" t="s">
        <v>1274</v>
      </c>
      <c r="L2240" s="47" t="s">
        <v>1276</v>
      </c>
      <c r="M2240" s="47" t="s">
        <v>1279</v>
      </c>
    </row>
    <row r="2241" spans="2:35" ht="15" customHeight="1">
      <c r="B2241">
        <v>2214</v>
      </c>
      <c r="C2241" t="s">
        <v>914</v>
      </c>
      <c r="D2241" s="2" t="s">
        <v>177</v>
      </c>
      <c r="F2241" s="47" t="s">
        <v>185</v>
      </c>
      <c r="H2241" s="47" t="s">
        <v>47</v>
      </c>
      <c r="I2241" s="47" t="s">
        <v>30</v>
      </c>
      <c r="J2241" s="47" t="s">
        <v>35</v>
      </c>
    </row>
    <row r="2242" spans="2:35" ht="15" customHeight="1">
      <c r="B2242" s="47">
        <v>2215</v>
      </c>
      <c r="C2242" s="47" t="s">
        <v>894</v>
      </c>
      <c r="F2242" s="47" t="s">
        <v>1237</v>
      </c>
      <c r="G2242" s="47">
        <v>1</v>
      </c>
      <c r="H2242" s="47" t="s">
        <v>1274</v>
      </c>
      <c r="L2242" s="47" t="s">
        <v>1276</v>
      </c>
      <c r="M2242" s="47" t="s">
        <v>1279</v>
      </c>
    </row>
    <row r="2243" spans="2:35" ht="15" customHeight="1">
      <c r="B2243">
        <v>2215</v>
      </c>
      <c r="C2243" t="s">
        <v>914</v>
      </c>
      <c r="D2243" s="2" t="s">
        <v>177</v>
      </c>
      <c r="F2243" s="47" t="s">
        <v>185</v>
      </c>
      <c r="H2243" s="47" t="s">
        <v>47</v>
      </c>
      <c r="I2243" s="47" t="s">
        <v>30</v>
      </c>
      <c r="J2243" s="47" t="s">
        <v>35</v>
      </c>
    </row>
    <row r="2244" spans="2:35" ht="15" customHeight="1">
      <c r="B2244" s="47">
        <v>2216</v>
      </c>
      <c r="C2244" s="47" t="s">
        <v>894</v>
      </c>
      <c r="F2244" s="47" t="s">
        <v>980</v>
      </c>
      <c r="G2244" s="47">
        <v>1</v>
      </c>
      <c r="H2244" s="47" t="s">
        <v>530</v>
      </c>
      <c r="L2244" s="47" t="s">
        <v>1276</v>
      </c>
      <c r="M2244" s="47" t="s">
        <v>1279</v>
      </c>
    </row>
    <row r="2245" spans="2:35" ht="15" customHeight="1">
      <c r="B2245">
        <v>2216</v>
      </c>
      <c r="C2245" t="s">
        <v>914</v>
      </c>
      <c r="D2245" s="2" t="s">
        <v>177</v>
      </c>
      <c r="F2245" s="47" t="s">
        <v>185</v>
      </c>
      <c r="H2245" s="47" t="s">
        <v>47</v>
      </c>
      <c r="I2245" s="47" t="s">
        <v>30</v>
      </c>
      <c r="J2245" s="47" t="s">
        <v>35</v>
      </c>
    </row>
    <row r="2246" spans="2:35" ht="15" customHeight="1">
      <c r="B2246" s="47">
        <v>2217</v>
      </c>
      <c r="C2246" s="47" t="s">
        <v>894</v>
      </c>
      <c r="F2246" s="47" t="s">
        <v>185</v>
      </c>
      <c r="G2246" s="47">
        <v>1</v>
      </c>
      <c r="H2246" s="47" t="s">
        <v>1274</v>
      </c>
      <c r="L2246" s="47" t="s">
        <v>1276</v>
      </c>
      <c r="M2246" s="47" t="s">
        <v>1279</v>
      </c>
    </row>
    <row r="2247" spans="2:35" ht="15" customHeight="1">
      <c r="B2247">
        <v>2217</v>
      </c>
      <c r="C2247" t="s">
        <v>914</v>
      </c>
      <c r="D2247" s="2" t="s">
        <v>177</v>
      </c>
      <c r="F2247" s="47" t="s">
        <v>185</v>
      </c>
      <c r="H2247" s="47" t="s">
        <v>47</v>
      </c>
      <c r="I2247" s="47" t="s">
        <v>30</v>
      </c>
      <c r="J2247" s="47" t="s">
        <v>35</v>
      </c>
    </row>
    <row r="2248" spans="2:35" ht="15" customHeight="1">
      <c r="B2248" s="47">
        <v>2218</v>
      </c>
      <c r="C2248" s="47" t="s">
        <v>894</v>
      </c>
      <c r="F2248" s="47" t="s">
        <v>185</v>
      </c>
      <c r="G2248" s="47">
        <v>1</v>
      </c>
      <c r="H2248" s="47" t="s">
        <v>1274</v>
      </c>
      <c r="L2248" s="47" t="s">
        <v>1276</v>
      </c>
      <c r="M2248" s="47" t="s">
        <v>1279</v>
      </c>
    </row>
    <row r="2249" spans="2:35" ht="15" customHeight="1">
      <c r="B2249">
        <v>2218</v>
      </c>
      <c r="C2249" t="s">
        <v>914</v>
      </c>
      <c r="D2249" s="2" t="s">
        <v>177</v>
      </c>
      <c r="F2249" s="47" t="s">
        <v>185</v>
      </c>
      <c r="H2249" s="47" t="s">
        <v>47</v>
      </c>
      <c r="I2249" s="47" t="s">
        <v>30</v>
      </c>
      <c r="J2249" s="47" t="s">
        <v>35</v>
      </c>
    </row>
    <row r="2250" spans="2:35" ht="15" customHeight="1">
      <c r="B2250" s="47">
        <v>2219</v>
      </c>
      <c r="C2250" s="47" t="s">
        <v>894</v>
      </c>
      <c r="F2250" s="47" t="s">
        <v>1228</v>
      </c>
      <c r="G2250" s="47" t="s">
        <v>1273</v>
      </c>
      <c r="H2250" s="47" t="s">
        <v>530</v>
      </c>
      <c r="L2250" s="47" t="s">
        <v>1276</v>
      </c>
      <c r="M2250" s="47" t="s">
        <v>1279</v>
      </c>
    </row>
    <row r="2251" spans="2:35" ht="15" customHeight="1">
      <c r="B2251">
        <v>2219</v>
      </c>
      <c r="C2251" t="s">
        <v>914</v>
      </c>
      <c r="D2251" s="2" t="s">
        <v>177</v>
      </c>
      <c r="F2251" s="47" t="s">
        <v>185</v>
      </c>
      <c r="H2251" s="47" t="s">
        <v>47</v>
      </c>
      <c r="I2251" s="47" t="s">
        <v>30</v>
      </c>
      <c r="J2251" s="47" t="s">
        <v>35</v>
      </c>
    </row>
    <row r="2252" spans="2:35" ht="15" customHeight="1">
      <c r="B2252" s="47">
        <v>2220</v>
      </c>
      <c r="C2252" s="47" t="s">
        <v>894</v>
      </c>
      <c r="F2252" s="47" t="s">
        <v>1227</v>
      </c>
      <c r="G2252" s="47" t="s">
        <v>1273</v>
      </c>
      <c r="H2252" s="47" t="s">
        <v>530</v>
      </c>
      <c r="L2252" s="47" t="s">
        <v>1276</v>
      </c>
      <c r="M2252" s="47" t="s">
        <v>1279</v>
      </c>
    </row>
    <row r="2253" spans="2:35" ht="15" customHeight="1">
      <c r="B2253">
        <v>2220</v>
      </c>
      <c r="C2253" t="s">
        <v>914</v>
      </c>
      <c r="D2253" s="2" t="s">
        <v>177</v>
      </c>
      <c r="F2253" s="47" t="s">
        <v>185</v>
      </c>
      <c r="H2253" s="47" t="s">
        <v>47</v>
      </c>
      <c r="I2253" s="47" t="s">
        <v>30</v>
      </c>
      <c r="J2253" s="47" t="s">
        <v>35</v>
      </c>
    </row>
    <row r="2254" spans="2:35" ht="15" customHeight="1">
      <c r="B2254" s="47">
        <v>2221</v>
      </c>
      <c r="C2254" s="47" t="s">
        <v>894</v>
      </c>
      <c r="F2254" s="47" t="s">
        <v>185</v>
      </c>
      <c r="G2254" s="47">
        <v>1</v>
      </c>
      <c r="H2254" s="47" t="s">
        <v>1274</v>
      </c>
      <c r="L2254" s="47" t="s">
        <v>1278</v>
      </c>
      <c r="M2254" s="47" t="s">
        <v>1280</v>
      </c>
    </row>
    <row r="2255" spans="2:35" ht="15" customHeight="1">
      <c r="B2255">
        <v>2221</v>
      </c>
      <c r="C2255" t="s">
        <v>914</v>
      </c>
      <c r="D2255" s="2" t="s">
        <v>177</v>
      </c>
      <c r="F2255" s="47" t="s">
        <v>185</v>
      </c>
      <c r="H2255" s="47" t="s">
        <v>47</v>
      </c>
      <c r="I2255" s="47" t="s">
        <v>30</v>
      </c>
      <c r="J2255" s="47" t="s">
        <v>35</v>
      </c>
      <c r="AC2255" s="2"/>
      <c r="AD2255" s="2"/>
      <c r="AE2255" s="2"/>
      <c r="AF2255" s="2"/>
      <c r="AG2255" s="2"/>
      <c r="AH2255" s="2"/>
      <c r="AI2255" s="2"/>
    </row>
    <row r="2256" spans="2:35" ht="15" customHeight="1">
      <c r="B2256" s="47">
        <v>2222</v>
      </c>
      <c r="C2256" s="47" t="s">
        <v>894</v>
      </c>
      <c r="F2256" s="47" t="s">
        <v>185</v>
      </c>
      <c r="G2256" s="47">
        <v>1</v>
      </c>
      <c r="H2256" s="47" t="s">
        <v>1274</v>
      </c>
      <c r="L2256" s="47" t="s">
        <v>1278</v>
      </c>
      <c r="M2256" s="47" t="s">
        <v>1280</v>
      </c>
    </row>
    <row r="2257" spans="2:35" ht="15" customHeight="1">
      <c r="B2257">
        <v>2222</v>
      </c>
      <c r="C2257" t="s">
        <v>914</v>
      </c>
      <c r="D2257" s="2" t="s">
        <v>177</v>
      </c>
      <c r="F2257" s="47" t="s">
        <v>185</v>
      </c>
      <c r="H2257" s="47" t="s">
        <v>47</v>
      </c>
      <c r="I2257" s="47" t="s">
        <v>30</v>
      </c>
      <c r="J2257" s="47" t="s">
        <v>35</v>
      </c>
      <c r="AC2257" s="2"/>
      <c r="AD2257" s="2"/>
      <c r="AE2257" s="2"/>
      <c r="AF2257" s="2"/>
      <c r="AG2257" s="2"/>
      <c r="AH2257" s="2"/>
      <c r="AI2257"/>
    </row>
    <row r="2258" spans="2:35" ht="15" customHeight="1">
      <c r="B2258" s="47">
        <v>2223</v>
      </c>
      <c r="C2258" s="47" t="s">
        <v>894</v>
      </c>
      <c r="F2258" s="47" t="s">
        <v>185</v>
      </c>
      <c r="G2258" s="47">
        <v>1</v>
      </c>
      <c r="H2258" s="47" t="s">
        <v>1274</v>
      </c>
      <c r="L2258" s="47" t="s">
        <v>1278</v>
      </c>
      <c r="M2258" s="47" t="s">
        <v>1280</v>
      </c>
    </row>
    <row r="2259" spans="2:35" ht="15" customHeight="1">
      <c r="B2259">
        <v>2223</v>
      </c>
      <c r="C2259" t="s">
        <v>914</v>
      </c>
      <c r="D2259" s="2" t="s">
        <v>177</v>
      </c>
      <c r="F2259" s="47" t="s">
        <v>185</v>
      </c>
      <c r="H2259" s="47" t="s">
        <v>47</v>
      </c>
      <c r="I2259" s="47" t="s">
        <v>30</v>
      </c>
      <c r="J2259" s="47" t="s">
        <v>35</v>
      </c>
      <c r="AC2259" s="2"/>
      <c r="AD2259" s="2"/>
      <c r="AE2259" s="2"/>
      <c r="AF2259" s="2"/>
      <c r="AG2259" s="2"/>
      <c r="AH2259" s="2"/>
      <c r="AI2259"/>
    </row>
    <row r="2260" spans="2:35" ht="15" customHeight="1">
      <c r="B2260" s="47">
        <v>2224</v>
      </c>
      <c r="C2260" s="47" t="s">
        <v>894</v>
      </c>
      <c r="F2260" s="47" t="s">
        <v>185</v>
      </c>
      <c r="G2260" s="47">
        <v>1</v>
      </c>
      <c r="H2260" s="47" t="s">
        <v>1274</v>
      </c>
      <c r="L2260" s="47" t="s">
        <v>1278</v>
      </c>
      <c r="M2260" s="47" t="s">
        <v>1280</v>
      </c>
      <c r="N2260" s="47" t="s">
        <v>1291</v>
      </c>
    </row>
    <row r="2261" spans="2:35" ht="15" customHeight="1">
      <c r="B2261">
        <v>2224</v>
      </c>
      <c r="C2261" t="s">
        <v>914</v>
      </c>
      <c r="D2261" s="2" t="s">
        <v>177</v>
      </c>
      <c r="F2261" s="47" t="s">
        <v>185</v>
      </c>
      <c r="H2261" s="47" t="s">
        <v>47</v>
      </c>
      <c r="I2261" s="47" t="s">
        <v>30</v>
      </c>
      <c r="J2261" s="47" t="s">
        <v>35</v>
      </c>
    </row>
    <row r="2262" spans="2:35" ht="15" customHeight="1">
      <c r="B2262" s="47">
        <v>2225</v>
      </c>
      <c r="C2262" s="47" t="s">
        <v>894</v>
      </c>
      <c r="F2262" s="47" t="s">
        <v>185</v>
      </c>
      <c r="G2262" s="47">
        <v>1</v>
      </c>
      <c r="H2262" s="47" t="s">
        <v>1274</v>
      </c>
      <c r="L2262" s="47" t="s">
        <v>1278</v>
      </c>
      <c r="M2262" s="47" t="s">
        <v>1280</v>
      </c>
      <c r="N2262" s="47" t="s">
        <v>1292</v>
      </c>
    </row>
    <row r="2263" spans="2:35" ht="15" customHeight="1">
      <c r="B2263">
        <v>2225</v>
      </c>
      <c r="C2263" t="s">
        <v>914</v>
      </c>
      <c r="D2263" s="2" t="s">
        <v>177</v>
      </c>
      <c r="F2263" s="47" t="s">
        <v>185</v>
      </c>
      <c r="H2263" s="47" t="s">
        <v>47</v>
      </c>
      <c r="I2263" s="47" t="s">
        <v>30</v>
      </c>
      <c r="J2263" s="47" t="s">
        <v>35</v>
      </c>
    </row>
    <row r="2264" spans="2:35" ht="15" customHeight="1">
      <c r="B2264" s="47">
        <v>2226</v>
      </c>
      <c r="C2264" s="47" t="s">
        <v>894</v>
      </c>
      <c r="F2264" s="47" t="s">
        <v>1251</v>
      </c>
      <c r="G2264" s="47">
        <v>1</v>
      </c>
      <c r="H2264" s="47" t="s">
        <v>530</v>
      </c>
      <c r="L2264" s="47" t="s">
        <v>1278</v>
      </c>
      <c r="M2264" s="47" t="s">
        <v>1280</v>
      </c>
    </row>
    <row r="2265" spans="2:35" ht="15" customHeight="1">
      <c r="B2265">
        <v>2226</v>
      </c>
      <c r="C2265" t="s">
        <v>914</v>
      </c>
      <c r="D2265" s="2" t="s">
        <v>177</v>
      </c>
      <c r="F2265" s="47" t="s">
        <v>185</v>
      </c>
      <c r="H2265" s="47" t="s">
        <v>47</v>
      </c>
      <c r="I2265" s="47" t="s">
        <v>30</v>
      </c>
      <c r="J2265" s="47" t="s">
        <v>35</v>
      </c>
    </row>
    <row r="2266" spans="2:35" ht="15" customHeight="1">
      <c r="B2266" s="47">
        <v>2227</v>
      </c>
      <c r="C2266" s="47" t="s">
        <v>894</v>
      </c>
      <c r="F2266" s="47" t="s">
        <v>1251</v>
      </c>
      <c r="G2266" s="47">
        <v>1</v>
      </c>
      <c r="H2266" s="47" t="s">
        <v>530</v>
      </c>
      <c r="L2266" s="47" t="s">
        <v>1277</v>
      </c>
      <c r="M2266" s="47" t="s">
        <v>1280</v>
      </c>
    </row>
    <row r="2267" spans="2:35" ht="15" customHeight="1">
      <c r="B2267" s="47">
        <v>2228</v>
      </c>
      <c r="C2267" s="47" t="s">
        <v>894</v>
      </c>
      <c r="F2267" s="47" t="s">
        <v>1259</v>
      </c>
      <c r="G2267" s="47">
        <v>1</v>
      </c>
      <c r="H2267" s="47" t="s">
        <v>530</v>
      </c>
      <c r="L2267" s="47" t="s">
        <v>1277</v>
      </c>
      <c r="M2267" s="47" t="s">
        <v>1280</v>
      </c>
    </row>
    <row r="2268" spans="2:35" ht="15" customHeight="1">
      <c r="B2268" s="47">
        <v>2229</v>
      </c>
      <c r="C2268" s="47" t="s">
        <v>894</v>
      </c>
      <c r="F2268" s="47" t="s">
        <v>980</v>
      </c>
      <c r="G2268" s="47">
        <v>1</v>
      </c>
      <c r="H2268" s="47" t="s">
        <v>530</v>
      </c>
      <c r="L2268" s="47" t="s">
        <v>1277</v>
      </c>
      <c r="M2268" s="47" t="s">
        <v>1280</v>
      </c>
    </row>
    <row r="2269" spans="2:35" ht="15" customHeight="1">
      <c r="B2269" s="47">
        <v>2230</v>
      </c>
      <c r="C2269" s="47" t="s">
        <v>894</v>
      </c>
      <c r="F2269" s="47" t="s">
        <v>1259</v>
      </c>
      <c r="G2269" s="47">
        <v>1</v>
      </c>
      <c r="H2269" s="47" t="s">
        <v>530</v>
      </c>
      <c r="L2269" s="47" t="s">
        <v>1278</v>
      </c>
      <c r="M2269" s="47" t="s">
        <v>1280</v>
      </c>
    </row>
    <row r="2270" spans="2:35" ht="15" customHeight="1">
      <c r="B2270" s="47">
        <v>2231</v>
      </c>
      <c r="C2270" s="47" t="s">
        <v>894</v>
      </c>
      <c r="F2270" s="47" t="s">
        <v>1251</v>
      </c>
      <c r="G2270" s="47">
        <v>1</v>
      </c>
      <c r="H2270" s="47" t="s">
        <v>530</v>
      </c>
      <c r="L2270" s="47" t="s">
        <v>1278</v>
      </c>
      <c r="M2270" s="47" t="s">
        <v>1280</v>
      </c>
    </row>
    <row r="2271" spans="2:35" ht="15" customHeight="1">
      <c r="B2271" s="47">
        <v>2238</v>
      </c>
      <c r="C2271" s="47" t="s">
        <v>906</v>
      </c>
      <c r="F2271" s="47" t="s">
        <v>1261</v>
      </c>
      <c r="G2271" s="47">
        <v>1</v>
      </c>
      <c r="H2271" s="47" t="s">
        <v>530</v>
      </c>
      <c r="L2271" s="47" t="s">
        <v>314</v>
      </c>
      <c r="M2271" s="47" t="s">
        <v>1279</v>
      </c>
    </row>
    <row r="2272" spans="2:35" ht="15" customHeight="1">
      <c r="B2272" s="47">
        <v>2239</v>
      </c>
      <c r="C2272" s="47" t="s">
        <v>906</v>
      </c>
      <c r="F2272" s="47" t="s">
        <v>980</v>
      </c>
      <c r="G2272" s="47">
        <v>1</v>
      </c>
      <c r="H2272" s="47" t="s">
        <v>530</v>
      </c>
      <c r="L2272" s="47" t="s">
        <v>314</v>
      </c>
      <c r="M2272" s="47" t="s">
        <v>1279</v>
      </c>
    </row>
    <row r="2273" spans="2:13" ht="15" customHeight="1">
      <c r="B2273" s="47">
        <v>2240</v>
      </c>
      <c r="C2273" s="47" t="s">
        <v>906</v>
      </c>
      <c r="F2273" s="47" t="s">
        <v>1234</v>
      </c>
      <c r="G2273" s="47">
        <v>1</v>
      </c>
      <c r="H2273" s="47" t="s">
        <v>530</v>
      </c>
      <c r="L2273" s="47" t="s">
        <v>314</v>
      </c>
      <c r="M2273" s="47" t="s">
        <v>1279</v>
      </c>
    </row>
    <row r="2274" spans="2:13" ht="15" customHeight="1">
      <c r="B2274" s="47">
        <v>2241</v>
      </c>
      <c r="C2274" s="47" t="s">
        <v>906</v>
      </c>
      <c r="F2274" s="47" t="s">
        <v>1234</v>
      </c>
      <c r="G2274" s="47">
        <v>1</v>
      </c>
      <c r="H2274" s="47" t="s">
        <v>530</v>
      </c>
      <c r="L2274" s="47" t="s">
        <v>314</v>
      </c>
      <c r="M2274" s="47" t="s">
        <v>1279</v>
      </c>
    </row>
    <row r="2275" spans="2:13" ht="15" customHeight="1">
      <c r="B2275" s="47">
        <v>2242</v>
      </c>
      <c r="C2275" s="47" t="s">
        <v>906</v>
      </c>
      <c r="F2275" s="47" t="s">
        <v>1234</v>
      </c>
      <c r="G2275" s="47">
        <v>1</v>
      </c>
      <c r="H2275" s="47" t="s">
        <v>530</v>
      </c>
      <c r="L2275" s="47" t="s">
        <v>314</v>
      </c>
      <c r="M2275" s="47" t="s">
        <v>1279</v>
      </c>
    </row>
    <row r="2276" spans="2:13" ht="15" customHeight="1">
      <c r="B2276" s="47">
        <v>2243</v>
      </c>
      <c r="C2276" s="47" t="s">
        <v>906</v>
      </c>
      <c r="F2276" s="47" t="s">
        <v>1262</v>
      </c>
      <c r="G2276" s="47">
        <v>1</v>
      </c>
      <c r="H2276" s="47" t="s">
        <v>1274</v>
      </c>
      <c r="L2276" s="47" t="s">
        <v>314</v>
      </c>
      <c r="M2276" s="47" t="s">
        <v>1279</v>
      </c>
    </row>
    <row r="2277" spans="2:13" ht="15" customHeight="1">
      <c r="B2277" s="47">
        <v>2244</v>
      </c>
      <c r="C2277" s="47" t="s">
        <v>906</v>
      </c>
      <c r="F2277" s="47" t="s">
        <v>1262</v>
      </c>
      <c r="G2277" s="47">
        <v>1</v>
      </c>
      <c r="H2277" s="47" t="s">
        <v>1274</v>
      </c>
      <c r="L2277" s="47" t="s">
        <v>314</v>
      </c>
      <c r="M2277" s="47" t="s">
        <v>1279</v>
      </c>
    </row>
    <row r="2278" spans="2:13" ht="15" customHeight="1">
      <c r="B2278" s="47">
        <v>2245</v>
      </c>
      <c r="C2278" s="47" t="s">
        <v>906</v>
      </c>
      <c r="F2278" s="47" t="s">
        <v>1262</v>
      </c>
      <c r="G2278" s="47">
        <v>1</v>
      </c>
      <c r="H2278" s="47" t="s">
        <v>1274</v>
      </c>
      <c r="L2278" s="47" t="s">
        <v>314</v>
      </c>
      <c r="M2278" s="47" t="s">
        <v>1279</v>
      </c>
    </row>
    <row r="2279" spans="2:13" ht="15" customHeight="1">
      <c r="B2279" s="47">
        <v>2246</v>
      </c>
      <c r="C2279" s="47" t="s">
        <v>906</v>
      </c>
      <c r="F2279" s="47" t="s">
        <v>1262</v>
      </c>
      <c r="G2279" s="47">
        <v>1</v>
      </c>
      <c r="H2279" s="47" t="s">
        <v>1274</v>
      </c>
      <c r="L2279" s="47" t="s">
        <v>314</v>
      </c>
      <c r="M2279" s="47" t="s">
        <v>1279</v>
      </c>
    </row>
    <row r="2280" spans="2:13" ht="15" customHeight="1">
      <c r="B2280" s="47">
        <v>2247</v>
      </c>
      <c r="C2280" s="47" t="s">
        <v>906</v>
      </c>
      <c r="F2280" s="47" t="s">
        <v>1259</v>
      </c>
      <c r="G2280" s="47">
        <v>1</v>
      </c>
      <c r="H2280" s="47" t="s">
        <v>530</v>
      </c>
      <c r="L2280" s="47" t="s">
        <v>314</v>
      </c>
      <c r="M2280" s="47" t="s">
        <v>1279</v>
      </c>
    </row>
    <row r="2281" spans="2:13" ht="15" customHeight="1">
      <c r="B2281" s="47">
        <v>2248</v>
      </c>
      <c r="C2281" s="47" t="s">
        <v>906</v>
      </c>
      <c r="F2281" s="47" t="s">
        <v>1259</v>
      </c>
      <c r="G2281" s="47">
        <v>1</v>
      </c>
      <c r="H2281" s="47" t="s">
        <v>530</v>
      </c>
      <c r="L2281" s="47" t="s">
        <v>314</v>
      </c>
      <c r="M2281" s="47" t="s">
        <v>1279</v>
      </c>
    </row>
    <row r="2282" spans="2:13" ht="15" customHeight="1">
      <c r="B2282" s="47">
        <v>2249</v>
      </c>
      <c r="C2282" s="47" t="s">
        <v>906</v>
      </c>
      <c r="F2282" s="47" t="s">
        <v>1259</v>
      </c>
      <c r="G2282" s="47">
        <v>1</v>
      </c>
      <c r="H2282" s="47" t="s">
        <v>530</v>
      </c>
      <c r="L2282" s="47" t="s">
        <v>314</v>
      </c>
      <c r="M2282" s="47" t="s">
        <v>1279</v>
      </c>
    </row>
    <row r="2283" spans="2:13" ht="15" customHeight="1">
      <c r="B2283" s="47">
        <v>2250</v>
      </c>
      <c r="C2283" s="47" t="s">
        <v>906</v>
      </c>
      <c r="F2283" s="47" t="s">
        <v>980</v>
      </c>
      <c r="G2283" s="47">
        <v>1</v>
      </c>
      <c r="H2283" s="47" t="s">
        <v>530</v>
      </c>
      <c r="L2283" s="47" t="s">
        <v>314</v>
      </c>
      <c r="M2283" s="47" t="s">
        <v>1279</v>
      </c>
    </row>
    <row r="2284" spans="2:13" ht="15" customHeight="1">
      <c r="B2284" s="47">
        <v>2251</v>
      </c>
      <c r="C2284" s="47" t="s">
        <v>906</v>
      </c>
      <c r="F2284" s="47" t="s">
        <v>980</v>
      </c>
      <c r="G2284" s="47">
        <v>1</v>
      </c>
      <c r="H2284" s="47" t="s">
        <v>530</v>
      </c>
      <c r="L2284" s="47" t="s">
        <v>314</v>
      </c>
      <c r="M2284" s="47" t="s">
        <v>1279</v>
      </c>
    </row>
    <row r="2285" spans="2:13" ht="15" customHeight="1">
      <c r="B2285" s="47">
        <v>2253</v>
      </c>
      <c r="C2285" s="47" t="s">
        <v>906</v>
      </c>
      <c r="F2285" s="47" t="s">
        <v>1249</v>
      </c>
      <c r="G2285" s="47">
        <v>1</v>
      </c>
      <c r="H2285" s="47" t="s">
        <v>530</v>
      </c>
      <c r="L2285" s="47" t="s">
        <v>314</v>
      </c>
      <c r="M2285" s="47" t="s">
        <v>1279</v>
      </c>
    </row>
    <row r="2286" spans="2:13" ht="15" customHeight="1">
      <c r="B2286" s="47">
        <v>2254</v>
      </c>
      <c r="C2286" s="47" t="s">
        <v>906</v>
      </c>
      <c r="F2286" s="47" t="s">
        <v>1249</v>
      </c>
      <c r="G2286" s="47">
        <v>1</v>
      </c>
      <c r="H2286" s="47" t="s">
        <v>530</v>
      </c>
      <c r="L2286" s="47" t="s">
        <v>314</v>
      </c>
      <c r="M2286" s="47" t="s">
        <v>1279</v>
      </c>
    </row>
    <row r="2287" spans="2:13" ht="15" customHeight="1">
      <c r="B2287" s="47">
        <v>2255</v>
      </c>
      <c r="C2287" s="47" t="s">
        <v>906</v>
      </c>
      <c r="F2287" s="47" t="s">
        <v>1249</v>
      </c>
      <c r="G2287" s="47">
        <v>1</v>
      </c>
      <c r="H2287" s="47" t="s">
        <v>530</v>
      </c>
      <c r="L2287" s="47" t="s">
        <v>314</v>
      </c>
      <c r="M2287" s="47" t="s">
        <v>1279</v>
      </c>
    </row>
    <row r="2288" spans="2:13" ht="15" customHeight="1">
      <c r="B2288" s="47">
        <v>2256</v>
      </c>
      <c r="C2288" s="47" t="s">
        <v>906</v>
      </c>
      <c r="F2288" s="47" t="s">
        <v>1249</v>
      </c>
      <c r="G2288" s="47">
        <v>1</v>
      </c>
      <c r="H2288" s="47" t="s">
        <v>530</v>
      </c>
      <c r="L2288" s="47" t="s">
        <v>314</v>
      </c>
      <c r="M2288" s="47" t="s">
        <v>1279</v>
      </c>
    </row>
    <row r="2289" spans="2:13" ht="15" customHeight="1">
      <c r="B2289" s="47">
        <v>2257</v>
      </c>
      <c r="C2289" s="47" t="s">
        <v>906</v>
      </c>
      <c r="F2289" s="47" t="s">
        <v>1249</v>
      </c>
      <c r="G2289" s="47">
        <v>1</v>
      </c>
      <c r="H2289" s="47" t="s">
        <v>530</v>
      </c>
      <c r="L2289" s="47" t="s">
        <v>314</v>
      </c>
      <c r="M2289" s="47" t="s">
        <v>1279</v>
      </c>
    </row>
    <row r="2290" spans="2:13" ht="15" customHeight="1">
      <c r="B2290" s="47">
        <v>2258</v>
      </c>
      <c r="C2290" s="47" t="s">
        <v>906</v>
      </c>
      <c r="F2290" s="47" t="s">
        <v>1249</v>
      </c>
      <c r="G2290" s="47">
        <v>1</v>
      </c>
      <c r="H2290" s="47" t="s">
        <v>530</v>
      </c>
      <c r="L2290" s="47" t="s">
        <v>314</v>
      </c>
      <c r="M2290" s="47" t="s">
        <v>1279</v>
      </c>
    </row>
    <row r="2291" spans="2:13" ht="15" customHeight="1">
      <c r="B2291" s="47">
        <v>2259</v>
      </c>
      <c r="C2291" s="47" t="s">
        <v>906</v>
      </c>
      <c r="F2291" s="47" t="s">
        <v>185</v>
      </c>
      <c r="G2291" s="47">
        <v>1</v>
      </c>
      <c r="H2291" s="47" t="s">
        <v>1274</v>
      </c>
      <c r="L2291" s="47" t="s">
        <v>314</v>
      </c>
      <c r="M2291" s="47" t="s">
        <v>1279</v>
      </c>
    </row>
    <row r="2292" spans="2:13" ht="15" customHeight="1">
      <c r="B2292" s="47">
        <v>2260</v>
      </c>
      <c r="C2292" s="47" t="s">
        <v>906</v>
      </c>
      <c r="F2292" s="47" t="s">
        <v>185</v>
      </c>
      <c r="G2292" s="47">
        <v>1</v>
      </c>
      <c r="H2292" s="47" t="s">
        <v>1274</v>
      </c>
      <c r="L2292" s="47" t="s">
        <v>314</v>
      </c>
      <c r="M2292" s="47" t="s">
        <v>1279</v>
      </c>
    </row>
    <row r="2293" spans="2:13" ht="15" customHeight="1">
      <c r="B2293" s="47">
        <v>2261</v>
      </c>
      <c r="C2293" s="47" t="s">
        <v>906</v>
      </c>
      <c r="F2293" s="47" t="s">
        <v>185</v>
      </c>
      <c r="G2293" s="47">
        <v>1</v>
      </c>
      <c r="H2293" s="47" t="s">
        <v>1274</v>
      </c>
      <c r="L2293" s="47" t="s">
        <v>314</v>
      </c>
      <c r="M2293" s="47" t="s">
        <v>1279</v>
      </c>
    </row>
    <row r="2294" spans="2:13" ht="15" customHeight="1">
      <c r="B2294" s="47">
        <v>2262</v>
      </c>
      <c r="C2294" s="47" t="s">
        <v>906</v>
      </c>
      <c r="F2294" s="47" t="s">
        <v>1263</v>
      </c>
      <c r="G2294" s="47">
        <v>1</v>
      </c>
      <c r="H2294" s="47" t="s">
        <v>1274</v>
      </c>
      <c r="L2294" s="47" t="s">
        <v>314</v>
      </c>
      <c r="M2294" s="47" t="s">
        <v>1279</v>
      </c>
    </row>
    <row r="2295" spans="2:13" ht="15" customHeight="1">
      <c r="B2295" s="47">
        <v>2263</v>
      </c>
      <c r="C2295" s="47" t="s">
        <v>906</v>
      </c>
      <c r="F2295" s="47" t="s">
        <v>1069</v>
      </c>
      <c r="G2295" s="47">
        <v>1</v>
      </c>
      <c r="H2295" s="47" t="s">
        <v>530</v>
      </c>
      <c r="L2295" s="47" t="s">
        <v>314</v>
      </c>
      <c r="M2295" s="47" t="s">
        <v>1279</v>
      </c>
    </row>
    <row r="2296" spans="2:13" ht="15" customHeight="1">
      <c r="B2296" s="47">
        <v>2264</v>
      </c>
      <c r="C2296" s="47" t="s">
        <v>906</v>
      </c>
      <c r="F2296" s="47" t="s">
        <v>1069</v>
      </c>
      <c r="G2296" s="47">
        <v>1</v>
      </c>
      <c r="H2296" s="47" t="s">
        <v>530</v>
      </c>
      <c r="L2296" s="47" t="s">
        <v>314</v>
      </c>
      <c r="M2296" s="47" t="s">
        <v>1279</v>
      </c>
    </row>
    <row r="2297" spans="2:13" ht="15" customHeight="1">
      <c r="B2297" s="47">
        <v>2265</v>
      </c>
      <c r="C2297" s="47" t="s">
        <v>906</v>
      </c>
      <c r="F2297" s="47" t="s">
        <v>1069</v>
      </c>
      <c r="G2297" s="47">
        <v>1</v>
      </c>
      <c r="H2297" s="47" t="s">
        <v>530</v>
      </c>
      <c r="L2297" s="47" t="s">
        <v>314</v>
      </c>
      <c r="M2297" s="47" t="s">
        <v>1279</v>
      </c>
    </row>
    <row r="2298" spans="2:13" ht="15" customHeight="1">
      <c r="B2298" s="47">
        <v>2266</v>
      </c>
      <c r="C2298" s="47" t="s">
        <v>906</v>
      </c>
      <c r="F2298" s="47" t="s">
        <v>1224</v>
      </c>
      <c r="G2298" s="47">
        <v>1</v>
      </c>
      <c r="H2298" s="47" t="s">
        <v>530</v>
      </c>
      <c r="L2298" s="47" t="s">
        <v>314</v>
      </c>
      <c r="M2298" s="47" t="s">
        <v>1279</v>
      </c>
    </row>
    <row r="2299" spans="2:13" ht="15" customHeight="1">
      <c r="B2299" s="47">
        <v>2267</v>
      </c>
      <c r="C2299" s="47" t="s">
        <v>906</v>
      </c>
      <c r="F2299" s="47" t="s">
        <v>1224</v>
      </c>
      <c r="G2299" s="47">
        <v>1</v>
      </c>
      <c r="H2299" s="47" t="s">
        <v>530</v>
      </c>
      <c r="L2299" s="47" t="s">
        <v>314</v>
      </c>
      <c r="M2299" s="47" t="s">
        <v>1279</v>
      </c>
    </row>
    <row r="2300" spans="2:13" ht="15" customHeight="1">
      <c r="B2300" s="47">
        <v>2268</v>
      </c>
      <c r="C2300" s="47" t="s">
        <v>906</v>
      </c>
      <c r="F2300" s="47" t="s">
        <v>1230</v>
      </c>
      <c r="G2300" s="47">
        <v>1</v>
      </c>
      <c r="H2300" s="47" t="s">
        <v>530</v>
      </c>
      <c r="L2300" s="47" t="s">
        <v>314</v>
      </c>
      <c r="M2300" s="47" t="s">
        <v>1279</v>
      </c>
    </row>
    <row r="2301" spans="2:13" ht="15" customHeight="1">
      <c r="B2301" s="47">
        <v>2269</v>
      </c>
      <c r="C2301" s="47" t="s">
        <v>906</v>
      </c>
      <c r="F2301" s="47" t="s">
        <v>1230</v>
      </c>
      <c r="G2301" s="47">
        <v>1</v>
      </c>
      <c r="H2301" s="47" t="s">
        <v>530</v>
      </c>
      <c r="L2301" s="47" t="s">
        <v>314</v>
      </c>
      <c r="M2301" s="47" t="s">
        <v>1279</v>
      </c>
    </row>
    <row r="2302" spans="2:13" ht="15" customHeight="1">
      <c r="B2302" s="47">
        <v>2270</v>
      </c>
      <c r="C2302" s="47" t="s">
        <v>906</v>
      </c>
      <c r="F2302" s="47" t="s">
        <v>1243</v>
      </c>
      <c r="G2302" s="47">
        <v>1</v>
      </c>
      <c r="H2302" s="47" t="s">
        <v>530</v>
      </c>
      <c r="L2302" s="47" t="s">
        <v>314</v>
      </c>
      <c r="M2302" s="47" t="s">
        <v>1279</v>
      </c>
    </row>
    <row r="2303" spans="2:13" ht="15" customHeight="1">
      <c r="B2303" s="47">
        <v>2271</v>
      </c>
      <c r="C2303" s="47" t="s">
        <v>906</v>
      </c>
      <c r="F2303" s="47" t="s">
        <v>1243</v>
      </c>
      <c r="G2303" s="47">
        <v>1</v>
      </c>
      <c r="H2303" s="47" t="s">
        <v>530</v>
      </c>
      <c r="L2303" s="47" t="s">
        <v>314</v>
      </c>
      <c r="M2303" s="47" t="s">
        <v>1279</v>
      </c>
    </row>
    <row r="2304" spans="2:13" ht="15" customHeight="1">
      <c r="B2304" s="47">
        <v>2272</v>
      </c>
      <c r="C2304" s="47" t="s">
        <v>906</v>
      </c>
      <c r="F2304" s="47" t="s">
        <v>1264</v>
      </c>
      <c r="G2304" s="47">
        <v>1</v>
      </c>
      <c r="H2304" s="47" t="s">
        <v>1274</v>
      </c>
      <c r="L2304" s="47" t="s">
        <v>314</v>
      </c>
      <c r="M2304" s="47" t="s">
        <v>1279</v>
      </c>
    </row>
    <row r="2305" spans="2:13" ht="15" customHeight="1">
      <c r="B2305" s="47">
        <v>2273</v>
      </c>
      <c r="C2305" s="47" t="s">
        <v>906</v>
      </c>
      <c r="F2305" s="47" t="s">
        <v>1265</v>
      </c>
      <c r="G2305" s="47">
        <v>1</v>
      </c>
      <c r="H2305" s="47" t="s">
        <v>530</v>
      </c>
      <c r="L2305" s="47" t="s">
        <v>314</v>
      </c>
      <c r="M2305" s="47" t="s">
        <v>1279</v>
      </c>
    </row>
    <row r="2306" spans="2:13" ht="15" customHeight="1">
      <c r="B2306" s="47">
        <v>2274</v>
      </c>
      <c r="C2306" s="47" t="s">
        <v>906</v>
      </c>
      <c r="F2306" s="47" t="s">
        <v>1265</v>
      </c>
      <c r="G2306" s="47">
        <v>1</v>
      </c>
      <c r="H2306" s="47" t="s">
        <v>530</v>
      </c>
      <c r="L2306" s="47" t="s">
        <v>314</v>
      </c>
      <c r="M2306" s="47" t="s">
        <v>1279</v>
      </c>
    </row>
    <row r="2307" spans="2:13" ht="15" customHeight="1">
      <c r="B2307" s="47">
        <v>2275</v>
      </c>
      <c r="C2307" s="47" t="s">
        <v>906</v>
      </c>
      <c r="F2307" s="47" t="s">
        <v>980</v>
      </c>
      <c r="G2307" s="47">
        <v>1</v>
      </c>
      <c r="H2307" s="47" t="s">
        <v>530</v>
      </c>
      <c r="L2307" s="47" t="s">
        <v>314</v>
      </c>
      <c r="M2307" s="47" t="s">
        <v>1279</v>
      </c>
    </row>
    <row r="2308" spans="2:13" ht="15" customHeight="1">
      <c r="B2308" s="47">
        <v>2276</v>
      </c>
      <c r="C2308" s="47" t="s">
        <v>906</v>
      </c>
      <c r="F2308" s="47" t="s">
        <v>980</v>
      </c>
      <c r="G2308" s="47">
        <v>1</v>
      </c>
      <c r="H2308" s="47" t="s">
        <v>530</v>
      </c>
      <c r="L2308" s="47" t="s">
        <v>314</v>
      </c>
      <c r="M2308" s="47" t="s">
        <v>1279</v>
      </c>
    </row>
    <row r="2309" spans="2:13" ht="15" customHeight="1">
      <c r="B2309" s="47">
        <v>2277</v>
      </c>
      <c r="C2309" s="47" t="s">
        <v>906</v>
      </c>
      <c r="F2309" s="47" t="s">
        <v>1261</v>
      </c>
      <c r="G2309" s="47">
        <v>1</v>
      </c>
      <c r="H2309" s="47" t="s">
        <v>530</v>
      </c>
      <c r="L2309" s="47" t="s">
        <v>314</v>
      </c>
      <c r="M2309" s="47" t="s">
        <v>1279</v>
      </c>
    </row>
    <row r="2310" spans="2:13" ht="15" customHeight="1">
      <c r="B2310" s="47">
        <v>2278</v>
      </c>
      <c r="C2310" s="47" t="s">
        <v>906</v>
      </c>
      <c r="F2310" s="47" t="s">
        <v>1261</v>
      </c>
      <c r="G2310" s="47">
        <v>1</v>
      </c>
      <c r="H2310" s="47" t="s">
        <v>530</v>
      </c>
      <c r="L2310" s="47" t="s">
        <v>314</v>
      </c>
      <c r="M2310" s="47" t="s">
        <v>1279</v>
      </c>
    </row>
    <row r="2311" spans="2:13" ht="15" customHeight="1">
      <c r="B2311" s="47">
        <v>2279</v>
      </c>
      <c r="C2311" s="47" t="s">
        <v>906</v>
      </c>
      <c r="F2311" s="47" t="s">
        <v>1069</v>
      </c>
      <c r="G2311" s="47">
        <v>1</v>
      </c>
      <c r="H2311" s="47" t="s">
        <v>530</v>
      </c>
      <c r="L2311" s="47" t="s">
        <v>314</v>
      </c>
      <c r="M2311" s="47" t="s">
        <v>1279</v>
      </c>
    </row>
    <row r="2312" spans="2:13" ht="15" customHeight="1">
      <c r="B2312" s="47">
        <v>2280</v>
      </c>
      <c r="C2312" s="47" t="s">
        <v>906</v>
      </c>
      <c r="F2312" s="47" t="s">
        <v>1069</v>
      </c>
      <c r="G2312" s="47">
        <v>1</v>
      </c>
      <c r="H2312" s="47" t="s">
        <v>530</v>
      </c>
      <c r="L2312" s="47" t="s">
        <v>314</v>
      </c>
      <c r="M2312" s="47" t="s">
        <v>1279</v>
      </c>
    </row>
    <row r="2313" spans="2:13" ht="15" customHeight="1">
      <c r="B2313" s="47">
        <v>2281</v>
      </c>
      <c r="C2313" s="47" t="s">
        <v>906</v>
      </c>
      <c r="F2313" s="47" t="s">
        <v>1264</v>
      </c>
      <c r="G2313" s="47">
        <v>1</v>
      </c>
      <c r="H2313" s="47" t="s">
        <v>1274</v>
      </c>
      <c r="L2313" s="47" t="s">
        <v>314</v>
      </c>
      <c r="M2313" s="47" t="s">
        <v>1279</v>
      </c>
    </row>
    <row r="2314" spans="2:13" ht="15" customHeight="1">
      <c r="B2314" s="47">
        <v>2282</v>
      </c>
      <c r="C2314" s="47" t="s">
        <v>906</v>
      </c>
      <c r="F2314" s="47" t="s">
        <v>1234</v>
      </c>
      <c r="G2314" s="47">
        <v>1</v>
      </c>
      <c r="H2314" s="47" t="s">
        <v>530</v>
      </c>
      <c r="L2314" s="47" t="s">
        <v>314</v>
      </c>
      <c r="M2314" s="47" t="s">
        <v>1279</v>
      </c>
    </row>
    <row r="2315" spans="2:13" ht="15" customHeight="1">
      <c r="B2315" s="47">
        <v>2283</v>
      </c>
      <c r="C2315" s="47" t="s">
        <v>906</v>
      </c>
      <c r="F2315" s="47" t="s">
        <v>1234</v>
      </c>
      <c r="G2315" s="47">
        <v>1</v>
      </c>
      <c r="H2315" s="47" t="s">
        <v>530</v>
      </c>
      <c r="L2315" s="47" t="s">
        <v>314</v>
      </c>
      <c r="M2315" s="47" t="s">
        <v>1279</v>
      </c>
    </row>
    <row r="2316" spans="2:13" ht="15" customHeight="1">
      <c r="B2316" s="47">
        <v>2284</v>
      </c>
      <c r="C2316" s="47" t="s">
        <v>906</v>
      </c>
      <c r="F2316" s="47" t="s">
        <v>1234</v>
      </c>
      <c r="G2316" s="47">
        <v>1</v>
      </c>
      <c r="H2316" s="47" t="s">
        <v>530</v>
      </c>
      <c r="L2316" s="47" t="s">
        <v>314</v>
      </c>
      <c r="M2316" s="47" t="s">
        <v>1279</v>
      </c>
    </row>
    <row r="2317" spans="2:13" ht="15" customHeight="1">
      <c r="B2317" s="47">
        <v>2285</v>
      </c>
      <c r="C2317" s="47" t="s">
        <v>906</v>
      </c>
      <c r="F2317" s="47" t="s">
        <v>1262</v>
      </c>
      <c r="G2317" s="47">
        <v>1</v>
      </c>
      <c r="H2317" s="47" t="s">
        <v>1274</v>
      </c>
      <c r="L2317" s="47" t="s">
        <v>314</v>
      </c>
      <c r="M2317" s="47" t="s">
        <v>1279</v>
      </c>
    </row>
    <row r="2318" spans="2:13" ht="15" customHeight="1">
      <c r="B2318" s="47">
        <v>2286</v>
      </c>
      <c r="C2318" s="47" t="s">
        <v>906</v>
      </c>
      <c r="F2318" s="47" t="s">
        <v>1262</v>
      </c>
      <c r="G2318" s="47">
        <v>1</v>
      </c>
      <c r="H2318" s="47" t="s">
        <v>1274</v>
      </c>
      <c r="L2318" s="47" t="s">
        <v>314</v>
      </c>
      <c r="M2318" s="47" t="s">
        <v>1279</v>
      </c>
    </row>
    <row r="2319" spans="2:13" ht="15" customHeight="1">
      <c r="B2319" s="47">
        <v>2287</v>
      </c>
      <c r="C2319" s="47" t="s">
        <v>906</v>
      </c>
      <c r="F2319" s="47" t="s">
        <v>258</v>
      </c>
      <c r="G2319" s="47">
        <v>1</v>
      </c>
      <c r="H2319" s="47" t="s">
        <v>530</v>
      </c>
      <c r="L2319" s="47" t="s">
        <v>314</v>
      </c>
      <c r="M2319" s="47" t="s">
        <v>1279</v>
      </c>
    </row>
    <row r="2320" spans="2:13" ht="15" customHeight="1">
      <c r="B2320" s="47">
        <v>2288</v>
      </c>
      <c r="C2320" s="47" t="s">
        <v>906</v>
      </c>
      <c r="F2320" s="47" t="s">
        <v>1230</v>
      </c>
      <c r="G2320" s="47">
        <v>1</v>
      </c>
      <c r="H2320" s="47" t="s">
        <v>530</v>
      </c>
      <c r="L2320" s="47" t="s">
        <v>314</v>
      </c>
      <c r="M2320" s="47" t="s">
        <v>1279</v>
      </c>
    </row>
    <row r="2321" spans="2:13" ht="15" customHeight="1">
      <c r="B2321" s="47">
        <v>2289</v>
      </c>
      <c r="C2321" s="47" t="s">
        <v>906</v>
      </c>
      <c r="F2321" s="47" t="s">
        <v>1230</v>
      </c>
      <c r="G2321" s="47">
        <v>1</v>
      </c>
      <c r="H2321" s="47" t="s">
        <v>530</v>
      </c>
      <c r="L2321" s="47" t="s">
        <v>314</v>
      </c>
      <c r="M2321" s="47" t="s">
        <v>1279</v>
      </c>
    </row>
    <row r="2322" spans="2:13" ht="15" customHeight="1">
      <c r="B2322" s="47">
        <v>2290</v>
      </c>
      <c r="C2322" s="47" t="s">
        <v>906</v>
      </c>
      <c r="F2322" s="47" t="s">
        <v>1230</v>
      </c>
      <c r="G2322" s="47">
        <v>1</v>
      </c>
      <c r="H2322" s="47" t="s">
        <v>530</v>
      </c>
      <c r="L2322" s="47" t="s">
        <v>314</v>
      </c>
      <c r="M2322" s="47" t="s">
        <v>1279</v>
      </c>
    </row>
    <row r="2323" spans="2:13" ht="15" customHeight="1">
      <c r="B2323" s="47">
        <v>2291</v>
      </c>
      <c r="C2323" s="47" t="s">
        <v>906</v>
      </c>
      <c r="F2323" s="47" t="s">
        <v>1235</v>
      </c>
      <c r="G2323" s="47">
        <v>1</v>
      </c>
      <c r="H2323" s="47" t="s">
        <v>530</v>
      </c>
      <c r="L2323" s="47" t="s">
        <v>314</v>
      </c>
      <c r="M2323" s="47" t="s">
        <v>1279</v>
      </c>
    </row>
    <row r="2324" spans="2:13" ht="15" customHeight="1">
      <c r="B2324" s="47">
        <v>2292</v>
      </c>
      <c r="C2324" s="47" t="s">
        <v>906</v>
      </c>
      <c r="F2324" s="47" t="s">
        <v>1235</v>
      </c>
      <c r="G2324" s="47">
        <v>1</v>
      </c>
      <c r="H2324" s="47" t="s">
        <v>530</v>
      </c>
      <c r="L2324" s="47" t="s">
        <v>314</v>
      </c>
      <c r="M2324" s="47" t="s">
        <v>1279</v>
      </c>
    </row>
    <row r="2325" spans="2:13" ht="15" customHeight="1">
      <c r="B2325" s="47">
        <v>2293</v>
      </c>
      <c r="C2325" s="47" t="s">
        <v>906</v>
      </c>
      <c r="F2325" s="47" t="s">
        <v>1243</v>
      </c>
      <c r="G2325" s="47">
        <v>1</v>
      </c>
      <c r="H2325" s="47" t="s">
        <v>530</v>
      </c>
      <c r="L2325" s="47" t="s">
        <v>314</v>
      </c>
      <c r="M2325" s="47" t="s">
        <v>1279</v>
      </c>
    </row>
    <row r="2326" spans="2:13" ht="15" customHeight="1">
      <c r="B2326" s="47">
        <v>2294</v>
      </c>
      <c r="C2326" s="47" t="s">
        <v>906</v>
      </c>
      <c r="F2326" s="47" t="s">
        <v>1243</v>
      </c>
      <c r="G2326" s="47">
        <v>1</v>
      </c>
      <c r="H2326" s="47" t="s">
        <v>530</v>
      </c>
      <c r="L2326" s="47" t="s">
        <v>314</v>
      </c>
      <c r="M2326" s="47" t="s">
        <v>1279</v>
      </c>
    </row>
    <row r="2327" spans="2:13" ht="15" customHeight="1">
      <c r="B2327" s="47">
        <v>2295</v>
      </c>
      <c r="C2327" s="47" t="s">
        <v>906</v>
      </c>
      <c r="F2327" s="47" t="s">
        <v>1266</v>
      </c>
      <c r="G2327" s="47">
        <v>1</v>
      </c>
      <c r="H2327" s="47" t="s">
        <v>530</v>
      </c>
      <c r="L2327" s="47" t="s">
        <v>314</v>
      </c>
      <c r="M2327" s="47" t="s">
        <v>1279</v>
      </c>
    </row>
    <row r="2328" spans="2:13" ht="15" customHeight="1">
      <c r="B2328" s="47">
        <v>2296</v>
      </c>
      <c r="C2328" s="47" t="s">
        <v>906</v>
      </c>
      <c r="F2328" s="47" t="s">
        <v>1265</v>
      </c>
      <c r="G2328" s="47">
        <v>1</v>
      </c>
      <c r="H2328" s="47" t="s">
        <v>530</v>
      </c>
      <c r="L2328" s="47" t="s">
        <v>314</v>
      </c>
      <c r="M2328" s="47" t="s">
        <v>1279</v>
      </c>
    </row>
    <row r="2329" spans="2:13" ht="15" customHeight="1">
      <c r="B2329" s="47">
        <v>2297</v>
      </c>
      <c r="C2329" s="47" t="s">
        <v>906</v>
      </c>
      <c r="F2329" s="47" t="s">
        <v>1265</v>
      </c>
      <c r="G2329" s="47">
        <v>1</v>
      </c>
      <c r="H2329" s="47" t="s">
        <v>530</v>
      </c>
      <c r="L2329" s="47" t="s">
        <v>314</v>
      </c>
      <c r="M2329" s="47" t="s">
        <v>1279</v>
      </c>
    </row>
    <row r="2330" spans="2:13" ht="15" customHeight="1">
      <c r="B2330" s="47">
        <v>2298</v>
      </c>
      <c r="C2330" s="47" t="s">
        <v>906</v>
      </c>
      <c r="F2330" s="47" t="s">
        <v>980</v>
      </c>
      <c r="G2330" s="47">
        <v>1</v>
      </c>
      <c r="H2330" s="47" t="s">
        <v>530</v>
      </c>
      <c r="L2330" s="47" t="s">
        <v>314</v>
      </c>
      <c r="M2330" s="47" t="s">
        <v>1279</v>
      </c>
    </row>
    <row r="2331" spans="2:13" ht="15" customHeight="1">
      <c r="B2331" s="47">
        <v>2299</v>
      </c>
      <c r="C2331" s="47" t="s">
        <v>906</v>
      </c>
      <c r="F2331" s="47" t="s">
        <v>980</v>
      </c>
      <c r="G2331" s="47">
        <v>1</v>
      </c>
      <c r="H2331" s="47" t="s">
        <v>530</v>
      </c>
      <c r="L2331" s="47" t="s">
        <v>314</v>
      </c>
      <c r="M2331" s="47" t="s">
        <v>1279</v>
      </c>
    </row>
    <row r="2332" spans="2:13" ht="15" customHeight="1">
      <c r="B2332" s="47">
        <v>2300</v>
      </c>
      <c r="C2332" s="47" t="s">
        <v>906</v>
      </c>
      <c r="F2332" s="47" t="s">
        <v>980</v>
      </c>
      <c r="G2332" s="47">
        <v>1</v>
      </c>
      <c r="H2332" s="47" t="s">
        <v>530</v>
      </c>
      <c r="L2332" s="47" t="s">
        <v>314</v>
      </c>
      <c r="M2332" s="47" t="s">
        <v>1279</v>
      </c>
    </row>
    <row r="2333" spans="2:13" ht="15" customHeight="1">
      <c r="B2333" s="47">
        <v>2301</v>
      </c>
      <c r="C2333" s="47" t="s">
        <v>906</v>
      </c>
      <c r="F2333" s="47" t="s">
        <v>1261</v>
      </c>
      <c r="G2333" s="47">
        <v>1</v>
      </c>
      <c r="H2333" s="47" t="s">
        <v>530</v>
      </c>
      <c r="L2333" s="47" t="s">
        <v>314</v>
      </c>
      <c r="M2333" s="47" t="s">
        <v>1279</v>
      </c>
    </row>
    <row r="2334" spans="2:13" ht="15" customHeight="1">
      <c r="B2334" s="47">
        <v>2302</v>
      </c>
      <c r="C2334" s="47" t="s">
        <v>906</v>
      </c>
      <c r="F2334" s="47" t="s">
        <v>1222</v>
      </c>
      <c r="G2334" s="47">
        <v>1</v>
      </c>
      <c r="H2334" s="47" t="s">
        <v>530</v>
      </c>
      <c r="L2334" s="47" t="s">
        <v>314</v>
      </c>
      <c r="M2334" s="47" t="s">
        <v>1279</v>
      </c>
    </row>
    <row r="2335" spans="2:13" ht="15" customHeight="1">
      <c r="B2335" s="47">
        <v>2303</v>
      </c>
      <c r="C2335" s="47" t="s">
        <v>906</v>
      </c>
      <c r="F2335" s="47" t="s">
        <v>1259</v>
      </c>
      <c r="G2335" s="47">
        <v>1</v>
      </c>
      <c r="H2335" s="47" t="s">
        <v>530</v>
      </c>
      <c r="L2335" s="47" t="s">
        <v>314</v>
      </c>
      <c r="M2335" s="47" t="s">
        <v>1279</v>
      </c>
    </row>
    <row r="2336" spans="2:13" ht="15" customHeight="1">
      <c r="B2336" s="47">
        <v>2304</v>
      </c>
      <c r="C2336" s="47" t="s">
        <v>906</v>
      </c>
      <c r="F2336" s="47" t="s">
        <v>1259</v>
      </c>
      <c r="G2336" s="47">
        <v>1</v>
      </c>
      <c r="H2336" s="47" t="s">
        <v>530</v>
      </c>
      <c r="L2336" s="47" t="s">
        <v>314</v>
      </c>
      <c r="M2336" s="47" t="s">
        <v>1279</v>
      </c>
    </row>
    <row r="2337" spans="2:13" ht="15" customHeight="1">
      <c r="B2337" s="47">
        <v>2305</v>
      </c>
      <c r="C2337" s="47" t="s">
        <v>906</v>
      </c>
      <c r="F2337" s="47" t="s">
        <v>1259</v>
      </c>
      <c r="G2337" s="47">
        <v>1</v>
      </c>
      <c r="H2337" s="47" t="s">
        <v>530</v>
      </c>
      <c r="L2337" s="47" t="s">
        <v>314</v>
      </c>
      <c r="M2337" s="47" t="s">
        <v>1279</v>
      </c>
    </row>
    <row r="2338" spans="2:13" ht="15" customHeight="1">
      <c r="B2338" s="47">
        <v>2306</v>
      </c>
      <c r="C2338" s="47" t="s">
        <v>906</v>
      </c>
      <c r="F2338" s="47" t="s">
        <v>1261</v>
      </c>
      <c r="G2338" s="47">
        <v>1</v>
      </c>
      <c r="H2338" s="47" t="s">
        <v>530</v>
      </c>
      <c r="L2338" s="47" t="s">
        <v>1276</v>
      </c>
      <c r="M2338" s="47" t="s">
        <v>1279</v>
      </c>
    </row>
    <row r="2339" spans="2:13" ht="15" customHeight="1">
      <c r="B2339" s="47">
        <v>2307</v>
      </c>
      <c r="C2339" s="47" t="s">
        <v>906</v>
      </c>
      <c r="F2339" s="47" t="s">
        <v>980</v>
      </c>
      <c r="G2339" s="47">
        <v>1</v>
      </c>
      <c r="H2339" s="47" t="s">
        <v>530</v>
      </c>
      <c r="L2339" s="47" t="s">
        <v>1276</v>
      </c>
      <c r="M2339" s="47" t="s">
        <v>1279</v>
      </c>
    </row>
    <row r="2340" spans="2:13" ht="15" customHeight="1">
      <c r="B2340" s="47">
        <v>2308</v>
      </c>
      <c r="C2340" s="47" t="s">
        <v>906</v>
      </c>
      <c r="F2340" s="47" t="s">
        <v>1234</v>
      </c>
      <c r="G2340" s="47">
        <v>1</v>
      </c>
      <c r="H2340" s="47" t="s">
        <v>530</v>
      </c>
      <c r="L2340" s="47" t="s">
        <v>1276</v>
      </c>
      <c r="M2340" s="47" t="s">
        <v>1279</v>
      </c>
    </row>
    <row r="2341" spans="2:13" ht="15" customHeight="1">
      <c r="B2341" s="47">
        <v>2309</v>
      </c>
      <c r="C2341" s="47" t="s">
        <v>906</v>
      </c>
      <c r="F2341" s="47" t="s">
        <v>1234</v>
      </c>
      <c r="G2341" s="47">
        <v>1</v>
      </c>
      <c r="H2341" s="47" t="s">
        <v>530</v>
      </c>
      <c r="L2341" s="47" t="s">
        <v>1276</v>
      </c>
      <c r="M2341" s="47" t="s">
        <v>1279</v>
      </c>
    </row>
    <row r="2342" spans="2:13" ht="15" customHeight="1">
      <c r="B2342" s="47">
        <v>2310</v>
      </c>
      <c r="C2342" s="47" t="s">
        <v>906</v>
      </c>
      <c r="F2342" s="47" t="s">
        <v>1234</v>
      </c>
      <c r="G2342" s="47">
        <v>1</v>
      </c>
      <c r="H2342" s="47" t="s">
        <v>530</v>
      </c>
      <c r="L2342" s="47" t="s">
        <v>1276</v>
      </c>
      <c r="M2342" s="47" t="s">
        <v>1279</v>
      </c>
    </row>
    <row r="2343" spans="2:13" ht="15" customHeight="1">
      <c r="B2343" s="47">
        <v>2311</v>
      </c>
      <c r="C2343" s="47" t="s">
        <v>906</v>
      </c>
      <c r="F2343" s="47" t="s">
        <v>1262</v>
      </c>
      <c r="G2343" s="47">
        <v>1</v>
      </c>
      <c r="H2343" s="47" t="s">
        <v>1274</v>
      </c>
      <c r="L2343" s="47" t="s">
        <v>1276</v>
      </c>
      <c r="M2343" s="47" t="s">
        <v>1279</v>
      </c>
    </row>
    <row r="2344" spans="2:13" ht="15" customHeight="1">
      <c r="B2344" s="47">
        <v>2312</v>
      </c>
      <c r="C2344" s="47" t="s">
        <v>906</v>
      </c>
      <c r="F2344" s="47" t="s">
        <v>1262</v>
      </c>
      <c r="G2344" s="47">
        <v>1</v>
      </c>
      <c r="H2344" s="47" t="s">
        <v>1274</v>
      </c>
      <c r="L2344" s="47" t="s">
        <v>1276</v>
      </c>
      <c r="M2344" s="47" t="s">
        <v>1279</v>
      </c>
    </row>
    <row r="2345" spans="2:13" ht="15" customHeight="1">
      <c r="B2345" s="47">
        <v>2313</v>
      </c>
      <c r="C2345" s="47" t="s">
        <v>906</v>
      </c>
      <c r="F2345" s="47" t="s">
        <v>1262</v>
      </c>
      <c r="G2345" s="47">
        <v>1</v>
      </c>
      <c r="H2345" s="47" t="s">
        <v>1274</v>
      </c>
      <c r="L2345" s="47" t="s">
        <v>1276</v>
      </c>
      <c r="M2345" s="47" t="s">
        <v>1279</v>
      </c>
    </row>
    <row r="2346" spans="2:13" ht="15" customHeight="1">
      <c r="B2346" s="47">
        <v>2314</v>
      </c>
      <c r="C2346" s="47" t="s">
        <v>906</v>
      </c>
      <c r="F2346" s="47" t="s">
        <v>1262</v>
      </c>
      <c r="G2346" s="47">
        <v>1</v>
      </c>
      <c r="H2346" s="47" t="s">
        <v>1274</v>
      </c>
      <c r="L2346" s="47" t="s">
        <v>1276</v>
      </c>
      <c r="M2346" s="47" t="s">
        <v>1279</v>
      </c>
    </row>
    <row r="2347" spans="2:13" ht="15" customHeight="1">
      <c r="B2347" s="47">
        <v>2315</v>
      </c>
      <c r="C2347" s="47" t="s">
        <v>906</v>
      </c>
      <c r="F2347" s="47" t="s">
        <v>1259</v>
      </c>
      <c r="G2347" s="47">
        <v>1</v>
      </c>
      <c r="H2347" s="47" t="s">
        <v>530</v>
      </c>
      <c r="L2347" s="47" t="s">
        <v>1276</v>
      </c>
      <c r="M2347" s="47" t="s">
        <v>1279</v>
      </c>
    </row>
    <row r="2348" spans="2:13" ht="15" customHeight="1">
      <c r="B2348" s="47">
        <v>2316</v>
      </c>
      <c r="C2348" s="47" t="s">
        <v>906</v>
      </c>
      <c r="F2348" s="47" t="s">
        <v>1259</v>
      </c>
      <c r="G2348" s="47">
        <v>1</v>
      </c>
      <c r="H2348" s="47" t="s">
        <v>530</v>
      </c>
      <c r="L2348" s="47" t="s">
        <v>1276</v>
      </c>
      <c r="M2348" s="47" t="s">
        <v>1279</v>
      </c>
    </row>
    <row r="2349" spans="2:13" ht="15" customHeight="1">
      <c r="B2349" s="47">
        <v>2317</v>
      </c>
      <c r="C2349" s="47" t="s">
        <v>906</v>
      </c>
      <c r="F2349" s="47" t="s">
        <v>1259</v>
      </c>
      <c r="G2349" s="47">
        <v>1</v>
      </c>
      <c r="H2349" s="47" t="s">
        <v>530</v>
      </c>
      <c r="L2349" s="47" t="s">
        <v>1276</v>
      </c>
      <c r="M2349" s="47" t="s">
        <v>1279</v>
      </c>
    </row>
    <row r="2350" spans="2:13" ht="15" customHeight="1">
      <c r="B2350" s="47">
        <v>2318</v>
      </c>
      <c r="C2350" s="47" t="s">
        <v>906</v>
      </c>
      <c r="F2350" s="47" t="s">
        <v>980</v>
      </c>
      <c r="G2350" s="47">
        <v>1</v>
      </c>
      <c r="H2350" s="47" t="s">
        <v>530</v>
      </c>
      <c r="L2350" s="47" t="s">
        <v>1276</v>
      </c>
      <c r="M2350" s="47" t="s">
        <v>1279</v>
      </c>
    </row>
    <row r="2351" spans="2:13" ht="15" customHeight="1">
      <c r="B2351" s="47">
        <v>2319</v>
      </c>
      <c r="C2351" s="47" t="s">
        <v>906</v>
      </c>
      <c r="F2351" s="47" t="s">
        <v>980</v>
      </c>
      <c r="G2351" s="47">
        <v>1</v>
      </c>
      <c r="H2351" s="47" t="s">
        <v>530</v>
      </c>
      <c r="L2351" s="47" t="s">
        <v>1276</v>
      </c>
      <c r="M2351" s="47" t="s">
        <v>1279</v>
      </c>
    </row>
    <row r="2352" spans="2:13" ht="15" customHeight="1">
      <c r="B2352" s="47">
        <v>2321</v>
      </c>
      <c r="C2352" s="47" t="s">
        <v>906</v>
      </c>
      <c r="F2352" s="47" t="s">
        <v>1249</v>
      </c>
      <c r="G2352" s="47">
        <v>1</v>
      </c>
      <c r="H2352" s="47" t="s">
        <v>530</v>
      </c>
      <c r="L2352" s="47" t="s">
        <v>1276</v>
      </c>
      <c r="M2352" s="47" t="s">
        <v>1279</v>
      </c>
    </row>
    <row r="2353" spans="2:13" ht="15" customHeight="1">
      <c r="B2353" s="47">
        <v>2322</v>
      </c>
      <c r="C2353" s="47" t="s">
        <v>906</v>
      </c>
      <c r="F2353" s="47" t="s">
        <v>1249</v>
      </c>
      <c r="G2353" s="47">
        <v>1</v>
      </c>
      <c r="H2353" s="47" t="s">
        <v>530</v>
      </c>
      <c r="L2353" s="47" t="s">
        <v>1276</v>
      </c>
      <c r="M2353" s="47" t="s">
        <v>1279</v>
      </c>
    </row>
    <row r="2354" spans="2:13" ht="15" customHeight="1">
      <c r="B2354" s="47">
        <v>2323</v>
      </c>
      <c r="C2354" s="47" t="s">
        <v>906</v>
      </c>
      <c r="F2354" s="47" t="s">
        <v>1249</v>
      </c>
      <c r="G2354" s="47">
        <v>1</v>
      </c>
      <c r="H2354" s="47" t="s">
        <v>530</v>
      </c>
      <c r="L2354" s="47" t="s">
        <v>1276</v>
      </c>
      <c r="M2354" s="47" t="s">
        <v>1279</v>
      </c>
    </row>
    <row r="2355" spans="2:13" ht="15" customHeight="1">
      <c r="B2355" s="47">
        <v>2324</v>
      </c>
      <c r="C2355" s="47" t="s">
        <v>906</v>
      </c>
      <c r="F2355" s="47" t="s">
        <v>1249</v>
      </c>
      <c r="G2355" s="47">
        <v>1</v>
      </c>
      <c r="H2355" s="47" t="s">
        <v>530</v>
      </c>
      <c r="L2355" s="47" t="s">
        <v>1276</v>
      </c>
      <c r="M2355" s="47" t="s">
        <v>1279</v>
      </c>
    </row>
    <row r="2356" spans="2:13" ht="15" customHeight="1">
      <c r="B2356" s="47">
        <v>2325</v>
      </c>
      <c r="C2356" s="47" t="s">
        <v>906</v>
      </c>
      <c r="F2356" s="47" t="s">
        <v>1249</v>
      </c>
      <c r="G2356" s="47">
        <v>1</v>
      </c>
      <c r="H2356" s="47" t="s">
        <v>530</v>
      </c>
      <c r="L2356" s="47" t="s">
        <v>1276</v>
      </c>
      <c r="M2356" s="47" t="s">
        <v>1279</v>
      </c>
    </row>
    <row r="2357" spans="2:13" ht="15" customHeight="1">
      <c r="B2357" s="47">
        <v>2326</v>
      </c>
      <c r="C2357" s="47" t="s">
        <v>906</v>
      </c>
      <c r="F2357" s="47" t="s">
        <v>1263</v>
      </c>
      <c r="G2357" s="47">
        <v>1</v>
      </c>
      <c r="H2357" s="47" t="s">
        <v>1274</v>
      </c>
      <c r="L2357" s="47" t="s">
        <v>1276</v>
      </c>
      <c r="M2357" s="47" t="s">
        <v>1279</v>
      </c>
    </row>
    <row r="2358" spans="2:13" ht="15" customHeight="1">
      <c r="B2358" s="47">
        <v>2327</v>
      </c>
      <c r="C2358" s="47" t="s">
        <v>906</v>
      </c>
      <c r="F2358" s="47" t="s">
        <v>1069</v>
      </c>
      <c r="G2358" s="47">
        <v>1</v>
      </c>
      <c r="H2358" s="47" t="s">
        <v>530</v>
      </c>
      <c r="L2358" s="47" t="s">
        <v>1276</v>
      </c>
      <c r="M2358" s="47" t="s">
        <v>1279</v>
      </c>
    </row>
    <row r="2359" spans="2:13" ht="15" customHeight="1">
      <c r="B2359" s="47">
        <v>2328</v>
      </c>
      <c r="C2359" s="47" t="s">
        <v>906</v>
      </c>
      <c r="F2359" s="47" t="s">
        <v>1069</v>
      </c>
      <c r="G2359" s="47">
        <v>1</v>
      </c>
      <c r="H2359" s="47" t="s">
        <v>530</v>
      </c>
      <c r="L2359" s="47" t="s">
        <v>1276</v>
      </c>
      <c r="M2359" s="47" t="s">
        <v>1279</v>
      </c>
    </row>
    <row r="2360" spans="2:13" ht="15" customHeight="1">
      <c r="B2360" s="47">
        <v>2329</v>
      </c>
      <c r="C2360" s="47" t="s">
        <v>906</v>
      </c>
      <c r="F2360" s="47" t="s">
        <v>1069</v>
      </c>
      <c r="G2360" s="47">
        <v>1</v>
      </c>
      <c r="H2360" s="47" t="s">
        <v>530</v>
      </c>
      <c r="L2360" s="47" t="s">
        <v>1276</v>
      </c>
      <c r="M2360" s="47" t="s">
        <v>1279</v>
      </c>
    </row>
    <row r="2361" spans="2:13" ht="15" customHeight="1">
      <c r="B2361" s="47">
        <v>2330</v>
      </c>
      <c r="C2361" s="47" t="s">
        <v>906</v>
      </c>
      <c r="F2361" s="47" t="s">
        <v>1230</v>
      </c>
      <c r="G2361" s="47">
        <v>1</v>
      </c>
      <c r="H2361" s="47" t="s">
        <v>530</v>
      </c>
      <c r="L2361" s="47" t="s">
        <v>1276</v>
      </c>
      <c r="M2361" s="47" t="s">
        <v>1279</v>
      </c>
    </row>
    <row r="2362" spans="2:13" ht="15" customHeight="1">
      <c r="B2362" s="47">
        <v>2331</v>
      </c>
      <c r="C2362" s="47" t="s">
        <v>906</v>
      </c>
      <c r="F2362" s="47" t="s">
        <v>1230</v>
      </c>
      <c r="G2362" s="47">
        <v>1</v>
      </c>
      <c r="H2362" s="47" t="s">
        <v>530</v>
      </c>
      <c r="L2362" s="47" t="s">
        <v>1276</v>
      </c>
      <c r="M2362" s="47" t="s">
        <v>1279</v>
      </c>
    </row>
    <row r="2363" spans="2:13" ht="15" customHeight="1">
      <c r="B2363" s="47">
        <v>2332</v>
      </c>
      <c r="C2363" s="47" t="s">
        <v>906</v>
      </c>
      <c r="F2363" s="47" t="s">
        <v>1264</v>
      </c>
      <c r="G2363" s="47">
        <v>1</v>
      </c>
      <c r="H2363" s="47" t="s">
        <v>530</v>
      </c>
      <c r="L2363" s="47" t="s">
        <v>1276</v>
      </c>
      <c r="M2363" s="47" t="s">
        <v>1279</v>
      </c>
    </row>
    <row r="2364" spans="2:13" ht="15" customHeight="1">
      <c r="B2364" s="47">
        <v>2333</v>
      </c>
      <c r="C2364" s="47" t="s">
        <v>906</v>
      </c>
      <c r="F2364" s="47" t="s">
        <v>1265</v>
      </c>
      <c r="G2364" s="47">
        <v>1</v>
      </c>
      <c r="H2364" s="47" t="s">
        <v>530</v>
      </c>
      <c r="L2364" s="47" t="s">
        <v>1276</v>
      </c>
      <c r="M2364" s="47" t="s">
        <v>1279</v>
      </c>
    </row>
    <row r="2365" spans="2:13" ht="15" customHeight="1">
      <c r="B2365" s="47">
        <v>2334</v>
      </c>
      <c r="C2365" s="47" t="s">
        <v>906</v>
      </c>
      <c r="F2365" s="47" t="s">
        <v>1265</v>
      </c>
      <c r="G2365" s="47">
        <v>1</v>
      </c>
      <c r="H2365" s="47" t="s">
        <v>530</v>
      </c>
      <c r="L2365" s="47" t="s">
        <v>1276</v>
      </c>
      <c r="M2365" s="47" t="s">
        <v>1279</v>
      </c>
    </row>
    <row r="2366" spans="2:13" ht="15" customHeight="1">
      <c r="B2366" s="47">
        <v>2335</v>
      </c>
      <c r="C2366" s="47" t="s">
        <v>906</v>
      </c>
      <c r="F2366" s="47" t="s">
        <v>980</v>
      </c>
      <c r="G2366" s="47">
        <v>1</v>
      </c>
      <c r="H2366" s="47" t="s">
        <v>530</v>
      </c>
      <c r="L2366" s="47" t="s">
        <v>1276</v>
      </c>
      <c r="M2366" s="47" t="s">
        <v>1279</v>
      </c>
    </row>
    <row r="2367" spans="2:13" ht="15" customHeight="1">
      <c r="B2367" s="47">
        <v>2336</v>
      </c>
      <c r="C2367" s="47" t="s">
        <v>906</v>
      </c>
      <c r="F2367" s="47" t="s">
        <v>980</v>
      </c>
      <c r="G2367" s="47">
        <v>1</v>
      </c>
      <c r="H2367" s="47" t="s">
        <v>530</v>
      </c>
      <c r="L2367" s="47" t="s">
        <v>1276</v>
      </c>
      <c r="M2367" s="47" t="s">
        <v>1279</v>
      </c>
    </row>
    <row r="2368" spans="2:13" ht="15" customHeight="1">
      <c r="B2368" s="47">
        <v>2337</v>
      </c>
      <c r="C2368" s="47" t="s">
        <v>906</v>
      </c>
      <c r="F2368" s="47" t="s">
        <v>1261</v>
      </c>
      <c r="G2368" s="47">
        <v>1</v>
      </c>
      <c r="H2368" s="47" t="s">
        <v>530</v>
      </c>
      <c r="L2368" s="47" t="s">
        <v>1276</v>
      </c>
      <c r="M2368" s="47" t="s">
        <v>1279</v>
      </c>
    </row>
    <row r="2369" spans="2:13" ht="15" customHeight="1">
      <c r="B2369" s="47">
        <v>2338</v>
      </c>
      <c r="C2369" s="47" t="s">
        <v>906</v>
      </c>
      <c r="F2369" s="47" t="s">
        <v>1261</v>
      </c>
      <c r="G2369" s="47">
        <v>1</v>
      </c>
      <c r="H2369" s="47" t="s">
        <v>530</v>
      </c>
      <c r="L2369" s="47" t="s">
        <v>1276</v>
      </c>
      <c r="M2369" s="47" t="s">
        <v>1279</v>
      </c>
    </row>
    <row r="2370" spans="2:13" ht="15" customHeight="1">
      <c r="B2370" s="47">
        <v>2339</v>
      </c>
      <c r="C2370" s="47" t="s">
        <v>906</v>
      </c>
      <c r="F2370" s="47" t="s">
        <v>1069</v>
      </c>
      <c r="G2370" s="47">
        <v>1</v>
      </c>
      <c r="H2370" s="47" t="s">
        <v>530</v>
      </c>
      <c r="L2370" s="47" t="s">
        <v>1276</v>
      </c>
      <c r="M2370" s="47" t="s">
        <v>1279</v>
      </c>
    </row>
    <row r="2371" spans="2:13" ht="15" customHeight="1">
      <c r="B2371" s="47">
        <v>2340</v>
      </c>
      <c r="C2371" s="47" t="s">
        <v>906</v>
      </c>
      <c r="F2371" s="47" t="s">
        <v>1069</v>
      </c>
      <c r="G2371" s="47">
        <v>1</v>
      </c>
      <c r="H2371" s="47" t="s">
        <v>530</v>
      </c>
      <c r="L2371" s="47" t="s">
        <v>1276</v>
      </c>
      <c r="M2371" s="47" t="s">
        <v>1279</v>
      </c>
    </row>
    <row r="2372" spans="2:13" ht="15" customHeight="1">
      <c r="B2372" s="47">
        <v>2341</v>
      </c>
      <c r="C2372" s="47" t="s">
        <v>906</v>
      </c>
      <c r="F2372" s="47" t="s">
        <v>1264</v>
      </c>
      <c r="G2372" s="47">
        <v>1</v>
      </c>
      <c r="H2372" s="47" t="s">
        <v>530</v>
      </c>
      <c r="L2372" s="47" t="s">
        <v>1276</v>
      </c>
      <c r="M2372" s="47" t="s">
        <v>1279</v>
      </c>
    </row>
    <row r="2373" spans="2:13" ht="15" customHeight="1">
      <c r="B2373" s="47">
        <v>2342</v>
      </c>
      <c r="C2373" s="47" t="s">
        <v>906</v>
      </c>
      <c r="F2373" s="47" t="s">
        <v>1234</v>
      </c>
      <c r="G2373" s="47">
        <v>1</v>
      </c>
      <c r="H2373" s="47" t="s">
        <v>530</v>
      </c>
      <c r="L2373" s="47" t="s">
        <v>1276</v>
      </c>
      <c r="M2373" s="47" t="s">
        <v>1279</v>
      </c>
    </row>
    <row r="2374" spans="2:13" ht="15" customHeight="1">
      <c r="B2374" s="47">
        <v>2343</v>
      </c>
      <c r="C2374" s="47" t="s">
        <v>906</v>
      </c>
      <c r="F2374" s="47" t="s">
        <v>1234</v>
      </c>
      <c r="G2374" s="47">
        <v>1</v>
      </c>
      <c r="H2374" s="47" t="s">
        <v>530</v>
      </c>
      <c r="L2374" s="47" t="s">
        <v>1276</v>
      </c>
      <c r="M2374" s="47" t="s">
        <v>1279</v>
      </c>
    </row>
    <row r="2375" spans="2:13" ht="15" customHeight="1">
      <c r="B2375" s="47">
        <v>2344</v>
      </c>
      <c r="C2375" s="47" t="s">
        <v>906</v>
      </c>
      <c r="F2375" s="47" t="s">
        <v>1262</v>
      </c>
      <c r="G2375" s="47">
        <v>1</v>
      </c>
      <c r="H2375" s="47" t="s">
        <v>1274</v>
      </c>
      <c r="L2375" s="47" t="s">
        <v>1276</v>
      </c>
      <c r="M2375" s="47" t="s">
        <v>1279</v>
      </c>
    </row>
    <row r="2376" spans="2:13" ht="15" customHeight="1">
      <c r="B2376" s="47">
        <v>2345</v>
      </c>
      <c r="C2376" s="47" t="s">
        <v>906</v>
      </c>
      <c r="F2376" s="47" t="s">
        <v>258</v>
      </c>
      <c r="G2376" s="47">
        <v>1</v>
      </c>
      <c r="H2376" s="47" t="s">
        <v>530</v>
      </c>
      <c r="L2376" s="47" t="s">
        <v>1276</v>
      </c>
      <c r="M2376" s="47" t="s">
        <v>1279</v>
      </c>
    </row>
    <row r="2377" spans="2:13" ht="15" customHeight="1">
      <c r="B2377" s="47">
        <v>2346</v>
      </c>
      <c r="C2377" s="47" t="s">
        <v>906</v>
      </c>
      <c r="F2377" s="47" t="s">
        <v>1230</v>
      </c>
      <c r="G2377" s="47">
        <v>1</v>
      </c>
      <c r="H2377" s="47" t="s">
        <v>530</v>
      </c>
      <c r="L2377" s="47" t="s">
        <v>1276</v>
      </c>
      <c r="M2377" s="47" t="s">
        <v>1279</v>
      </c>
    </row>
    <row r="2378" spans="2:13" ht="15" customHeight="1">
      <c r="B2378" s="47">
        <v>2347</v>
      </c>
      <c r="C2378" s="47" t="s">
        <v>906</v>
      </c>
      <c r="F2378" s="47" t="s">
        <v>1230</v>
      </c>
      <c r="G2378" s="47">
        <v>1</v>
      </c>
      <c r="H2378" s="47" t="s">
        <v>530</v>
      </c>
      <c r="L2378" s="47" t="s">
        <v>1276</v>
      </c>
      <c r="M2378" s="47" t="s">
        <v>1279</v>
      </c>
    </row>
    <row r="2379" spans="2:13" ht="15" customHeight="1">
      <c r="B2379" s="47">
        <v>2348</v>
      </c>
      <c r="C2379" s="47" t="s">
        <v>906</v>
      </c>
      <c r="F2379" s="47" t="s">
        <v>1235</v>
      </c>
      <c r="G2379" s="47">
        <v>1</v>
      </c>
      <c r="H2379" s="47" t="s">
        <v>530</v>
      </c>
      <c r="L2379" s="47" t="s">
        <v>1276</v>
      </c>
      <c r="M2379" s="47" t="s">
        <v>1279</v>
      </c>
    </row>
    <row r="2380" spans="2:13" ht="15" customHeight="1">
      <c r="B2380" s="47">
        <v>2349</v>
      </c>
      <c r="C2380" s="47" t="s">
        <v>906</v>
      </c>
      <c r="F2380" s="47" t="s">
        <v>1235</v>
      </c>
      <c r="G2380" s="47">
        <v>1</v>
      </c>
      <c r="H2380" s="47" t="s">
        <v>530</v>
      </c>
      <c r="L2380" s="47" t="s">
        <v>1276</v>
      </c>
      <c r="M2380" s="47" t="s">
        <v>1279</v>
      </c>
    </row>
    <row r="2381" spans="2:13" ht="15" customHeight="1">
      <c r="B2381" s="47">
        <v>2350</v>
      </c>
      <c r="C2381" s="47" t="s">
        <v>906</v>
      </c>
      <c r="F2381" s="47" t="s">
        <v>1243</v>
      </c>
      <c r="G2381" s="47">
        <v>1</v>
      </c>
      <c r="H2381" s="47" t="s">
        <v>530</v>
      </c>
      <c r="L2381" s="47" t="s">
        <v>1276</v>
      </c>
      <c r="M2381" s="47" t="s">
        <v>1279</v>
      </c>
    </row>
    <row r="2382" spans="2:13" ht="15" customHeight="1">
      <c r="B2382" s="47">
        <v>2351</v>
      </c>
      <c r="C2382" s="47" t="s">
        <v>906</v>
      </c>
      <c r="F2382" s="47" t="s">
        <v>1264</v>
      </c>
      <c r="G2382" s="47">
        <v>1</v>
      </c>
      <c r="H2382" s="47" t="s">
        <v>530</v>
      </c>
      <c r="L2382" s="47" t="s">
        <v>1276</v>
      </c>
      <c r="M2382" s="47" t="s">
        <v>1279</v>
      </c>
    </row>
    <row r="2383" spans="2:13" ht="15" customHeight="1">
      <c r="B2383" s="47">
        <v>2352</v>
      </c>
      <c r="C2383" s="47" t="s">
        <v>906</v>
      </c>
      <c r="F2383" s="47" t="s">
        <v>1265</v>
      </c>
      <c r="G2383" s="47">
        <v>1</v>
      </c>
      <c r="H2383" s="47" t="s">
        <v>530</v>
      </c>
      <c r="L2383" s="47" t="s">
        <v>1276</v>
      </c>
      <c r="M2383" s="47" t="s">
        <v>1279</v>
      </c>
    </row>
    <row r="2384" spans="2:13" ht="15" customHeight="1">
      <c r="B2384" s="47">
        <v>2353</v>
      </c>
      <c r="C2384" s="47" t="s">
        <v>906</v>
      </c>
      <c r="F2384" s="47" t="s">
        <v>1265</v>
      </c>
      <c r="G2384" s="47">
        <v>1</v>
      </c>
      <c r="H2384" s="47" t="s">
        <v>530</v>
      </c>
      <c r="L2384" s="47" t="s">
        <v>1276</v>
      </c>
      <c r="M2384" s="47" t="s">
        <v>1279</v>
      </c>
    </row>
    <row r="2385" spans="2:13" ht="15" customHeight="1">
      <c r="B2385" s="47">
        <v>2354</v>
      </c>
      <c r="C2385" s="47" t="s">
        <v>906</v>
      </c>
      <c r="F2385" s="47" t="s">
        <v>980</v>
      </c>
      <c r="G2385" s="47">
        <v>1</v>
      </c>
      <c r="H2385" s="47" t="s">
        <v>530</v>
      </c>
      <c r="L2385" s="47" t="s">
        <v>1276</v>
      </c>
      <c r="M2385" s="47" t="s">
        <v>1279</v>
      </c>
    </row>
    <row r="2386" spans="2:13" ht="15" customHeight="1">
      <c r="B2386" s="47">
        <v>2355</v>
      </c>
      <c r="C2386" s="47" t="s">
        <v>906</v>
      </c>
      <c r="F2386" s="47" t="s">
        <v>980</v>
      </c>
      <c r="G2386" s="47">
        <v>1</v>
      </c>
      <c r="H2386" s="47" t="s">
        <v>530</v>
      </c>
      <c r="L2386" s="47" t="s">
        <v>1276</v>
      </c>
      <c r="M2386" s="47" t="s">
        <v>1279</v>
      </c>
    </row>
    <row r="2387" spans="2:13" ht="15" customHeight="1">
      <c r="B2387" s="47">
        <v>2356</v>
      </c>
      <c r="C2387" s="47" t="s">
        <v>906</v>
      </c>
      <c r="F2387" s="47" t="s">
        <v>1261</v>
      </c>
      <c r="G2387" s="47">
        <v>1</v>
      </c>
      <c r="H2387" s="47" t="s">
        <v>530</v>
      </c>
      <c r="L2387" s="47" t="s">
        <v>1276</v>
      </c>
      <c r="M2387" s="47" t="s">
        <v>1279</v>
      </c>
    </row>
    <row r="2388" spans="2:13" ht="15" customHeight="1">
      <c r="B2388" s="47">
        <v>2357</v>
      </c>
      <c r="C2388" s="47" t="s">
        <v>906</v>
      </c>
      <c r="F2388" s="47" t="s">
        <v>1222</v>
      </c>
      <c r="G2388" s="47">
        <v>1</v>
      </c>
      <c r="H2388" s="47" t="s">
        <v>530</v>
      </c>
      <c r="L2388" s="47" t="s">
        <v>1276</v>
      </c>
      <c r="M2388" s="47" t="s">
        <v>1279</v>
      </c>
    </row>
    <row r="2389" spans="2:13" ht="15" customHeight="1">
      <c r="B2389" s="47">
        <v>2358</v>
      </c>
      <c r="C2389" s="47" t="s">
        <v>906</v>
      </c>
      <c r="F2389" s="47" t="s">
        <v>1259</v>
      </c>
      <c r="G2389" s="47">
        <v>1</v>
      </c>
      <c r="H2389" s="47" t="s">
        <v>530</v>
      </c>
      <c r="L2389" s="47" t="s">
        <v>1276</v>
      </c>
      <c r="M2389" s="47" t="s">
        <v>1279</v>
      </c>
    </row>
    <row r="2390" spans="2:13" ht="15" customHeight="1">
      <c r="B2390" s="47">
        <v>2359</v>
      </c>
      <c r="C2390" s="47" t="s">
        <v>906</v>
      </c>
      <c r="F2390" s="47" t="s">
        <v>1259</v>
      </c>
      <c r="G2390" s="47">
        <v>1</v>
      </c>
      <c r="H2390" s="47" t="s">
        <v>530</v>
      </c>
      <c r="L2390" s="47" t="s">
        <v>1276</v>
      </c>
      <c r="M2390" s="47" t="s">
        <v>1279</v>
      </c>
    </row>
    <row r="2391" spans="2:13" ht="15" customHeight="1">
      <c r="B2391" s="47">
        <v>2360</v>
      </c>
      <c r="C2391" s="47" t="s">
        <v>906</v>
      </c>
      <c r="F2391" s="47" t="s">
        <v>1261</v>
      </c>
      <c r="G2391" s="47">
        <v>1</v>
      </c>
      <c r="H2391" s="47" t="s">
        <v>530</v>
      </c>
      <c r="L2391" s="47" t="s">
        <v>1277</v>
      </c>
      <c r="M2391" s="47" t="s">
        <v>1280</v>
      </c>
    </row>
    <row r="2392" spans="2:13" ht="15" customHeight="1">
      <c r="B2392" s="47">
        <v>2361</v>
      </c>
      <c r="C2392" s="47" t="s">
        <v>906</v>
      </c>
      <c r="F2392" s="47" t="s">
        <v>980</v>
      </c>
      <c r="G2392" s="47">
        <v>1</v>
      </c>
      <c r="H2392" s="47" t="s">
        <v>530</v>
      </c>
      <c r="L2392" s="47" t="s">
        <v>1277</v>
      </c>
      <c r="M2392" s="47" t="s">
        <v>1280</v>
      </c>
    </row>
    <row r="2393" spans="2:13" ht="15" customHeight="1">
      <c r="B2393" s="47">
        <v>2362</v>
      </c>
      <c r="C2393" s="47" t="s">
        <v>906</v>
      </c>
      <c r="F2393" s="47" t="s">
        <v>1234</v>
      </c>
      <c r="G2393" s="47">
        <v>1</v>
      </c>
      <c r="H2393" s="47" t="s">
        <v>530</v>
      </c>
      <c r="L2393" s="47" t="s">
        <v>1277</v>
      </c>
      <c r="M2393" s="47" t="s">
        <v>1280</v>
      </c>
    </row>
    <row r="2394" spans="2:13" ht="15" customHeight="1">
      <c r="B2394" s="47">
        <v>2363</v>
      </c>
      <c r="C2394" s="47" t="s">
        <v>906</v>
      </c>
      <c r="F2394" s="47" t="s">
        <v>1234</v>
      </c>
      <c r="G2394" s="47">
        <v>1</v>
      </c>
      <c r="H2394" s="47" t="s">
        <v>530</v>
      </c>
      <c r="L2394" s="47" t="s">
        <v>1277</v>
      </c>
      <c r="M2394" s="47" t="s">
        <v>1280</v>
      </c>
    </row>
    <row r="2395" spans="2:13" ht="15" customHeight="1">
      <c r="B2395" s="47">
        <v>2364</v>
      </c>
      <c r="C2395" s="47" t="s">
        <v>906</v>
      </c>
      <c r="F2395" s="47" t="s">
        <v>1234</v>
      </c>
      <c r="G2395" s="47">
        <v>1</v>
      </c>
      <c r="H2395" s="47" t="s">
        <v>530</v>
      </c>
      <c r="L2395" s="47" t="s">
        <v>1277</v>
      </c>
      <c r="M2395" s="47" t="s">
        <v>1280</v>
      </c>
    </row>
    <row r="2396" spans="2:13" ht="15" customHeight="1">
      <c r="B2396" s="47">
        <v>2365</v>
      </c>
      <c r="C2396" s="47" t="s">
        <v>906</v>
      </c>
      <c r="F2396" s="47" t="s">
        <v>1259</v>
      </c>
      <c r="G2396" s="47">
        <v>1</v>
      </c>
      <c r="H2396" s="47" t="s">
        <v>530</v>
      </c>
      <c r="L2396" s="47" t="s">
        <v>1277</v>
      </c>
      <c r="M2396" s="47" t="s">
        <v>1280</v>
      </c>
    </row>
    <row r="2397" spans="2:13" ht="15" customHeight="1">
      <c r="B2397" s="47">
        <v>2366</v>
      </c>
      <c r="C2397" s="47" t="s">
        <v>906</v>
      </c>
      <c r="F2397" s="47" t="s">
        <v>1259</v>
      </c>
      <c r="G2397" s="47">
        <v>1</v>
      </c>
      <c r="H2397" s="47" t="s">
        <v>530</v>
      </c>
      <c r="L2397" s="47" t="s">
        <v>1277</v>
      </c>
      <c r="M2397" s="47" t="s">
        <v>1280</v>
      </c>
    </row>
    <row r="2398" spans="2:13" ht="15" customHeight="1">
      <c r="B2398" s="47">
        <v>2367</v>
      </c>
      <c r="C2398" s="47" t="s">
        <v>906</v>
      </c>
      <c r="F2398" s="47" t="s">
        <v>1259</v>
      </c>
      <c r="G2398" s="47">
        <v>1</v>
      </c>
      <c r="H2398" s="47" t="s">
        <v>530</v>
      </c>
      <c r="L2398" s="47" t="s">
        <v>1277</v>
      </c>
      <c r="M2398" s="47" t="s">
        <v>1280</v>
      </c>
    </row>
    <row r="2399" spans="2:13" ht="15" customHeight="1">
      <c r="B2399" s="47">
        <v>2368</v>
      </c>
      <c r="C2399" s="47" t="s">
        <v>906</v>
      </c>
      <c r="F2399" s="47" t="s">
        <v>185</v>
      </c>
      <c r="G2399" s="47">
        <v>1</v>
      </c>
      <c r="H2399" s="47" t="s">
        <v>1274</v>
      </c>
      <c r="L2399" s="47" t="s">
        <v>1278</v>
      </c>
      <c r="M2399" s="47" t="s">
        <v>1280</v>
      </c>
    </row>
    <row r="2400" spans="2:13" ht="15" customHeight="1">
      <c r="B2400" s="47">
        <v>2369</v>
      </c>
      <c r="C2400" s="47" t="s">
        <v>906</v>
      </c>
      <c r="F2400" s="47" t="s">
        <v>185</v>
      </c>
      <c r="G2400" s="47">
        <v>1</v>
      </c>
      <c r="H2400" s="47" t="s">
        <v>1274</v>
      </c>
      <c r="L2400" s="47" t="s">
        <v>1278</v>
      </c>
      <c r="M2400" s="47" t="s">
        <v>1280</v>
      </c>
    </row>
    <row r="2401" spans="2:13" ht="15" customHeight="1">
      <c r="B2401" s="47">
        <v>2370</v>
      </c>
      <c r="C2401" s="47" t="s">
        <v>906</v>
      </c>
      <c r="F2401" s="47" t="s">
        <v>185</v>
      </c>
      <c r="G2401" s="47">
        <v>1</v>
      </c>
      <c r="H2401" s="47" t="s">
        <v>1274</v>
      </c>
      <c r="L2401" s="47" t="s">
        <v>1278</v>
      </c>
      <c r="M2401" s="47" t="s">
        <v>1280</v>
      </c>
    </row>
    <row r="2402" spans="2:13" ht="15" customHeight="1">
      <c r="B2402" s="47">
        <v>2371</v>
      </c>
      <c r="C2402" s="47" t="s">
        <v>906</v>
      </c>
      <c r="F2402" s="47" t="s">
        <v>1263</v>
      </c>
      <c r="G2402" s="47">
        <v>1</v>
      </c>
      <c r="H2402" s="47" t="s">
        <v>1274</v>
      </c>
      <c r="L2402" s="47" t="s">
        <v>1277</v>
      </c>
      <c r="M2402" s="47" t="s">
        <v>1280</v>
      </c>
    </row>
    <row r="2403" spans="2:13" ht="15" customHeight="1">
      <c r="B2403" s="47">
        <v>2372</v>
      </c>
      <c r="C2403" s="47" t="s">
        <v>906</v>
      </c>
      <c r="F2403" s="47" t="s">
        <v>980</v>
      </c>
      <c r="G2403" s="47">
        <v>1</v>
      </c>
      <c r="H2403" s="47" t="s">
        <v>530</v>
      </c>
      <c r="L2403" s="47" t="s">
        <v>1277</v>
      </c>
      <c r="M2403" s="47" t="s">
        <v>1280</v>
      </c>
    </row>
    <row r="2404" spans="2:13" ht="15" customHeight="1">
      <c r="B2404" s="47">
        <v>2373</v>
      </c>
      <c r="C2404" s="47" t="s">
        <v>906</v>
      </c>
      <c r="F2404" s="47" t="s">
        <v>980</v>
      </c>
      <c r="G2404" s="47">
        <v>1</v>
      </c>
      <c r="H2404" s="47" t="s">
        <v>530</v>
      </c>
      <c r="L2404" s="47" t="s">
        <v>1277</v>
      </c>
      <c r="M2404" s="47" t="s">
        <v>1280</v>
      </c>
    </row>
    <row r="2405" spans="2:13" ht="15" customHeight="1">
      <c r="B2405" s="47">
        <v>2375</v>
      </c>
      <c r="C2405" s="47" t="s">
        <v>906</v>
      </c>
      <c r="F2405" s="47" t="s">
        <v>1069</v>
      </c>
      <c r="G2405" s="47">
        <v>1</v>
      </c>
      <c r="H2405" s="47" t="s">
        <v>530</v>
      </c>
      <c r="L2405" s="47" t="s">
        <v>1277</v>
      </c>
      <c r="M2405" s="47" t="s">
        <v>1280</v>
      </c>
    </row>
    <row r="2406" spans="2:13" ht="15" customHeight="1">
      <c r="B2406" s="47">
        <v>2376</v>
      </c>
      <c r="C2406" s="47" t="s">
        <v>906</v>
      </c>
      <c r="F2406" s="47" t="s">
        <v>1069</v>
      </c>
      <c r="G2406" s="47">
        <v>1</v>
      </c>
      <c r="H2406" s="47" t="s">
        <v>530</v>
      </c>
      <c r="L2406" s="47" t="s">
        <v>1277</v>
      </c>
      <c r="M2406" s="47" t="s">
        <v>1280</v>
      </c>
    </row>
    <row r="2407" spans="2:13" ht="15" customHeight="1">
      <c r="B2407" s="47">
        <v>2377</v>
      </c>
      <c r="C2407" s="47" t="s">
        <v>906</v>
      </c>
      <c r="F2407" s="47" t="s">
        <v>1069</v>
      </c>
      <c r="G2407" s="47">
        <v>1</v>
      </c>
      <c r="H2407" s="47" t="s">
        <v>530</v>
      </c>
      <c r="L2407" s="47" t="s">
        <v>1277</v>
      </c>
      <c r="M2407" s="47" t="s">
        <v>1280</v>
      </c>
    </row>
    <row r="2408" spans="2:13" ht="15" customHeight="1">
      <c r="B2408" s="47">
        <v>2378</v>
      </c>
      <c r="C2408" s="47" t="s">
        <v>906</v>
      </c>
      <c r="F2408" s="47" t="s">
        <v>1230</v>
      </c>
      <c r="G2408" s="47">
        <v>1</v>
      </c>
      <c r="H2408" s="47" t="s">
        <v>530</v>
      </c>
      <c r="L2408" s="47" t="s">
        <v>1277</v>
      </c>
      <c r="M2408" s="47" t="s">
        <v>1280</v>
      </c>
    </row>
    <row r="2409" spans="2:13" ht="15" customHeight="1">
      <c r="B2409" s="47">
        <v>2379</v>
      </c>
      <c r="C2409" s="47" t="s">
        <v>906</v>
      </c>
      <c r="F2409" s="47" t="s">
        <v>1230</v>
      </c>
      <c r="G2409" s="47">
        <v>1</v>
      </c>
      <c r="H2409" s="47" t="s">
        <v>530</v>
      </c>
      <c r="L2409" s="47" t="s">
        <v>1277</v>
      </c>
      <c r="M2409" s="47" t="s">
        <v>1280</v>
      </c>
    </row>
    <row r="2410" spans="2:13" ht="15" customHeight="1">
      <c r="B2410" s="47">
        <v>2380</v>
      </c>
      <c r="C2410" s="47" t="s">
        <v>906</v>
      </c>
      <c r="F2410" s="47" t="s">
        <v>1264</v>
      </c>
      <c r="G2410" s="47">
        <v>1</v>
      </c>
      <c r="H2410" s="47" t="s">
        <v>530</v>
      </c>
      <c r="L2410" s="47" t="s">
        <v>1277</v>
      </c>
      <c r="M2410" s="47" t="s">
        <v>1280</v>
      </c>
    </row>
    <row r="2411" spans="2:13" ht="15" customHeight="1">
      <c r="B2411" s="47">
        <v>2381</v>
      </c>
      <c r="C2411" s="47" t="s">
        <v>906</v>
      </c>
      <c r="F2411" s="47" t="s">
        <v>1265</v>
      </c>
      <c r="G2411" s="47">
        <v>1</v>
      </c>
      <c r="H2411" s="47" t="s">
        <v>530</v>
      </c>
      <c r="L2411" s="47" t="s">
        <v>1277</v>
      </c>
      <c r="M2411" s="47" t="s">
        <v>1280</v>
      </c>
    </row>
    <row r="2412" spans="2:13" ht="15" customHeight="1">
      <c r="B2412" s="47">
        <v>2382</v>
      </c>
      <c r="C2412" s="47" t="s">
        <v>906</v>
      </c>
      <c r="F2412" s="47" t="s">
        <v>1265</v>
      </c>
      <c r="G2412" s="47">
        <v>1</v>
      </c>
      <c r="H2412" s="47" t="s">
        <v>530</v>
      </c>
      <c r="L2412" s="47" t="s">
        <v>1277</v>
      </c>
      <c r="M2412" s="47" t="s">
        <v>1280</v>
      </c>
    </row>
    <row r="2413" spans="2:13" ht="15" customHeight="1">
      <c r="B2413" s="47">
        <v>2383</v>
      </c>
      <c r="C2413" s="47" t="s">
        <v>906</v>
      </c>
      <c r="F2413" s="47" t="s">
        <v>980</v>
      </c>
      <c r="G2413" s="47">
        <v>1</v>
      </c>
      <c r="H2413" s="47" t="s">
        <v>530</v>
      </c>
      <c r="L2413" s="47" t="s">
        <v>1277</v>
      </c>
      <c r="M2413" s="47" t="s">
        <v>1280</v>
      </c>
    </row>
    <row r="2414" spans="2:13" ht="15" customHeight="1">
      <c r="B2414" s="47">
        <v>2384</v>
      </c>
      <c r="C2414" s="47" t="s">
        <v>906</v>
      </c>
      <c r="F2414" s="47" t="s">
        <v>980</v>
      </c>
      <c r="G2414" s="47">
        <v>1</v>
      </c>
      <c r="H2414" s="47" t="s">
        <v>530</v>
      </c>
      <c r="L2414" s="47" t="s">
        <v>1277</v>
      </c>
      <c r="M2414" s="47" t="s">
        <v>1280</v>
      </c>
    </row>
    <row r="2415" spans="2:13" ht="15" customHeight="1">
      <c r="B2415" s="47">
        <v>2385</v>
      </c>
      <c r="C2415" s="47" t="s">
        <v>906</v>
      </c>
      <c r="F2415" s="47" t="s">
        <v>1261</v>
      </c>
      <c r="G2415" s="47">
        <v>1</v>
      </c>
      <c r="H2415" s="47" t="s">
        <v>530</v>
      </c>
      <c r="L2415" s="47" t="s">
        <v>1277</v>
      </c>
      <c r="M2415" s="47" t="s">
        <v>1280</v>
      </c>
    </row>
    <row r="2416" spans="2:13" ht="15" customHeight="1">
      <c r="B2416" s="47">
        <v>2386</v>
      </c>
      <c r="C2416" s="47" t="s">
        <v>906</v>
      </c>
      <c r="F2416" s="47" t="s">
        <v>1261</v>
      </c>
      <c r="G2416" s="47">
        <v>1</v>
      </c>
      <c r="H2416" s="47" t="s">
        <v>530</v>
      </c>
      <c r="L2416" s="47" t="s">
        <v>1277</v>
      </c>
      <c r="M2416" s="47" t="s">
        <v>1280</v>
      </c>
    </row>
    <row r="2417" spans="2:13" ht="15" customHeight="1">
      <c r="B2417" s="47">
        <v>2387</v>
      </c>
      <c r="C2417" s="47" t="s">
        <v>906</v>
      </c>
      <c r="F2417" s="47" t="s">
        <v>1069</v>
      </c>
      <c r="G2417" s="47">
        <v>1</v>
      </c>
      <c r="H2417" s="47" t="s">
        <v>530</v>
      </c>
      <c r="L2417" s="47" t="s">
        <v>1277</v>
      </c>
      <c r="M2417" s="47" t="s">
        <v>1280</v>
      </c>
    </row>
    <row r="2418" spans="2:13" ht="15" customHeight="1">
      <c r="B2418" s="47">
        <v>2388</v>
      </c>
      <c r="C2418" s="47" t="s">
        <v>906</v>
      </c>
      <c r="F2418" s="47" t="s">
        <v>1069</v>
      </c>
      <c r="G2418" s="47">
        <v>1</v>
      </c>
      <c r="H2418" s="47" t="s">
        <v>530</v>
      </c>
      <c r="L2418" s="47" t="s">
        <v>1277</v>
      </c>
      <c r="M2418" s="47" t="s">
        <v>1280</v>
      </c>
    </row>
    <row r="2419" spans="2:13" ht="15" customHeight="1">
      <c r="B2419" s="47">
        <v>2389</v>
      </c>
      <c r="C2419" s="47" t="s">
        <v>906</v>
      </c>
      <c r="F2419" s="47" t="s">
        <v>1264</v>
      </c>
      <c r="G2419" s="47">
        <v>1</v>
      </c>
      <c r="H2419" s="47" t="s">
        <v>530</v>
      </c>
      <c r="L2419" s="47" t="s">
        <v>1277</v>
      </c>
      <c r="M2419" s="47" t="s">
        <v>1280</v>
      </c>
    </row>
    <row r="2420" spans="2:13" ht="15" customHeight="1">
      <c r="B2420" s="47">
        <v>2390</v>
      </c>
      <c r="C2420" s="47" t="s">
        <v>906</v>
      </c>
      <c r="F2420" s="47" t="s">
        <v>1234</v>
      </c>
      <c r="G2420" s="47">
        <v>1</v>
      </c>
      <c r="H2420" s="47" t="s">
        <v>530</v>
      </c>
      <c r="L2420" s="47" t="s">
        <v>1277</v>
      </c>
      <c r="M2420" s="47" t="s">
        <v>1280</v>
      </c>
    </row>
    <row r="2421" spans="2:13" ht="15" customHeight="1">
      <c r="B2421" s="47">
        <v>2391</v>
      </c>
      <c r="C2421" s="47" t="s">
        <v>906</v>
      </c>
      <c r="F2421" s="47" t="s">
        <v>1234</v>
      </c>
      <c r="G2421" s="47">
        <v>1</v>
      </c>
      <c r="H2421" s="47" t="s">
        <v>530</v>
      </c>
      <c r="L2421" s="47" t="s">
        <v>1277</v>
      </c>
      <c r="M2421" s="47" t="s">
        <v>1280</v>
      </c>
    </row>
    <row r="2422" spans="2:13" ht="15" customHeight="1">
      <c r="B2422" s="47">
        <v>2392</v>
      </c>
      <c r="C2422" s="47" t="s">
        <v>906</v>
      </c>
      <c r="F2422" s="47" t="s">
        <v>1234</v>
      </c>
      <c r="G2422" s="47">
        <v>1</v>
      </c>
      <c r="H2422" s="47" t="s">
        <v>530</v>
      </c>
      <c r="L2422" s="47" t="s">
        <v>1277</v>
      </c>
      <c r="M2422" s="47" t="s">
        <v>1280</v>
      </c>
    </row>
    <row r="2423" spans="2:13" ht="15" customHeight="1">
      <c r="B2423" s="47">
        <v>2393</v>
      </c>
      <c r="C2423" s="47" t="s">
        <v>906</v>
      </c>
      <c r="F2423" s="47" t="s">
        <v>1230</v>
      </c>
      <c r="G2423" s="47">
        <v>1</v>
      </c>
      <c r="H2423" s="47" t="s">
        <v>530</v>
      </c>
      <c r="L2423" s="47" t="s">
        <v>1277</v>
      </c>
      <c r="M2423" s="47" t="s">
        <v>1280</v>
      </c>
    </row>
    <row r="2424" spans="2:13" ht="15" customHeight="1">
      <c r="B2424" s="47">
        <v>2394</v>
      </c>
      <c r="C2424" s="47" t="s">
        <v>906</v>
      </c>
      <c r="F2424" s="47" t="s">
        <v>1230</v>
      </c>
      <c r="G2424" s="47">
        <v>1</v>
      </c>
      <c r="H2424" s="47" t="s">
        <v>530</v>
      </c>
      <c r="L2424" s="47" t="s">
        <v>1277</v>
      </c>
      <c r="M2424" s="47" t="s">
        <v>1280</v>
      </c>
    </row>
    <row r="2425" spans="2:13" ht="15" customHeight="1">
      <c r="B2425" s="47">
        <v>2395</v>
      </c>
      <c r="C2425" s="47" t="s">
        <v>906</v>
      </c>
      <c r="F2425" s="47" t="s">
        <v>1230</v>
      </c>
      <c r="G2425" s="47">
        <v>1</v>
      </c>
      <c r="H2425" s="47" t="s">
        <v>530</v>
      </c>
      <c r="L2425" s="47" t="s">
        <v>1277</v>
      </c>
      <c r="M2425" s="47" t="s">
        <v>1280</v>
      </c>
    </row>
    <row r="2426" spans="2:13" ht="15" customHeight="1">
      <c r="B2426" s="47">
        <v>2396</v>
      </c>
      <c r="C2426" s="47" t="s">
        <v>906</v>
      </c>
      <c r="F2426" s="47" t="s">
        <v>1264</v>
      </c>
      <c r="G2426" s="47">
        <v>1</v>
      </c>
      <c r="H2426" s="47" t="s">
        <v>530</v>
      </c>
      <c r="L2426" s="47" t="s">
        <v>1277</v>
      </c>
      <c r="M2426" s="47" t="s">
        <v>1280</v>
      </c>
    </row>
    <row r="2427" spans="2:13" ht="15" customHeight="1">
      <c r="B2427" s="47">
        <v>2397</v>
      </c>
      <c r="C2427" s="47" t="s">
        <v>906</v>
      </c>
      <c r="F2427" s="47" t="s">
        <v>1265</v>
      </c>
      <c r="G2427" s="47">
        <v>1</v>
      </c>
      <c r="H2427" s="47" t="s">
        <v>530</v>
      </c>
      <c r="L2427" s="47" t="s">
        <v>1277</v>
      </c>
      <c r="M2427" s="47" t="s">
        <v>1280</v>
      </c>
    </row>
    <row r="2428" spans="2:13" ht="15" customHeight="1">
      <c r="B2428" s="47">
        <v>2398</v>
      </c>
      <c r="C2428" s="47" t="s">
        <v>906</v>
      </c>
      <c r="F2428" s="47" t="s">
        <v>1265</v>
      </c>
      <c r="G2428" s="47">
        <v>1</v>
      </c>
      <c r="H2428" s="47" t="s">
        <v>530</v>
      </c>
      <c r="L2428" s="47" t="s">
        <v>1277</v>
      </c>
      <c r="M2428" s="47" t="s">
        <v>1280</v>
      </c>
    </row>
    <row r="2429" spans="2:13" ht="15" customHeight="1">
      <c r="B2429" s="47">
        <v>2399</v>
      </c>
      <c r="C2429" s="47" t="s">
        <v>906</v>
      </c>
      <c r="F2429" s="47" t="s">
        <v>980</v>
      </c>
      <c r="G2429" s="47">
        <v>1</v>
      </c>
      <c r="H2429" s="47" t="s">
        <v>530</v>
      </c>
      <c r="L2429" s="47" t="s">
        <v>1277</v>
      </c>
      <c r="M2429" s="47" t="s">
        <v>1280</v>
      </c>
    </row>
    <row r="2430" spans="2:13" ht="15" customHeight="1">
      <c r="B2430" s="47">
        <v>2400</v>
      </c>
      <c r="C2430" s="47" t="s">
        <v>906</v>
      </c>
      <c r="F2430" s="47" t="s">
        <v>980</v>
      </c>
      <c r="G2430" s="47">
        <v>1</v>
      </c>
      <c r="H2430" s="47" t="s">
        <v>530</v>
      </c>
      <c r="L2430" s="47" t="s">
        <v>1277</v>
      </c>
      <c r="M2430" s="47" t="s">
        <v>1280</v>
      </c>
    </row>
    <row r="2431" spans="2:13" ht="15" customHeight="1">
      <c r="B2431" s="47">
        <v>2401</v>
      </c>
      <c r="C2431" s="47" t="s">
        <v>906</v>
      </c>
      <c r="F2431" s="47" t="s">
        <v>980</v>
      </c>
      <c r="G2431" s="47">
        <v>1</v>
      </c>
      <c r="H2431" s="47" t="s">
        <v>530</v>
      </c>
      <c r="L2431" s="47" t="s">
        <v>1277</v>
      </c>
      <c r="M2431" s="47" t="s">
        <v>1280</v>
      </c>
    </row>
    <row r="2432" spans="2:13" ht="15" customHeight="1">
      <c r="B2432" s="47">
        <v>2402</v>
      </c>
      <c r="C2432" s="47" t="s">
        <v>906</v>
      </c>
      <c r="F2432" s="47" t="s">
        <v>1261</v>
      </c>
      <c r="G2432" s="47">
        <v>1</v>
      </c>
      <c r="H2432" s="47" t="s">
        <v>530</v>
      </c>
      <c r="L2432" s="47" t="s">
        <v>1277</v>
      </c>
      <c r="M2432" s="47" t="s">
        <v>1280</v>
      </c>
    </row>
    <row r="2433" spans="2:15" ht="15" customHeight="1">
      <c r="B2433" s="47">
        <v>2403</v>
      </c>
      <c r="C2433" s="47" t="s">
        <v>906</v>
      </c>
      <c r="F2433" s="47" t="s">
        <v>1259</v>
      </c>
      <c r="G2433" s="47">
        <v>1</v>
      </c>
      <c r="H2433" s="47" t="s">
        <v>530</v>
      </c>
      <c r="L2433" s="47" t="s">
        <v>1277</v>
      </c>
      <c r="M2433" s="47" t="s">
        <v>1280</v>
      </c>
    </row>
    <row r="2434" spans="2:15" ht="15" customHeight="1">
      <c r="B2434" s="47">
        <v>2404</v>
      </c>
      <c r="C2434" s="47" t="s">
        <v>906</v>
      </c>
      <c r="F2434" s="47" t="s">
        <v>1259</v>
      </c>
      <c r="G2434" s="47">
        <v>1</v>
      </c>
      <c r="H2434" s="47" t="s">
        <v>530</v>
      </c>
      <c r="L2434" s="47" t="s">
        <v>1277</v>
      </c>
      <c r="M2434" s="47" t="s">
        <v>1280</v>
      </c>
    </row>
    <row r="2435" spans="2:15" ht="15" customHeight="1">
      <c r="B2435" s="47">
        <v>2405</v>
      </c>
      <c r="C2435" s="47" t="s">
        <v>906</v>
      </c>
      <c r="F2435" s="47" t="s">
        <v>1259</v>
      </c>
      <c r="G2435" s="47">
        <v>1</v>
      </c>
      <c r="H2435" s="47" t="s">
        <v>530</v>
      </c>
      <c r="L2435" s="47" t="s">
        <v>1277</v>
      </c>
      <c r="M2435" s="47" t="s">
        <v>1280</v>
      </c>
    </row>
    <row r="2436" spans="2:15" ht="15" customHeight="1">
      <c r="B2436" s="47">
        <v>2406</v>
      </c>
      <c r="C2436" s="47" t="s">
        <v>906</v>
      </c>
      <c r="F2436" s="47" t="s">
        <v>1261</v>
      </c>
      <c r="G2436" s="47">
        <v>1</v>
      </c>
      <c r="H2436" s="47" t="s">
        <v>530</v>
      </c>
      <c r="L2436" s="47" t="s">
        <v>1278</v>
      </c>
      <c r="M2436" s="47" t="s">
        <v>1280</v>
      </c>
    </row>
    <row r="2437" spans="2:15" ht="15" customHeight="1">
      <c r="B2437" s="47">
        <v>2407</v>
      </c>
      <c r="C2437" s="47" t="s">
        <v>906</v>
      </c>
      <c r="F2437" s="47" t="s">
        <v>1263</v>
      </c>
      <c r="G2437" s="47">
        <v>1</v>
      </c>
      <c r="H2437" s="47" t="s">
        <v>1274</v>
      </c>
      <c r="L2437" s="47" t="s">
        <v>1278</v>
      </c>
      <c r="M2437" s="47" t="s">
        <v>1280</v>
      </c>
    </row>
    <row r="2438" spans="2:15" ht="15" customHeight="1">
      <c r="B2438" s="47">
        <v>2408</v>
      </c>
      <c r="C2438" s="47" t="s">
        <v>906</v>
      </c>
      <c r="F2438" s="47" t="s">
        <v>1262</v>
      </c>
      <c r="G2438" s="47">
        <v>1</v>
      </c>
      <c r="H2438" s="47" t="s">
        <v>1274</v>
      </c>
      <c r="L2438" s="47" t="s">
        <v>1278</v>
      </c>
      <c r="M2438" s="47" t="s">
        <v>1280</v>
      </c>
    </row>
    <row r="2439" spans="2:15" ht="15" customHeight="1">
      <c r="B2439" s="47">
        <v>2409</v>
      </c>
      <c r="C2439" s="47" t="s">
        <v>906</v>
      </c>
      <c r="F2439" s="47" t="s">
        <v>1249</v>
      </c>
      <c r="G2439" s="47">
        <v>1</v>
      </c>
      <c r="H2439" s="47" t="s">
        <v>530</v>
      </c>
      <c r="L2439" s="47" t="s">
        <v>1278</v>
      </c>
      <c r="M2439" s="47" t="s">
        <v>1280</v>
      </c>
    </row>
    <row r="2440" spans="2:15" ht="15" customHeight="1">
      <c r="B2440" s="47">
        <v>2410</v>
      </c>
      <c r="C2440" s="47" t="s">
        <v>906</v>
      </c>
      <c r="F2440" s="47" t="s">
        <v>1264</v>
      </c>
      <c r="G2440" s="47">
        <v>1</v>
      </c>
      <c r="H2440" s="47" t="s">
        <v>530</v>
      </c>
      <c r="L2440" s="47" t="s">
        <v>1278</v>
      </c>
      <c r="M2440" s="47" t="s">
        <v>1280</v>
      </c>
    </row>
    <row r="2441" spans="2:15" ht="15" customHeight="1">
      <c r="B2441" s="47">
        <v>2411</v>
      </c>
      <c r="C2441" s="47" t="s">
        <v>906</v>
      </c>
      <c r="F2441" s="47" t="s">
        <v>1265</v>
      </c>
      <c r="G2441" s="47">
        <v>1</v>
      </c>
      <c r="H2441" s="47" t="s">
        <v>530</v>
      </c>
      <c r="L2441" s="47" t="s">
        <v>1278</v>
      </c>
      <c r="M2441" s="47" t="s">
        <v>1280</v>
      </c>
    </row>
    <row r="2442" spans="2:15" ht="15" customHeight="1">
      <c r="B2442" s="47">
        <v>2514</v>
      </c>
      <c r="C2442" s="47" t="s">
        <v>909</v>
      </c>
      <c r="D2442" s="47" t="s">
        <v>224</v>
      </c>
      <c r="L2442" s="47" t="s">
        <v>536</v>
      </c>
      <c r="M2442" s="47" t="s">
        <v>1063</v>
      </c>
      <c r="N2442" s="47" t="s">
        <v>1064</v>
      </c>
    </row>
    <row r="2443" spans="2:15" ht="15" customHeight="1">
      <c r="B2443" s="47">
        <v>2515</v>
      </c>
      <c r="C2443" s="47" t="s">
        <v>909</v>
      </c>
      <c r="D2443" s="47" t="s">
        <v>224</v>
      </c>
      <c r="L2443" s="47" t="s">
        <v>536</v>
      </c>
      <c r="M2443" s="47" t="s">
        <v>1063</v>
      </c>
      <c r="N2443" s="47" t="s">
        <v>1065</v>
      </c>
    </row>
    <row r="2444" spans="2:15" ht="15" customHeight="1">
      <c r="B2444" s="47">
        <v>2516</v>
      </c>
      <c r="C2444" s="47" t="s">
        <v>909</v>
      </c>
      <c r="D2444" s="47" t="s">
        <v>224</v>
      </c>
      <c r="L2444" s="47" t="s">
        <v>536</v>
      </c>
      <c r="M2444" s="47" t="s">
        <v>1063</v>
      </c>
      <c r="N2444" s="47" t="s">
        <v>1066</v>
      </c>
    </row>
    <row r="2445" spans="2:15" ht="15" customHeight="1">
      <c r="B2445" s="47">
        <v>2517</v>
      </c>
      <c r="C2445" s="47" t="s">
        <v>909</v>
      </c>
      <c r="D2445" s="47" t="s">
        <v>224</v>
      </c>
      <c r="L2445" s="47" t="s">
        <v>536</v>
      </c>
      <c r="M2445" s="47" t="s">
        <v>1063</v>
      </c>
      <c r="N2445" s="47" t="s">
        <v>1067</v>
      </c>
    </row>
    <row r="2446" spans="2:15" ht="15" customHeight="1">
      <c r="B2446" s="47">
        <v>2518</v>
      </c>
      <c r="C2446" s="47" t="s">
        <v>909</v>
      </c>
      <c r="D2446" s="47" t="s">
        <v>224</v>
      </c>
      <c r="M2446" s="47" t="s">
        <v>1063</v>
      </c>
      <c r="N2446" s="47" t="s">
        <v>1068</v>
      </c>
    </row>
    <row r="2447" spans="2:15" ht="15" customHeight="1">
      <c r="B2447" s="47">
        <v>2531</v>
      </c>
      <c r="C2447" s="47" t="s">
        <v>911</v>
      </c>
      <c r="D2447" s="47" t="s">
        <v>171</v>
      </c>
      <c r="M2447" s="47" t="s">
        <v>205</v>
      </c>
      <c r="O2447" s="47" t="s">
        <v>43</v>
      </c>
    </row>
    <row r="2448" spans="2:15" ht="15" customHeight="1">
      <c r="B2448" s="47">
        <v>2536</v>
      </c>
      <c r="C2448" s="47" t="s">
        <v>912</v>
      </c>
      <c r="D2448" s="47" t="s">
        <v>960</v>
      </c>
      <c r="F2448" s="47" t="s">
        <v>210</v>
      </c>
      <c r="G2448" s="47">
        <v>5</v>
      </c>
      <c r="L2448" s="47" t="s">
        <v>962</v>
      </c>
      <c r="M2448" s="47" t="s">
        <v>1060</v>
      </c>
      <c r="N2448" s="47" t="s">
        <v>1061</v>
      </c>
      <c r="O2448" s="47" t="s">
        <v>47</v>
      </c>
    </row>
    <row r="2449" spans="2:28" ht="15" customHeight="1">
      <c r="B2449" s="47">
        <v>2537</v>
      </c>
      <c r="C2449" s="47" t="s">
        <v>912</v>
      </c>
      <c r="D2449" s="47" t="s">
        <v>960</v>
      </c>
      <c r="F2449" s="47" t="s">
        <v>191</v>
      </c>
      <c r="G2449" s="47">
        <v>30</v>
      </c>
      <c r="L2449" s="47" t="s">
        <v>962</v>
      </c>
      <c r="M2449" s="47" t="s">
        <v>1049</v>
      </c>
      <c r="N2449" s="47" t="s">
        <v>1062</v>
      </c>
      <c r="O2449" s="47" t="s">
        <v>47</v>
      </c>
    </row>
    <row r="2450" spans="2:28" ht="15" customHeight="1">
      <c r="B2450" s="47">
        <v>2539</v>
      </c>
      <c r="C2450" s="47" t="s">
        <v>883</v>
      </c>
      <c r="D2450" s="47" t="s">
        <v>960</v>
      </c>
      <c r="F2450" s="47" t="s">
        <v>1038</v>
      </c>
      <c r="G2450" s="47">
        <v>4</v>
      </c>
      <c r="L2450" s="47" t="s">
        <v>962</v>
      </c>
      <c r="M2450" s="47" t="s">
        <v>987</v>
      </c>
      <c r="N2450" s="47" t="s">
        <v>1054</v>
      </c>
      <c r="O2450" s="47" t="s">
        <v>46</v>
      </c>
    </row>
    <row r="2451" spans="2:28" ht="15" customHeight="1">
      <c r="B2451" s="47">
        <v>2550</v>
      </c>
      <c r="C2451" s="47" t="s">
        <v>883</v>
      </c>
      <c r="D2451" s="47" t="s">
        <v>960</v>
      </c>
      <c r="F2451" s="47" t="s">
        <v>1055</v>
      </c>
      <c r="G2451" s="47">
        <v>3</v>
      </c>
      <c r="L2451" s="47" t="s">
        <v>962</v>
      </c>
      <c r="M2451" s="47" t="s">
        <v>1040</v>
      </c>
      <c r="N2451" s="47" t="s">
        <v>1056</v>
      </c>
      <c r="O2451" s="47" t="s">
        <v>46</v>
      </c>
    </row>
    <row r="2452" spans="2:28" ht="15" customHeight="1">
      <c r="B2452" s="47">
        <v>2551</v>
      </c>
      <c r="C2452" s="47" t="s">
        <v>883</v>
      </c>
      <c r="D2452" s="47" t="s">
        <v>960</v>
      </c>
      <c r="F2452" s="47" t="s">
        <v>191</v>
      </c>
      <c r="G2452" s="47">
        <v>33</v>
      </c>
      <c r="L2452" s="47" t="s">
        <v>962</v>
      </c>
      <c r="M2452" s="47" t="s">
        <v>996</v>
      </c>
      <c r="O2452" s="47" t="s">
        <v>46</v>
      </c>
    </row>
    <row r="2453" spans="2:28" ht="15" customHeight="1">
      <c r="B2453" s="47">
        <v>2552</v>
      </c>
      <c r="C2453" s="47" t="s">
        <v>883</v>
      </c>
      <c r="D2453" s="47" t="s">
        <v>960</v>
      </c>
      <c r="F2453" s="47" t="s">
        <v>1051</v>
      </c>
      <c r="G2453" s="47">
        <v>18</v>
      </c>
      <c r="L2453" s="47" t="s">
        <v>962</v>
      </c>
      <c r="M2453" s="47" t="s">
        <v>988</v>
      </c>
      <c r="O2453" s="47" t="s">
        <v>46</v>
      </c>
    </row>
    <row r="2454" spans="2:28" ht="15" customHeight="1">
      <c r="B2454" s="47">
        <v>2553</v>
      </c>
      <c r="C2454" s="47" t="s">
        <v>883</v>
      </c>
      <c r="D2454" s="47" t="s">
        <v>960</v>
      </c>
      <c r="F2454" s="47" t="s">
        <v>1057</v>
      </c>
      <c r="G2454" s="47">
        <v>3</v>
      </c>
      <c r="L2454" s="47" t="s">
        <v>962</v>
      </c>
      <c r="M2454" s="47" t="s">
        <v>988</v>
      </c>
      <c r="O2454" s="47" t="s">
        <v>46</v>
      </c>
    </row>
    <row r="2455" spans="2:28" ht="15" customHeight="1">
      <c r="B2455" s="47">
        <v>2554</v>
      </c>
      <c r="C2455" s="47" t="s">
        <v>883</v>
      </c>
      <c r="D2455" s="47" t="s">
        <v>960</v>
      </c>
      <c r="F2455" s="47" t="s">
        <v>1041</v>
      </c>
      <c r="G2455" s="47">
        <v>1</v>
      </c>
      <c r="L2455" s="47" t="s">
        <v>962</v>
      </c>
      <c r="M2455" s="47" t="s">
        <v>988</v>
      </c>
      <c r="O2455" s="47" t="s">
        <v>46</v>
      </c>
    </row>
    <row r="2456" spans="2:28" ht="15" customHeight="1">
      <c r="B2456" s="47">
        <v>2555</v>
      </c>
      <c r="C2456" s="47" t="s">
        <v>904</v>
      </c>
      <c r="D2456" s="47" t="s">
        <v>960</v>
      </c>
      <c r="F2456" s="47" t="s">
        <v>1045</v>
      </c>
      <c r="G2456" s="54" t="s">
        <v>1058</v>
      </c>
      <c r="L2456" s="47" t="s">
        <v>962</v>
      </c>
      <c r="M2456" s="47" t="s">
        <v>1040</v>
      </c>
      <c r="N2456" s="47" t="s">
        <v>1059</v>
      </c>
      <c r="O2456" s="47" t="s">
        <v>46</v>
      </c>
    </row>
    <row r="2457" spans="2:28" ht="15" customHeight="1">
      <c r="B2457" s="47">
        <v>2627</v>
      </c>
      <c r="C2457" t="s">
        <v>914</v>
      </c>
      <c r="D2457" s="2" t="s">
        <v>1138</v>
      </c>
      <c r="E2457"/>
      <c r="F2457" t="s">
        <v>1117</v>
      </c>
      <c r="H2457" s="47" t="s">
        <v>47</v>
      </c>
      <c r="I2457" s="47" t="s">
        <v>30</v>
      </c>
    </row>
    <row r="2458" spans="2:28" ht="15" customHeight="1">
      <c r="B2458" s="47">
        <v>2636</v>
      </c>
      <c r="C2458" s="47" t="s">
        <v>920</v>
      </c>
      <c r="D2458" s="47" t="s">
        <v>171</v>
      </c>
      <c r="E2458" s="47" t="s">
        <v>1098</v>
      </c>
      <c r="H2458" s="47" t="s">
        <v>30</v>
      </c>
      <c r="M2458" s="15" t="s">
        <v>1115</v>
      </c>
      <c r="N2458" s="47" t="s">
        <v>1116</v>
      </c>
      <c r="O2458" s="47" t="s">
        <v>30</v>
      </c>
    </row>
    <row r="2459" spans="2:28" ht="15" customHeight="1">
      <c r="B2459" s="47">
        <v>2643</v>
      </c>
      <c r="C2459" s="47" t="s">
        <v>918</v>
      </c>
      <c r="D2459" s="47" t="s">
        <v>177</v>
      </c>
      <c r="E2459" s="47" t="s">
        <v>178</v>
      </c>
      <c r="F2459" s="47" t="s">
        <v>192</v>
      </c>
      <c r="G2459" s="47">
        <v>1</v>
      </c>
      <c r="H2459" s="47" t="s">
        <v>47</v>
      </c>
      <c r="L2459" s="47" t="s">
        <v>1147</v>
      </c>
      <c r="M2459" s="47" t="s">
        <v>251</v>
      </c>
      <c r="N2459" s="47" t="s">
        <v>1148</v>
      </c>
    </row>
    <row r="2460" spans="2:28" ht="15" customHeight="1">
      <c r="B2460" s="47">
        <v>2676</v>
      </c>
      <c r="C2460" s="47" t="s">
        <v>905</v>
      </c>
      <c r="D2460" s="47" t="s">
        <v>960</v>
      </c>
      <c r="E2460" s="47" t="s">
        <v>178</v>
      </c>
      <c r="F2460" s="47" t="s">
        <v>1143</v>
      </c>
      <c r="G2460" s="47">
        <v>20</v>
      </c>
      <c r="H2460" s="47" t="s">
        <v>46</v>
      </c>
      <c r="L2460" s="47" t="s">
        <v>180</v>
      </c>
      <c r="M2460" s="47" t="s">
        <v>181</v>
      </c>
      <c r="AB2460" s="47" t="s">
        <v>1146</v>
      </c>
    </row>
    <row r="2461" spans="2:28" ht="15" customHeight="1">
      <c r="B2461" s="47">
        <v>2677</v>
      </c>
      <c r="C2461" s="47" t="s">
        <v>905</v>
      </c>
      <c r="D2461" s="47" t="s">
        <v>960</v>
      </c>
      <c r="E2461" s="47" t="s">
        <v>178</v>
      </c>
      <c r="F2461" s="47" t="s">
        <v>1144</v>
      </c>
      <c r="G2461" s="47">
        <v>2</v>
      </c>
      <c r="H2461" s="47" t="s">
        <v>46</v>
      </c>
      <c r="L2461" s="47" t="s">
        <v>180</v>
      </c>
      <c r="M2461" s="47" t="s">
        <v>181</v>
      </c>
    </row>
    <row r="2462" spans="2:28" ht="15" customHeight="1">
      <c r="B2462" s="47">
        <v>2678</v>
      </c>
      <c r="C2462" s="47" t="s">
        <v>905</v>
      </c>
      <c r="D2462" s="47" t="s">
        <v>960</v>
      </c>
      <c r="E2462" s="47" t="s">
        <v>178</v>
      </c>
      <c r="F2462" s="47" t="s">
        <v>1038</v>
      </c>
      <c r="G2462" s="47">
        <v>7</v>
      </c>
      <c r="H2462" s="47" t="s">
        <v>46</v>
      </c>
      <c r="L2462" s="47" t="s">
        <v>180</v>
      </c>
      <c r="M2462" s="47" t="s">
        <v>183</v>
      </c>
    </row>
    <row r="2463" spans="2:28" ht="15" customHeight="1">
      <c r="B2463" s="47">
        <v>2679</v>
      </c>
      <c r="C2463" s="47" t="s">
        <v>905</v>
      </c>
      <c r="D2463" s="47" t="s">
        <v>960</v>
      </c>
      <c r="E2463" s="47" t="s">
        <v>178</v>
      </c>
      <c r="F2463" s="47" t="s">
        <v>191</v>
      </c>
      <c r="G2463" s="47">
        <v>4</v>
      </c>
      <c r="H2463" s="47" t="s">
        <v>46</v>
      </c>
      <c r="L2463" s="47" t="s">
        <v>180</v>
      </c>
      <c r="M2463" s="47" t="s">
        <v>1145</v>
      </c>
    </row>
    <row r="2464" spans="2:28" ht="15" customHeight="1">
      <c r="B2464" s="47">
        <v>2680</v>
      </c>
      <c r="C2464" s="47" t="s">
        <v>905</v>
      </c>
      <c r="D2464" s="47" t="s">
        <v>960</v>
      </c>
      <c r="E2464" s="47" t="s">
        <v>178</v>
      </c>
      <c r="F2464" s="47" t="s">
        <v>189</v>
      </c>
      <c r="G2464" s="47">
        <v>4</v>
      </c>
      <c r="H2464" s="47" t="s">
        <v>46</v>
      </c>
      <c r="L2464" s="47" t="s">
        <v>180</v>
      </c>
      <c r="M2464" s="47" t="s">
        <v>1145</v>
      </c>
    </row>
    <row r="2465" spans="2:16" ht="15" customHeight="1">
      <c r="B2465" s="47">
        <v>2686</v>
      </c>
      <c r="C2465" s="47" t="s">
        <v>916</v>
      </c>
      <c r="D2465" s="47" t="s">
        <v>224</v>
      </c>
      <c r="E2465" s="47" t="s">
        <v>222</v>
      </c>
      <c r="H2465" s="47" t="s">
        <v>43</v>
      </c>
      <c r="I2465" s="47" t="s">
        <v>50</v>
      </c>
      <c r="M2465" s="47" t="s">
        <v>205</v>
      </c>
      <c r="O2465" s="47" t="s">
        <v>30</v>
      </c>
      <c r="P2465" s="47" t="s">
        <v>43</v>
      </c>
    </row>
    <row r="2466" spans="2:16" ht="15" customHeight="1">
      <c r="B2466" s="47">
        <v>2687</v>
      </c>
      <c r="C2466" s="47" t="s">
        <v>917</v>
      </c>
      <c r="D2466" s="47" t="s">
        <v>224</v>
      </c>
      <c r="E2466" s="47" t="s">
        <v>225</v>
      </c>
      <c r="H2466" s="47" t="s">
        <v>43</v>
      </c>
      <c r="I2466" s="47" t="s">
        <v>50</v>
      </c>
      <c r="L2466" s="47" t="s">
        <v>536</v>
      </c>
      <c r="M2466" s="47" t="s">
        <v>417</v>
      </c>
      <c r="N2466" s="47" t="s">
        <v>521</v>
      </c>
      <c r="O2466" s="47" t="s">
        <v>30</v>
      </c>
      <c r="P2466" s="47" t="s">
        <v>43</v>
      </c>
    </row>
    <row r="2467" spans="2:16" ht="15" customHeight="1">
      <c r="B2467" s="47">
        <v>2688</v>
      </c>
      <c r="C2467" s="47" t="s">
        <v>917</v>
      </c>
      <c r="D2467" s="47" t="s">
        <v>224</v>
      </c>
      <c r="E2467" s="47" t="s">
        <v>225</v>
      </c>
      <c r="H2467" s="47" t="s">
        <v>43</v>
      </c>
      <c r="I2467" s="47" t="s">
        <v>50</v>
      </c>
      <c r="L2467" s="47" t="s">
        <v>536</v>
      </c>
      <c r="M2467" s="47" t="s">
        <v>417</v>
      </c>
      <c r="N2467" s="47" t="s">
        <v>521</v>
      </c>
      <c r="O2467" s="47" t="s">
        <v>30</v>
      </c>
      <c r="P2467" s="47" t="s">
        <v>43</v>
      </c>
    </row>
    <row r="2468" spans="2:16" ht="15" customHeight="1">
      <c r="B2468" s="47">
        <v>2689</v>
      </c>
      <c r="C2468" s="47" t="s">
        <v>917</v>
      </c>
      <c r="D2468" s="47" t="s">
        <v>224</v>
      </c>
      <c r="E2468" s="47" t="s">
        <v>227</v>
      </c>
      <c r="H2468" s="47" t="s">
        <v>43</v>
      </c>
      <c r="I2468" s="47" t="s">
        <v>50</v>
      </c>
      <c r="L2468" s="47" t="s">
        <v>536</v>
      </c>
      <c r="M2468" s="47" t="s">
        <v>417</v>
      </c>
      <c r="N2468" s="47" t="s">
        <v>521</v>
      </c>
      <c r="O2468" s="47" t="s">
        <v>30</v>
      </c>
      <c r="P2468" s="47" t="s">
        <v>43</v>
      </c>
    </row>
    <row r="2469" spans="2:16" ht="15" customHeight="1">
      <c r="B2469" s="47">
        <v>2690</v>
      </c>
      <c r="C2469" s="47" t="s">
        <v>917</v>
      </c>
      <c r="D2469" s="47" t="s">
        <v>224</v>
      </c>
      <c r="E2469" s="47" t="s">
        <v>227</v>
      </c>
      <c r="H2469" s="47" t="s">
        <v>43</v>
      </c>
      <c r="I2469" s="47" t="s">
        <v>50</v>
      </c>
      <c r="L2469" s="47" t="s">
        <v>536</v>
      </c>
      <c r="M2469" s="47" t="s">
        <v>417</v>
      </c>
      <c r="N2469" s="47" t="s">
        <v>521</v>
      </c>
      <c r="O2469" s="47" t="s">
        <v>30</v>
      </c>
      <c r="P2469" s="47" t="s">
        <v>43</v>
      </c>
    </row>
    <row r="2470" spans="2:16" ht="15" customHeight="1">
      <c r="B2470" s="47">
        <v>2691</v>
      </c>
      <c r="C2470" s="47" t="s">
        <v>917</v>
      </c>
      <c r="D2470" s="47" t="s">
        <v>224</v>
      </c>
      <c r="E2470" s="47" t="s">
        <v>267</v>
      </c>
      <c r="H2470" s="47" t="s">
        <v>43</v>
      </c>
      <c r="I2470" s="47" t="s">
        <v>50</v>
      </c>
      <c r="L2470" s="47" t="s">
        <v>536</v>
      </c>
      <c r="M2470" s="47" t="s">
        <v>371</v>
      </c>
      <c r="N2470" s="47" t="s">
        <v>521</v>
      </c>
      <c r="O2470" s="47" t="s">
        <v>30</v>
      </c>
      <c r="P2470" s="47" t="s">
        <v>43</v>
      </c>
    </row>
    <row r="2471" spans="2:16" ht="15" customHeight="1">
      <c r="B2471" s="47">
        <v>2692</v>
      </c>
      <c r="C2471" s="47" t="s">
        <v>917</v>
      </c>
      <c r="D2471" s="47" t="s">
        <v>224</v>
      </c>
      <c r="E2471" s="16" t="s">
        <v>1103</v>
      </c>
      <c r="H2471" s="47" t="s">
        <v>43</v>
      </c>
      <c r="I2471" s="47" t="s">
        <v>50</v>
      </c>
      <c r="L2471" s="47" t="s">
        <v>536</v>
      </c>
      <c r="M2471" s="47" t="s">
        <v>371</v>
      </c>
      <c r="N2471" s="47" t="s">
        <v>521</v>
      </c>
      <c r="O2471" s="47" t="s">
        <v>30</v>
      </c>
      <c r="P2471" s="47" t="s">
        <v>43</v>
      </c>
    </row>
    <row r="2472" spans="2:16" ht="15" customHeight="1">
      <c r="B2472" s="47">
        <v>2693</v>
      </c>
      <c r="C2472" s="47" t="s">
        <v>917</v>
      </c>
      <c r="D2472" s="47" t="s">
        <v>224</v>
      </c>
      <c r="E2472" s="47" t="s">
        <v>228</v>
      </c>
      <c r="H2472" s="47" t="s">
        <v>43</v>
      </c>
      <c r="I2472" s="47" t="s">
        <v>50</v>
      </c>
      <c r="M2472" s="47" t="s">
        <v>371</v>
      </c>
      <c r="N2472" s="47" t="s">
        <v>521</v>
      </c>
      <c r="O2472" s="47" t="s">
        <v>30</v>
      </c>
      <c r="P2472" s="47" t="s">
        <v>43</v>
      </c>
    </row>
    <row r="2473" spans="2:16" ht="15" customHeight="1">
      <c r="B2473" s="47">
        <v>2694</v>
      </c>
      <c r="C2473" s="47" t="s">
        <v>917</v>
      </c>
      <c r="D2473" s="47" t="s">
        <v>224</v>
      </c>
      <c r="E2473" s="47" t="s">
        <v>519</v>
      </c>
      <c r="H2473" s="47" t="s">
        <v>43</v>
      </c>
      <c r="I2473" s="47" t="s">
        <v>50</v>
      </c>
      <c r="L2473" s="47" t="s">
        <v>1147</v>
      </c>
      <c r="M2473" s="47" t="s">
        <v>404</v>
      </c>
      <c r="N2473" s="47" t="s">
        <v>521</v>
      </c>
      <c r="O2473" s="47" t="s">
        <v>30</v>
      </c>
      <c r="P2473" s="47" t="s">
        <v>43</v>
      </c>
    </row>
    <row r="2474" spans="2:16" ht="15" customHeight="1">
      <c r="B2474" s="47">
        <v>2695</v>
      </c>
      <c r="C2474" s="47" t="s">
        <v>917</v>
      </c>
      <c r="D2474" s="47" t="s">
        <v>224</v>
      </c>
      <c r="E2474" s="47" t="s">
        <v>522</v>
      </c>
      <c r="H2474" s="47" t="s">
        <v>43</v>
      </c>
      <c r="I2474" s="47" t="s">
        <v>50</v>
      </c>
      <c r="L2474" s="47" t="s">
        <v>1149</v>
      </c>
      <c r="M2474" s="47" t="s">
        <v>292</v>
      </c>
      <c r="N2474" s="47" t="s">
        <v>521</v>
      </c>
      <c r="O2474" s="47" t="s">
        <v>30</v>
      </c>
      <c r="P2474" s="47" t="s">
        <v>43</v>
      </c>
    </row>
    <row r="2475" spans="2:16" ht="15" customHeight="1">
      <c r="B2475" s="47">
        <v>2696</v>
      </c>
      <c r="C2475" s="47" t="s">
        <v>917</v>
      </c>
      <c r="D2475" s="47" t="s">
        <v>224</v>
      </c>
      <c r="E2475" s="47" t="s">
        <v>1097</v>
      </c>
      <c r="H2475" s="47" t="s">
        <v>43</v>
      </c>
      <c r="I2475" s="47" t="s">
        <v>50</v>
      </c>
      <c r="L2475" s="47" t="s">
        <v>531</v>
      </c>
      <c r="M2475" s="47" t="s">
        <v>292</v>
      </c>
      <c r="N2475" s="47" t="s">
        <v>521</v>
      </c>
      <c r="O2475" s="47" t="s">
        <v>30</v>
      </c>
      <c r="P2475" s="47" t="s">
        <v>43</v>
      </c>
    </row>
    <row r="2476" spans="2:16" ht="15" customHeight="1">
      <c r="B2476" s="47">
        <v>2697</v>
      </c>
      <c r="C2476" s="47" t="s">
        <v>917</v>
      </c>
      <c r="D2476" s="47" t="s">
        <v>224</v>
      </c>
      <c r="E2476" s="47" t="s">
        <v>225</v>
      </c>
      <c r="H2476" s="47" t="s">
        <v>43</v>
      </c>
      <c r="I2476" s="47" t="s">
        <v>50</v>
      </c>
      <c r="L2476" s="47" t="s">
        <v>536</v>
      </c>
      <c r="M2476" s="47" t="s">
        <v>417</v>
      </c>
      <c r="N2476" s="47" t="s">
        <v>1150</v>
      </c>
      <c r="O2476" s="47" t="s">
        <v>30</v>
      </c>
      <c r="P2476" s="47" t="s">
        <v>43</v>
      </c>
    </row>
    <row r="2477" spans="2:16" ht="15" customHeight="1">
      <c r="B2477" s="47">
        <v>2698</v>
      </c>
      <c r="C2477" s="47" t="s">
        <v>917</v>
      </c>
      <c r="D2477" s="47" t="s">
        <v>224</v>
      </c>
      <c r="E2477" s="47" t="s">
        <v>225</v>
      </c>
      <c r="H2477" s="47" t="s">
        <v>43</v>
      </c>
      <c r="I2477" s="47" t="s">
        <v>50</v>
      </c>
      <c r="L2477" s="47" t="s">
        <v>536</v>
      </c>
      <c r="M2477" s="47" t="s">
        <v>417</v>
      </c>
      <c r="N2477" s="47" t="s">
        <v>1150</v>
      </c>
      <c r="O2477" s="47" t="s">
        <v>30</v>
      </c>
      <c r="P2477" s="47" t="s">
        <v>43</v>
      </c>
    </row>
    <row r="2478" spans="2:16" ht="15" customHeight="1">
      <c r="B2478" s="47">
        <v>2699</v>
      </c>
      <c r="C2478" s="47" t="s">
        <v>917</v>
      </c>
      <c r="D2478" s="47" t="s">
        <v>224</v>
      </c>
      <c r="E2478" s="47" t="s">
        <v>227</v>
      </c>
      <c r="H2478" s="47" t="s">
        <v>43</v>
      </c>
      <c r="I2478" s="47" t="s">
        <v>50</v>
      </c>
      <c r="L2478" s="47" t="s">
        <v>536</v>
      </c>
      <c r="M2478" s="47" t="s">
        <v>417</v>
      </c>
      <c r="N2478" s="47" t="s">
        <v>1150</v>
      </c>
      <c r="O2478" s="47" t="s">
        <v>30</v>
      </c>
      <c r="P2478" s="47" t="s">
        <v>43</v>
      </c>
    </row>
    <row r="2479" spans="2:16" ht="15" customHeight="1">
      <c r="B2479" s="47">
        <v>2700</v>
      </c>
      <c r="C2479" s="47" t="s">
        <v>917</v>
      </c>
      <c r="D2479" s="47" t="s">
        <v>224</v>
      </c>
      <c r="E2479" s="47" t="s">
        <v>227</v>
      </c>
      <c r="H2479" s="47" t="s">
        <v>43</v>
      </c>
      <c r="I2479" s="47" t="s">
        <v>50</v>
      </c>
      <c r="L2479" s="47" t="s">
        <v>536</v>
      </c>
      <c r="M2479" s="47" t="s">
        <v>417</v>
      </c>
      <c r="N2479" s="47" t="s">
        <v>1150</v>
      </c>
      <c r="O2479" s="47" t="s">
        <v>30</v>
      </c>
      <c r="P2479" s="47" t="s">
        <v>43</v>
      </c>
    </row>
    <row r="2480" spans="2:16" ht="15" customHeight="1">
      <c r="B2480" s="47">
        <v>2701</v>
      </c>
      <c r="C2480" s="47" t="s">
        <v>917</v>
      </c>
      <c r="D2480" s="47" t="s">
        <v>224</v>
      </c>
      <c r="E2480" s="47" t="s">
        <v>267</v>
      </c>
      <c r="H2480" s="47" t="s">
        <v>43</v>
      </c>
      <c r="I2480" s="47" t="s">
        <v>50</v>
      </c>
      <c r="L2480" s="47" t="s">
        <v>536</v>
      </c>
      <c r="M2480" s="47" t="s">
        <v>371</v>
      </c>
      <c r="N2480" s="47" t="s">
        <v>1150</v>
      </c>
      <c r="O2480" s="47" t="s">
        <v>30</v>
      </c>
      <c r="P2480" s="47" t="s">
        <v>43</v>
      </c>
    </row>
    <row r="2481" spans="2:16" ht="15" customHeight="1">
      <c r="B2481" s="47">
        <v>2702</v>
      </c>
      <c r="C2481" s="47" t="s">
        <v>917</v>
      </c>
      <c r="D2481" s="47" t="s">
        <v>224</v>
      </c>
      <c r="E2481" s="16" t="s">
        <v>1103</v>
      </c>
      <c r="H2481" s="47" t="s">
        <v>43</v>
      </c>
      <c r="I2481" s="47" t="s">
        <v>50</v>
      </c>
      <c r="L2481" s="47" t="s">
        <v>536</v>
      </c>
      <c r="M2481" s="47" t="s">
        <v>371</v>
      </c>
      <c r="N2481" s="47" t="s">
        <v>1150</v>
      </c>
      <c r="O2481" s="47" t="s">
        <v>30</v>
      </c>
      <c r="P2481" s="47" t="s">
        <v>43</v>
      </c>
    </row>
    <row r="2482" spans="2:16" ht="15" customHeight="1">
      <c r="B2482" s="47">
        <v>2703</v>
      </c>
      <c r="C2482" s="47" t="s">
        <v>917</v>
      </c>
      <c r="D2482" s="47" t="s">
        <v>224</v>
      </c>
      <c r="E2482" s="47" t="s">
        <v>228</v>
      </c>
      <c r="H2482" s="47" t="s">
        <v>43</v>
      </c>
      <c r="I2482" s="47" t="s">
        <v>50</v>
      </c>
      <c r="M2482" s="47" t="s">
        <v>371</v>
      </c>
      <c r="N2482" s="47" t="s">
        <v>1150</v>
      </c>
      <c r="O2482" s="47" t="s">
        <v>30</v>
      </c>
      <c r="P2482" s="47" t="s">
        <v>43</v>
      </c>
    </row>
    <row r="2483" spans="2:16" ht="15" customHeight="1">
      <c r="B2483" s="47">
        <v>2704</v>
      </c>
      <c r="C2483" s="47" t="s">
        <v>917</v>
      </c>
      <c r="D2483" s="47" t="s">
        <v>224</v>
      </c>
      <c r="E2483" s="47" t="s">
        <v>519</v>
      </c>
      <c r="H2483" s="47" t="s">
        <v>43</v>
      </c>
      <c r="I2483" s="47" t="s">
        <v>50</v>
      </c>
      <c r="L2483" s="47" t="s">
        <v>1147</v>
      </c>
      <c r="M2483" s="47" t="s">
        <v>404</v>
      </c>
      <c r="N2483" s="47" t="s">
        <v>1150</v>
      </c>
      <c r="O2483" s="47" t="s">
        <v>30</v>
      </c>
      <c r="P2483" s="47" t="s">
        <v>43</v>
      </c>
    </row>
    <row r="2484" spans="2:16" ht="15" customHeight="1">
      <c r="B2484" s="47">
        <v>2705</v>
      </c>
      <c r="C2484" s="47" t="s">
        <v>917</v>
      </c>
      <c r="D2484" s="47" t="s">
        <v>224</v>
      </c>
      <c r="E2484" s="47" t="s">
        <v>522</v>
      </c>
      <c r="H2484" s="47" t="s">
        <v>43</v>
      </c>
      <c r="I2484" s="47" t="s">
        <v>50</v>
      </c>
      <c r="L2484" s="47" t="s">
        <v>1149</v>
      </c>
      <c r="M2484" s="47" t="s">
        <v>292</v>
      </c>
      <c r="N2484" s="47" t="s">
        <v>1150</v>
      </c>
      <c r="O2484" s="47" t="s">
        <v>30</v>
      </c>
      <c r="P2484" s="47" t="s">
        <v>43</v>
      </c>
    </row>
    <row r="2485" spans="2:16" ht="15" customHeight="1">
      <c r="B2485" s="47">
        <v>2706</v>
      </c>
      <c r="C2485" s="47" t="s">
        <v>917</v>
      </c>
      <c r="D2485" s="47" t="s">
        <v>224</v>
      </c>
      <c r="E2485" s="47" t="s">
        <v>1097</v>
      </c>
      <c r="H2485" s="47" t="s">
        <v>43</v>
      </c>
      <c r="I2485" s="47" t="s">
        <v>50</v>
      </c>
      <c r="L2485" s="47" t="s">
        <v>531</v>
      </c>
      <c r="M2485" s="47" t="s">
        <v>292</v>
      </c>
      <c r="N2485" s="47" t="s">
        <v>1150</v>
      </c>
      <c r="O2485" s="47" t="s">
        <v>30</v>
      </c>
      <c r="P2485" s="47" t="s">
        <v>43</v>
      </c>
    </row>
    <row r="2486" spans="2:16" ht="15" customHeight="1">
      <c r="B2486" s="47">
        <v>2707</v>
      </c>
      <c r="C2486" s="47" t="s">
        <v>917</v>
      </c>
      <c r="D2486" s="47" t="s">
        <v>224</v>
      </c>
      <c r="E2486" s="47" t="s">
        <v>225</v>
      </c>
      <c r="H2486" s="47" t="s">
        <v>43</v>
      </c>
      <c r="I2486" s="47" t="s">
        <v>50</v>
      </c>
      <c r="L2486" s="47" t="s">
        <v>536</v>
      </c>
      <c r="M2486" s="47" t="s">
        <v>417</v>
      </c>
      <c r="N2486" s="47" t="s">
        <v>1151</v>
      </c>
      <c r="O2486" s="47" t="s">
        <v>30</v>
      </c>
      <c r="P2486" s="47" t="s">
        <v>43</v>
      </c>
    </row>
    <row r="2487" spans="2:16" ht="15" customHeight="1">
      <c r="B2487" s="47">
        <v>2708</v>
      </c>
      <c r="C2487" s="47" t="s">
        <v>917</v>
      </c>
      <c r="D2487" s="47" t="s">
        <v>224</v>
      </c>
      <c r="E2487" s="47" t="s">
        <v>225</v>
      </c>
      <c r="H2487" s="47" t="s">
        <v>43</v>
      </c>
      <c r="I2487" s="47" t="s">
        <v>50</v>
      </c>
      <c r="L2487" s="47" t="s">
        <v>536</v>
      </c>
      <c r="M2487" s="47" t="s">
        <v>417</v>
      </c>
      <c r="N2487" s="47" t="s">
        <v>1151</v>
      </c>
      <c r="O2487" s="47" t="s">
        <v>30</v>
      </c>
      <c r="P2487" s="47" t="s">
        <v>43</v>
      </c>
    </row>
    <row r="2488" spans="2:16" ht="15" customHeight="1">
      <c r="B2488" s="47">
        <v>2709</v>
      </c>
      <c r="C2488" s="47" t="s">
        <v>917</v>
      </c>
      <c r="D2488" s="47" t="s">
        <v>224</v>
      </c>
      <c r="E2488" s="47" t="s">
        <v>227</v>
      </c>
      <c r="H2488" s="47" t="s">
        <v>43</v>
      </c>
      <c r="I2488" s="47" t="s">
        <v>50</v>
      </c>
      <c r="L2488" s="47" t="s">
        <v>536</v>
      </c>
      <c r="M2488" s="47" t="s">
        <v>417</v>
      </c>
      <c r="N2488" s="47" t="s">
        <v>1151</v>
      </c>
      <c r="O2488" s="47" t="s">
        <v>30</v>
      </c>
      <c r="P2488" s="47" t="s">
        <v>43</v>
      </c>
    </row>
    <row r="2489" spans="2:16" ht="15" customHeight="1">
      <c r="B2489" s="47">
        <v>2710</v>
      </c>
      <c r="C2489" s="47" t="s">
        <v>917</v>
      </c>
      <c r="D2489" s="47" t="s">
        <v>224</v>
      </c>
      <c r="E2489" s="47" t="s">
        <v>227</v>
      </c>
      <c r="H2489" s="47" t="s">
        <v>43</v>
      </c>
      <c r="I2489" s="47" t="s">
        <v>50</v>
      </c>
      <c r="L2489" s="47" t="s">
        <v>536</v>
      </c>
      <c r="M2489" s="47" t="s">
        <v>417</v>
      </c>
      <c r="N2489" s="47" t="s">
        <v>1151</v>
      </c>
      <c r="O2489" s="47" t="s">
        <v>30</v>
      </c>
      <c r="P2489" s="47" t="s">
        <v>43</v>
      </c>
    </row>
    <row r="2490" spans="2:16" ht="15" customHeight="1">
      <c r="B2490" s="47">
        <v>2711</v>
      </c>
      <c r="C2490" s="47" t="s">
        <v>917</v>
      </c>
      <c r="D2490" s="47" t="s">
        <v>224</v>
      </c>
      <c r="E2490" s="47" t="s">
        <v>267</v>
      </c>
      <c r="H2490" s="47" t="s">
        <v>43</v>
      </c>
      <c r="I2490" s="47" t="s">
        <v>50</v>
      </c>
      <c r="L2490" s="47" t="s">
        <v>536</v>
      </c>
      <c r="M2490" s="47" t="s">
        <v>371</v>
      </c>
      <c r="N2490" s="47" t="s">
        <v>1151</v>
      </c>
      <c r="O2490" s="47" t="s">
        <v>30</v>
      </c>
      <c r="P2490" s="47" t="s">
        <v>43</v>
      </c>
    </row>
    <row r="2491" spans="2:16" ht="15" customHeight="1">
      <c r="B2491" s="47">
        <v>2712</v>
      </c>
      <c r="C2491" s="47" t="s">
        <v>917</v>
      </c>
      <c r="D2491" s="47" t="s">
        <v>224</v>
      </c>
      <c r="E2491" s="16" t="s">
        <v>1103</v>
      </c>
      <c r="H2491" s="47" t="s">
        <v>43</v>
      </c>
      <c r="I2491" s="47" t="s">
        <v>50</v>
      </c>
      <c r="L2491" s="47" t="s">
        <v>536</v>
      </c>
      <c r="M2491" s="47" t="s">
        <v>371</v>
      </c>
      <c r="N2491" s="47" t="s">
        <v>1151</v>
      </c>
      <c r="O2491" s="47" t="s">
        <v>30</v>
      </c>
      <c r="P2491" s="47" t="s">
        <v>43</v>
      </c>
    </row>
    <row r="2492" spans="2:16" ht="15" customHeight="1">
      <c r="B2492" s="47">
        <v>2713</v>
      </c>
      <c r="C2492" s="47" t="s">
        <v>917</v>
      </c>
      <c r="D2492" s="47" t="s">
        <v>224</v>
      </c>
      <c r="E2492" s="47" t="s">
        <v>228</v>
      </c>
      <c r="H2492" s="47" t="s">
        <v>43</v>
      </c>
      <c r="I2492" s="47" t="s">
        <v>50</v>
      </c>
      <c r="M2492" s="47" t="s">
        <v>371</v>
      </c>
      <c r="N2492" s="47" t="s">
        <v>1151</v>
      </c>
      <c r="O2492" s="47" t="s">
        <v>30</v>
      </c>
      <c r="P2492" s="47" t="s">
        <v>43</v>
      </c>
    </row>
    <row r="2493" spans="2:16" ht="15" customHeight="1">
      <c r="B2493" s="47">
        <v>2714</v>
      </c>
      <c r="C2493" s="47" t="s">
        <v>917</v>
      </c>
      <c r="D2493" s="47" t="s">
        <v>224</v>
      </c>
      <c r="E2493" s="47" t="s">
        <v>519</v>
      </c>
      <c r="H2493" s="47" t="s">
        <v>43</v>
      </c>
      <c r="I2493" s="47" t="s">
        <v>50</v>
      </c>
      <c r="L2493" s="47" t="s">
        <v>1147</v>
      </c>
      <c r="M2493" s="47" t="s">
        <v>404</v>
      </c>
      <c r="N2493" s="47" t="s">
        <v>1151</v>
      </c>
      <c r="O2493" s="47" t="s">
        <v>30</v>
      </c>
      <c r="P2493" s="47" t="s">
        <v>43</v>
      </c>
    </row>
    <row r="2494" spans="2:16" ht="15" customHeight="1">
      <c r="B2494" s="47">
        <v>2715</v>
      </c>
      <c r="C2494" s="47" t="s">
        <v>917</v>
      </c>
      <c r="D2494" s="47" t="s">
        <v>224</v>
      </c>
      <c r="E2494" s="47" t="s">
        <v>522</v>
      </c>
      <c r="H2494" s="47" t="s">
        <v>43</v>
      </c>
      <c r="I2494" s="47" t="s">
        <v>50</v>
      </c>
      <c r="L2494" s="47" t="s">
        <v>1149</v>
      </c>
      <c r="M2494" s="47" t="s">
        <v>292</v>
      </c>
      <c r="N2494" s="47" t="s">
        <v>1151</v>
      </c>
      <c r="O2494" s="47" t="s">
        <v>30</v>
      </c>
      <c r="P2494" s="47" t="s">
        <v>43</v>
      </c>
    </row>
    <row r="2495" spans="2:16" ht="15" customHeight="1">
      <c r="B2495" s="47">
        <v>2716</v>
      </c>
      <c r="C2495" s="47" t="s">
        <v>917</v>
      </c>
      <c r="D2495" s="47" t="s">
        <v>224</v>
      </c>
      <c r="E2495" s="47" t="s">
        <v>1097</v>
      </c>
      <c r="H2495" s="47" t="s">
        <v>43</v>
      </c>
      <c r="I2495" s="47" t="s">
        <v>50</v>
      </c>
      <c r="L2495" s="47" t="s">
        <v>531</v>
      </c>
      <c r="M2495" s="47" t="s">
        <v>292</v>
      </c>
      <c r="N2495" s="47" t="s">
        <v>1151</v>
      </c>
      <c r="O2495" s="47" t="s">
        <v>30</v>
      </c>
      <c r="P2495" s="47" t="s">
        <v>43</v>
      </c>
    </row>
    <row r="2496" spans="2:16" ht="15" customHeight="1">
      <c r="B2496" s="47">
        <v>2717</v>
      </c>
      <c r="C2496" s="47" t="s">
        <v>1152</v>
      </c>
      <c r="D2496" s="47" t="s">
        <v>336</v>
      </c>
      <c r="E2496" s="47" t="s">
        <v>337</v>
      </c>
      <c r="H2496" s="47" t="s">
        <v>43</v>
      </c>
      <c r="I2496" s="47" t="s">
        <v>50</v>
      </c>
      <c r="L2496" s="15"/>
      <c r="M2496" s="15"/>
      <c r="N2496" s="47" t="s">
        <v>339</v>
      </c>
      <c r="O2496" s="47" t="s">
        <v>30</v>
      </c>
      <c r="P2496" s="47" t="s">
        <v>43</v>
      </c>
    </row>
    <row r="2497" spans="2:16" ht="15" customHeight="1">
      <c r="B2497" s="47">
        <v>2718</v>
      </c>
      <c r="C2497" s="47" t="s">
        <v>1152</v>
      </c>
      <c r="D2497" s="47" t="s">
        <v>336</v>
      </c>
      <c r="E2497" s="47" t="s">
        <v>340</v>
      </c>
      <c r="H2497" s="47" t="s">
        <v>43</v>
      </c>
      <c r="I2497" s="47" t="s">
        <v>50</v>
      </c>
      <c r="L2497" s="15"/>
      <c r="M2497" s="15"/>
      <c r="O2497" s="47" t="s">
        <v>30</v>
      </c>
      <c r="P2497" s="47" t="s">
        <v>43</v>
      </c>
    </row>
    <row r="2498" spans="2:16" ht="15" customHeight="1">
      <c r="B2498" s="47">
        <v>2719</v>
      </c>
      <c r="C2498" s="47" t="s">
        <v>1152</v>
      </c>
      <c r="D2498" s="47" t="s">
        <v>336</v>
      </c>
      <c r="E2498" s="47" t="s">
        <v>341</v>
      </c>
      <c r="H2498" s="47" t="s">
        <v>43</v>
      </c>
      <c r="I2498" s="47" t="s">
        <v>50</v>
      </c>
      <c r="L2498" s="15"/>
      <c r="M2498" s="15"/>
      <c r="O2498" s="47" t="s">
        <v>30</v>
      </c>
      <c r="P2498" s="47" t="s">
        <v>43</v>
      </c>
    </row>
    <row r="2499" spans="2:16" ht="15" customHeight="1">
      <c r="B2499" s="47">
        <v>2720</v>
      </c>
      <c r="C2499" s="47" t="s">
        <v>1152</v>
      </c>
      <c r="D2499" s="47" t="s">
        <v>336</v>
      </c>
      <c r="E2499" s="47" t="s">
        <v>1094</v>
      </c>
      <c r="H2499" s="47" t="s">
        <v>43</v>
      </c>
      <c r="I2499" s="47" t="s">
        <v>50</v>
      </c>
      <c r="L2499" s="15"/>
      <c r="M2499" s="15"/>
      <c r="O2499" s="47" t="s">
        <v>30</v>
      </c>
      <c r="P2499" s="47" t="s">
        <v>43</v>
      </c>
    </row>
    <row r="2500" spans="2:16" ht="15" customHeight="1">
      <c r="B2500" s="47">
        <v>2721</v>
      </c>
      <c r="C2500" s="47" t="s">
        <v>1152</v>
      </c>
      <c r="D2500" s="47" t="s">
        <v>336</v>
      </c>
      <c r="E2500" s="47" t="s">
        <v>1101</v>
      </c>
      <c r="H2500" s="47" t="s">
        <v>43</v>
      </c>
      <c r="I2500" s="47" t="s">
        <v>50</v>
      </c>
      <c r="L2500" s="15"/>
      <c r="M2500" s="15"/>
      <c r="O2500" s="47" t="s">
        <v>30</v>
      </c>
      <c r="P2500" s="47" t="s">
        <v>43</v>
      </c>
    </row>
    <row r="2501" spans="2:16" ht="15" customHeight="1">
      <c r="B2501" s="47">
        <v>2722</v>
      </c>
      <c r="C2501" s="47" t="s">
        <v>1152</v>
      </c>
      <c r="D2501" s="47" t="s">
        <v>336</v>
      </c>
      <c r="E2501" s="47" t="s">
        <v>342</v>
      </c>
      <c r="H2501" s="47" t="s">
        <v>43</v>
      </c>
      <c r="I2501" s="47" t="s">
        <v>50</v>
      </c>
      <c r="L2501" s="15"/>
      <c r="M2501" s="15"/>
      <c r="O2501" s="47" t="s">
        <v>30</v>
      </c>
      <c r="P2501" s="47" t="s">
        <v>43</v>
      </c>
    </row>
    <row r="2502" spans="2:16" ht="15" customHeight="1">
      <c r="B2502" s="47">
        <v>2723</v>
      </c>
      <c r="C2502" s="47" t="s">
        <v>1152</v>
      </c>
      <c r="D2502" s="47" t="s">
        <v>336</v>
      </c>
      <c r="E2502" s="47" t="s">
        <v>355</v>
      </c>
      <c r="H2502" s="47" t="s">
        <v>43</v>
      </c>
      <c r="I2502" s="47" t="s">
        <v>50</v>
      </c>
      <c r="L2502" s="15" t="s">
        <v>1149</v>
      </c>
      <c r="M2502" s="15" t="s">
        <v>292</v>
      </c>
      <c r="O2502" s="47" t="s">
        <v>30</v>
      </c>
      <c r="P2502" s="47" t="s">
        <v>43</v>
      </c>
    </row>
    <row r="2503" spans="2:16" ht="15" customHeight="1">
      <c r="B2503" s="47">
        <v>2724</v>
      </c>
      <c r="C2503" s="47" t="s">
        <v>1152</v>
      </c>
      <c r="D2503" s="47" t="s">
        <v>336</v>
      </c>
      <c r="E2503" s="47" t="s">
        <v>1153</v>
      </c>
      <c r="H2503" s="47" t="s">
        <v>43</v>
      </c>
      <c r="I2503" s="47" t="s">
        <v>50</v>
      </c>
      <c r="L2503" s="15" t="s">
        <v>1149</v>
      </c>
      <c r="M2503" s="15" t="s">
        <v>292</v>
      </c>
      <c r="O2503" s="47" t="s">
        <v>30</v>
      </c>
      <c r="P2503" s="47" t="s">
        <v>43</v>
      </c>
    </row>
    <row r="2504" spans="2:16" ht="15" customHeight="1">
      <c r="B2504" s="47">
        <v>2725</v>
      </c>
      <c r="C2504" s="47" t="s">
        <v>1152</v>
      </c>
      <c r="D2504" s="47" t="s">
        <v>336</v>
      </c>
      <c r="E2504" s="47" t="s">
        <v>1154</v>
      </c>
      <c r="H2504" s="47" t="s">
        <v>43</v>
      </c>
      <c r="I2504" s="47" t="s">
        <v>50</v>
      </c>
      <c r="L2504" s="15" t="s">
        <v>1149</v>
      </c>
      <c r="M2504" s="15" t="s">
        <v>292</v>
      </c>
      <c r="O2504" s="47" t="s">
        <v>30</v>
      </c>
      <c r="P2504" s="47" t="s">
        <v>43</v>
      </c>
    </row>
    <row r="2505" spans="2:16" ht="15" customHeight="1">
      <c r="B2505" s="47">
        <v>2726</v>
      </c>
      <c r="C2505" s="47" t="s">
        <v>1152</v>
      </c>
      <c r="D2505" s="47" t="s">
        <v>336</v>
      </c>
      <c r="E2505" s="47" t="s">
        <v>1155</v>
      </c>
      <c r="H2505" s="47" t="s">
        <v>43</v>
      </c>
      <c r="I2505" s="47" t="s">
        <v>50</v>
      </c>
      <c r="L2505" s="15" t="s">
        <v>1149</v>
      </c>
      <c r="M2505" s="15" t="s">
        <v>292</v>
      </c>
      <c r="O2505" s="47" t="s">
        <v>30</v>
      </c>
      <c r="P2505" s="47" t="s">
        <v>43</v>
      </c>
    </row>
    <row r="2506" spans="2:16" ht="15" customHeight="1">
      <c r="B2506" s="47">
        <v>2727</v>
      </c>
      <c r="C2506" s="47" t="s">
        <v>1152</v>
      </c>
      <c r="D2506" s="47" t="s">
        <v>336</v>
      </c>
      <c r="E2506" s="47" t="s">
        <v>1156</v>
      </c>
      <c r="H2506" s="47" t="s">
        <v>43</v>
      </c>
      <c r="I2506" s="47" t="s">
        <v>50</v>
      </c>
      <c r="L2506" s="15" t="s">
        <v>1149</v>
      </c>
      <c r="M2506" s="15" t="s">
        <v>292</v>
      </c>
      <c r="O2506" s="47" t="s">
        <v>30</v>
      </c>
      <c r="P2506" s="47" t="s">
        <v>43</v>
      </c>
    </row>
    <row r="2507" spans="2:16" ht="15" customHeight="1">
      <c r="B2507" s="47">
        <v>2728</v>
      </c>
      <c r="C2507" s="47" t="s">
        <v>1152</v>
      </c>
      <c r="D2507" s="47" t="s">
        <v>336</v>
      </c>
      <c r="E2507" s="47" t="s">
        <v>1157</v>
      </c>
      <c r="H2507" s="47" t="s">
        <v>43</v>
      </c>
      <c r="I2507" s="47" t="s">
        <v>50</v>
      </c>
      <c r="L2507" s="15" t="s">
        <v>1149</v>
      </c>
      <c r="M2507" s="15" t="s">
        <v>292</v>
      </c>
      <c r="O2507" s="47" t="s">
        <v>30</v>
      </c>
      <c r="P2507" s="47" t="s">
        <v>43</v>
      </c>
    </row>
    <row r="2508" spans="2:16" ht="15" customHeight="1">
      <c r="B2508" s="47">
        <v>2729</v>
      </c>
      <c r="C2508" s="47" t="s">
        <v>1152</v>
      </c>
      <c r="D2508" s="47" t="s">
        <v>336</v>
      </c>
      <c r="E2508" s="47" t="s">
        <v>1158</v>
      </c>
      <c r="H2508" s="47" t="s">
        <v>43</v>
      </c>
      <c r="I2508" s="47" t="s">
        <v>50</v>
      </c>
      <c r="L2508" s="15" t="s">
        <v>1149</v>
      </c>
      <c r="M2508" s="15" t="s">
        <v>292</v>
      </c>
      <c r="O2508" s="47" t="s">
        <v>30</v>
      </c>
      <c r="P2508" s="47" t="s">
        <v>43</v>
      </c>
    </row>
    <row r="2509" spans="2:16" ht="15" customHeight="1">
      <c r="B2509" s="47">
        <v>2730</v>
      </c>
      <c r="C2509" s="47" t="s">
        <v>1152</v>
      </c>
      <c r="D2509" s="47" t="s">
        <v>336</v>
      </c>
      <c r="E2509" s="47" t="s">
        <v>358</v>
      </c>
      <c r="H2509" s="47" t="s">
        <v>43</v>
      </c>
      <c r="I2509" s="47" t="s">
        <v>50</v>
      </c>
      <c r="L2509" s="15" t="s">
        <v>531</v>
      </c>
      <c r="M2509" s="15" t="s">
        <v>292</v>
      </c>
      <c r="O2509" s="47" t="s">
        <v>30</v>
      </c>
      <c r="P2509" s="47" t="s">
        <v>43</v>
      </c>
    </row>
    <row r="2510" spans="2:16" ht="15" customHeight="1">
      <c r="B2510" s="47">
        <v>2731</v>
      </c>
      <c r="C2510" s="47" t="s">
        <v>1152</v>
      </c>
      <c r="D2510" s="47" t="s">
        <v>336</v>
      </c>
      <c r="E2510" s="47" t="s">
        <v>1159</v>
      </c>
      <c r="H2510" s="47" t="s">
        <v>43</v>
      </c>
      <c r="I2510" s="47" t="s">
        <v>50</v>
      </c>
      <c r="L2510" s="15" t="s">
        <v>531</v>
      </c>
      <c r="M2510" s="15" t="s">
        <v>292</v>
      </c>
      <c r="O2510" s="47" t="s">
        <v>30</v>
      </c>
      <c r="P2510" s="47" t="s">
        <v>43</v>
      </c>
    </row>
    <row r="2511" spans="2:16" ht="15" customHeight="1">
      <c r="B2511" s="47">
        <v>2732</v>
      </c>
      <c r="C2511" s="47" t="s">
        <v>1152</v>
      </c>
      <c r="D2511" s="47" t="s">
        <v>336</v>
      </c>
      <c r="E2511" s="47" t="s">
        <v>1160</v>
      </c>
      <c r="H2511" s="47" t="s">
        <v>43</v>
      </c>
      <c r="I2511" s="47" t="s">
        <v>50</v>
      </c>
      <c r="L2511" s="15" t="s">
        <v>531</v>
      </c>
      <c r="M2511" s="15" t="s">
        <v>292</v>
      </c>
      <c r="O2511" s="47" t="s">
        <v>30</v>
      </c>
      <c r="P2511" s="47" t="s">
        <v>43</v>
      </c>
    </row>
    <row r="2512" spans="2:16" ht="15" customHeight="1">
      <c r="B2512" s="47">
        <v>2733</v>
      </c>
      <c r="C2512" s="47" t="s">
        <v>1152</v>
      </c>
      <c r="D2512" s="47" t="s">
        <v>336</v>
      </c>
      <c r="E2512" s="47" t="s">
        <v>1161</v>
      </c>
      <c r="H2512" s="47" t="s">
        <v>43</v>
      </c>
      <c r="I2512" s="47" t="s">
        <v>50</v>
      </c>
      <c r="L2512" s="15" t="s">
        <v>531</v>
      </c>
      <c r="M2512" s="15" t="s">
        <v>292</v>
      </c>
      <c r="O2512" s="47" t="s">
        <v>30</v>
      </c>
      <c r="P2512" s="47" t="s">
        <v>43</v>
      </c>
    </row>
    <row r="2513" spans="2:16" ht="15" customHeight="1">
      <c r="B2513" s="47">
        <v>2734</v>
      </c>
      <c r="C2513" s="47" t="s">
        <v>1152</v>
      </c>
      <c r="D2513" s="47" t="s">
        <v>336</v>
      </c>
      <c r="E2513" s="47" t="s">
        <v>1162</v>
      </c>
      <c r="H2513" s="47" t="s">
        <v>43</v>
      </c>
      <c r="I2513" s="47" t="s">
        <v>50</v>
      </c>
      <c r="L2513" s="15" t="s">
        <v>531</v>
      </c>
      <c r="M2513" s="15" t="s">
        <v>292</v>
      </c>
      <c r="N2513" s="47" t="s">
        <v>354</v>
      </c>
      <c r="O2513" s="47" t="s">
        <v>30</v>
      </c>
      <c r="P2513" s="47" t="s">
        <v>43</v>
      </c>
    </row>
    <row r="2514" spans="2:16" ht="15" customHeight="1">
      <c r="B2514" s="47">
        <v>2735</v>
      </c>
      <c r="C2514" s="47" t="s">
        <v>1152</v>
      </c>
      <c r="D2514" s="47" t="s">
        <v>336</v>
      </c>
      <c r="E2514" s="47" t="s">
        <v>1163</v>
      </c>
      <c r="H2514" s="47" t="s">
        <v>43</v>
      </c>
      <c r="I2514" s="47" t="s">
        <v>50</v>
      </c>
      <c r="L2514" s="15" t="s">
        <v>531</v>
      </c>
      <c r="M2514" s="15" t="s">
        <v>292</v>
      </c>
      <c r="N2514" s="47" t="s">
        <v>354</v>
      </c>
      <c r="O2514" s="47" t="s">
        <v>30</v>
      </c>
      <c r="P2514" s="47" t="s">
        <v>43</v>
      </c>
    </row>
    <row r="2515" spans="2:16" ht="15" customHeight="1">
      <c r="B2515" s="47">
        <v>2736</v>
      </c>
      <c r="C2515" s="47" t="s">
        <v>1152</v>
      </c>
      <c r="D2515" s="47" t="s">
        <v>336</v>
      </c>
      <c r="E2515" s="47" t="s">
        <v>368</v>
      </c>
      <c r="H2515" s="47" t="s">
        <v>43</v>
      </c>
      <c r="I2515" s="47" t="s">
        <v>50</v>
      </c>
      <c r="L2515" s="15" t="s">
        <v>531</v>
      </c>
      <c r="M2515" s="15" t="s">
        <v>292</v>
      </c>
      <c r="N2515" s="47" t="s">
        <v>354</v>
      </c>
      <c r="O2515" s="47" t="s">
        <v>30</v>
      </c>
      <c r="P2515" s="47" t="s">
        <v>43</v>
      </c>
    </row>
    <row r="2516" spans="2:16" ht="15" customHeight="1">
      <c r="B2516" s="47">
        <v>2737</v>
      </c>
      <c r="C2516" s="47" t="s">
        <v>1152</v>
      </c>
      <c r="D2516" s="47" t="s">
        <v>336</v>
      </c>
      <c r="E2516" s="47" t="s">
        <v>1096</v>
      </c>
      <c r="H2516" s="47" t="s">
        <v>43</v>
      </c>
      <c r="I2516" s="47" t="s">
        <v>50</v>
      </c>
      <c r="L2516" s="15"/>
      <c r="M2516" s="15" t="s">
        <v>369</v>
      </c>
      <c r="O2516" s="47" t="s">
        <v>30</v>
      </c>
      <c r="P2516" s="47" t="s">
        <v>43</v>
      </c>
    </row>
    <row r="2517" spans="2:16" ht="15" customHeight="1">
      <c r="B2517" s="47">
        <v>2738</v>
      </c>
      <c r="C2517" s="47" t="s">
        <v>1152</v>
      </c>
      <c r="D2517" s="47" t="s">
        <v>336</v>
      </c>
      <c r="E2517" s="47" t="s">
        <v>370</v>
      </c>
      <c r="H2517" s="47" t="s">
        <v>43</v>
      </c>
      <c r="I2517" s="47" t="s">
        <v>50</v>
      </c>
      <c r="L2517" s="15"/>
      <c r="M2517" s="15" t="s">
        <v>371</v>
      </c>
      <c r="O2517" s="47" t="s">
        <v>30</v>
      </c>
      <c r="P2517" s="47" t="s">
        <v>43</v>
      </c>
    </row>
    <row r="2518" spans="2:16" ht="15" customHeight="1">
      <c r="B2518" s="47">
        <v>2739</v>
      </c>
      <c r="C2518" s="47" t="s">
        <v>1152</v>
      </c>
      <c r="D2518" s="47" t="s">
        <v>336</v>
      </c>
      <c r="E2518" s="47" t="s">
        <v>1164</v>
      </c>
      <c r="H2518" s="47" t="s">
        <v>43</v>
      </c>
      <c r="I2518" s="47" t="s">
        <v>50</v>
      </c>
      <c r="L2518" s="15"/>
      <c r="M2518" s="15" t="s">
        <v>371</v>
      </c>
      <c r="O2518" s="47" t="s">
        <v>30</v>
      </c>
      <c r="P2518" s="47" t="s">
        <v>43</v>
      </c>
    </row>
    <row r="2519" spans="2:16" ht="15" customHeight="1">
      <c r="B2519" s="47">
        <v>2740</v>
      </c>
      <c r="C2519" s="47" t="s">
        <v>1152</v>
      </c>
      <c r="D2519" s="47" t="s">
        <v>336</v>
      </c>
      <c r="E2519" s="47" t="s">
        <v>1165</v>
      </c>
      <c r="H2519" s="47" t="s">
        <v>43</v>
      </c>
      <c r="I2519" s="47" t="s">
        <v>50</v>
      </c>
      <c r="L2519" s="15"/>
      <c r="M2519" s="15" t="s">
        <v>371</v>
      </c>
      <c r="O2519" s="47" t="s">
        <v>30</v>
      </c>
      <c r="P2519" s="47" t="s">
        <v>43</v>
      </c>
    </row>
    <row r="2520" spans="2:16" ht="15" customHeight="1">
      <c r="B2520" s="47">
        <v>2741</v>
      </c>
      <c r="C2520" s="47" t="s">
        <v>1152</v>
      </c>
      <c r="D2520" s="47" t="s">
        <v>336</v>
      </c>
      <c r="E2520" s="47" t="s">
        <v>384</v>
      </c>
      <c r="H2520" s="47" t="s">
        <v>43</v>
      </c>
      <c r="I2520" s="47" t="s">
        <v>50</v>
      </c>
      <c r="L2520" s="15"/>
      <c r="M2520" s="15" t="s">
        <v>371</v>
      </c>
      <c r="O2520" s="47" t="s">
        <v>30</v>
      </c>
      <c r="P2520" s="47" t="s">
        <v>43</v>
      </c>
    </row>
    <row r="2521" spans="2:16" ht="15" customHeight="1">
      <c r="B2521" s="47">
        <v>2742</v>
      </c>
      <c r="C2521" s="47" t="s">
        <v>1152</v>
      </c>
      <c r="D2521" s="47" t="s">
        <v>336</v>
      </c>
      <c r="E2521" s="47" t="s">
        <v>1166</v>
      </c>
      <c r="H2521" s="47" t="s">
        <v>43</v>
      </c>
      <c r="I2521" s="47" t="s">
        <v>50</v>
      </c>
      <c r="L2521" s="15"/>
      <c r="M2521" s="15" t="s">
        <v>371</v>
      </c>
      <c r="O2521" s="47" t="s">
        <v>30</v>
      </c>
      <c r="P2521" s="47" t="s">
        <v>43</v>
      </c>
    </row>
    <row r="2522" spans="2:16" ht="15" customHeight="1">
      <c r="B2522" s="47">
        <v>2743</v>
      </c>
      <c r="C2522" s="47" t="s">
        <v>1152</v>
      </c>
      <c r="D2522" s="47" t="s">
        <v>336</v>
      </c>
      <c r="E2522" s="47" t="s">
        <v>1167</v>
      </c>
      <c r="H2522" s="47" t="s">
        <v>43</v>
      </c>
      <c r="I2522" s="47" t="s">
        <v>50</v>
      </c>
      <c r="L2522" s="15"/>
      <c r="M2522" s="15" t="s">
        <v>371</v>
      </c>
      <c r="O2522" s="47" t="s">
        <v>30</v>
      </c>
      <c r="P2522" s="47" t="s">
        <v>43</v>
      </c>
    </row>
    <row r="2523" spans="2:16" ht="15" customHeight="1">
      <c r="B2523" s="47">
        <v>2744</v>
      </c>
      <c r="C2523" s="47" t="s">
        <v>1152</v>
      </c>
      <c r="D2523" s="47" t="s">
        <v>336</v>
      </c>
      <c r="E2523" s="47" t="s">
        <v>1168</v>
      </c>
      <c r="H2523" s="47" t="s">
        <v>43</v>
      </c>
      <c r="I2523" s="47" t="s">
        <v>50</v>
      </c>
      <c r="L2523" s="15"/>
      <c r="M2523" s="15" t="s">
        <v>371</v>
      </c>
      <c r="O2523" s="47" t="s">
        <v>30</v>
      </c>
      <c r="P2523" s="47" t="s">
        <v>43</v>
      </c>
    </row>
    <row r="2524" spans="2:16" ht="15" customHeight="1">
      <c r="B2524" s="47">
        <v>2745</v>
      </c>
      <c r="C2524" s="47" t="s">
        <v>1152</v>
      </c>
      <c r="D2524" s="47" t="s">
        <v>336</v>
      </c>
      <c r="E2524" s="47" t="s">
        <v>1169</v>
      </c>
      <c r="H2524" s="47" t="s">
        <v>43</v>
      </c>
      <c r="I2524" s="47" t="s">
        <v>50</v>
      </c>
      <c r="L2524" s="15"/>
      <c r="M2524" s="15" t="s">
        <v>371</v>
      </c>
      <c r="O2524" s="47" t="s">
        <v>30</v>
      </c>
      <c r="P2524" s="47" t="s">
        <v>43</v>
      </c>
    </row>
    <row r="2525" spans="2:16" ht="15" customHeight="1">
      <c r="B2525" s="47">
        <v>2746</v>
      </c>
      <c r="C2525" s="47" t="s">
        <v>1152</v>
      </c>
      <c r="D2525" s="47" t="s">
        <v>336</v>
      </c>
      <c r="E2525" s="47" t="s">
        <v>379</v>
      </c>
      <c r="H2525" s="47" t="s">
        <v>43</v>
      </c>
      <c r="I2525" s="47" t="s">
        <v>50</v>
      </c>
      <c r="L2525" s="15"/>
      <c r="M2525" s="15" t="s">
        <v>371</v>
      </c>
      <c r="O2525" s="47" t="s">
        <v>30</v>
      </c>
      <c r="P2525" s="47" t="s">
        <v>43</v>
      </c>
    </row>
    <row r="2526" spans="2:16" ht="15" customHeight="1">
      <c r="B2526" s="47">
        <v>2747</v>
      </c>
      <c r="C2526" s="47" t="s">
        <v>1152</v>
      </c>
      <c r="D2526" s="47" t="s">
        <v>336</v>
      </c>
      <c r="E2526" s="47" t="s">
        <v>380</v>
      </c>
      <c r="H2526" s="47" t="s">
        <v>43</v>
      </c>
      <c r="I2526" s="47" t="s">
        <v>50</v>
      </c>
      <c r="L2526" s="15"/>
      <c r="M2526" s="15" t="s">
        <v>371</v>
      </c>
      <c r="O2526" s="47" t="s">
        <v>30</v>
      </c>
      <c r="P2526" s="47" t="s">
        <v>43</v>
      </c>
    </row>
    <row r="2527" spans="2:16" ht="15" customHeight="1">
      <c r="B2527" s="47">
        <v>2748</v>
      </c>
      <c r="C2527" s="47" t="s">
        <v>1152</v>
      </c>
      <c r="D2527" s="47" t="s">
        <v>336</v>
      </c>
      <c r="E2527" s="47" t="s">
        <v>1170</v>
      </c>
      <c r="H2527" s="47" t="s">
        <v>43</v>
      </c>
      <c r="I2527" s="47" t="s">
        <v>50</v>
      </c>
      <c r="L2527" s="15"/>
      <c r="M2527" s="15" t="s">
        <v>371</v>
      </c>
      <c r="O2527" s="47" t="s">
        <v>30</v>
      </c>
      <c r="P2527" s="47" t="s">
        <v>43</v>
      </c>
    </row>
    <row r="2528" spans="2:16" ht="15" customHeight="1">
      <c r="B2528" s="47">
        <v>2749</v>
      </c>
      <c r="C2528" s="47" t="s">
        <v>1152</v>
      </c>
      <c r="D2528" s="47" t="s">
        <v>336</v>
      </c>
      <c r="E2528" s="47" t="s">
        <v>386</v>
      </c>
      <c r="H2528" s="47" t="s">
        <v>43</v>
      </c>
      <c r="I2528" s="47" t="s">
        <v>50</v>
      </c>
      <c r="L2528" s="15"/>
      <c r="M2528" s="15" t="s">
        <v>387</v>
      </c>
      <c r="O2528" s="47" t="s">
        <v>30</v>
      </c>
      <c r="P2528" s="47" t="s">
        <v>43</v>
      </c>
    </row>
    <row r="2529" spans="2:16" ht="15" customHeight="1">
      <c r="B2529" s="47">
        <v>2750</v>
      </c>
      <c r="C2529" s="47" t="s">
        <v>1152</v>
      </c>
      <c r="D2529" s="47" t="s">
        <v>336</v>
      </c>
      <c r="E2529" s="47" t="s">
        <v>1171</v>
      </c>
      <c r="H2529" s="47" t="s">
        <v>43</v>
      </c>
      <c r="I2529" s="47" t="s">
        <v>50</v>
      </c>
      <c r="L2529" s="15"/>
      <c r="M2529" s="15" t="s">
        <v>387</v>
      </c>
      <c r="O2529" s="47" t="s">
        <v>30</v>
      </c>
      <c r="P2529" s="47" t="s">
        <v>43</v>
      </c>
    </row>
    <row r="2530" spans="2:16" ht="15" customHeight="1">
      <c r="B2530" s="47">
        <v>2751</v>
      </c>
      <c r="C2530" s="47" t="s">
        <v>1152</v>
      </c>
      <c r="D2530" s="47" t="s">
        <v>336</v>
      </c>
      <c r="E2530" s="47" t="s">
        <v>1172</v>
      </c>
      <c r="H2530" s="47" t="s">
        <v>43</v>
      </c>
      <c r="I2530" s="47" t="s">
        <v>50</v>
      </c>
      <c r="L2530" s="15"/>
      <c r="M2530" s="15" t="s">
        <v>387</v>
      </c>
      <c r="O2530" s="47" t="s">
        <v>30</v>
      </c>
      <c r="P2530" s="47" t="s">
        <v>43</v>
      </c>
    </row>
    <row r="2531" spans="2:16" ht="15" customHeight="1">
      <c r="B2531" s="47">
        <v>2752</v>
      </c>
      <c r="C2531" s="47" t="s">
        <v>1152</v>
      </c>
      <c r="D2531" s="47" t="s">
        <v>336</v>
      </c>
      <c r="E2531" s="47" t="s">
        <v>400</v>
      </c>
      <c r="H2531" s="47" t="s">
        <v>43</v>
      </c>
      <c r="I2531" s="47" t="s">
        <v>50</v>
      </c>
      <c r="L2531" s="15"/>
      <c r="M2531" s="15" t="s">
        <v>387</v>
      </c>
      <c r="O2531" s="47" t="s">
        <v>30</v>
      </c>
      <c r="P2531" s="47" t="s">
        <v>43</v>
      </c>
    </row>
    <row r="2532" spans="2:16" ht="15" customHeight="1">
      <c r="B2532" s="47">
        <v>2753</v>
      </c>
      <c r="C2532" s="47" t="s">
        <v>1152</v>
      </c>
      <c r="D2532" s="47" t="s">
        <v>336</v>
      </c>
      <c r="E2532" s="47" t="s">
        <v>1173</v>
      </c>
      <c r="H2532" s="47" t="s">
        <v>43</v>
      </c>
      <c r="I2532" s="47" t="s">
        <v>50</v>
      </c>
      <c r="L2532" s="15"/>
      <c r="M2532" s="15" t="s">
        <v>387</v>
      </c>
      <c r="O2532" s="47" t="s">
        <v>30</v>
      </c>
      <c r="P2532" s="47" t="s">
        <v>43</v>
      </c>
    </row>
    <row r="2533" spans="2:16" ht="15" customHeight="1">
      <c r="B2533" s="47">
        <v>2754</v>
      </c>
      <c r="C2533" s="47" t="s">
        <v>1152</v>
      </c>
      <c r="D2533" s="47" t="s">
        <v>336</v>
      </c>
      <c r="E2533" s="47" t="s">
        <v>1174</v>
      </c>
      <c r="H2533" s="47" t="s">
        <v>43</v>
      </c>
      <c r="I2533" s="47" t="s">
        <v>50</v>
      </c>
      <c r="L2533" s="15"/>
      <c r="M2533" s="15" t="s">
        <v>387</v>
      </c>
      <c r="O2533" s="47" t="s">
        <v>30</v>
      </c>
      <c r="P2533" s="47" t="s">
        <v>43</v>
      </c>
    </row>
    <row r="2534" spans="2:16" ht="15" customHeight="1">
      <c r="B2534" s="47">
        <v>2755</v>
      </c>
      <c r="C2534" s="47" t="s">
        <v>1152</v>
      </c>
      <c r="D2534" s="47" t="s">
        <v>336</v>
      </c>
      <c r="E2534" s="47" t="s">
        <v>1175</v>
      </c>
      <c r="H2534" s="47" t="s">
        <v>43</v>
      </c>
      <c r="I2534" s="47" t="s">
        <v>50</v>
      </c>
      <c r="L2534" s="15"/>
      <c r="M2534" s="15" t="s">
        <v>387</v>
      </c>
      <c r="O2534" s="47" t="s">
        <v>30</v>
      </c>
      <c r="P2534" s="47" t="s">
        <v>43</v>
      </c>
    </row>
    <row r="2535" spans="2:16" ht="15" customHeight="1">
      <c r="B2535" s="47">
        <v>2756</v>
      </c>
      <c r="C2535" s="47" t="s">
        <v>1152</v>
      </c>
      <c r="D2535" s="47" t="s">
        <v>336</v>
      </c>
      <c r="E2535" s="47" t="s">
        <v>1176</v>
      </c>
      <c r="H2535" s="47" t="s">
        <v>43</v>
      </c>
      <c r="I2535" s="47" t="s">
        <v>50</v>
      </c>
      <c r="L2535" s="15"/>
      <c r="M2535" s="15" t="s">
        <v>387</v>
      </c>
      <c r="O2535" s="47" t="s">
        <v>30</v>
      </c>
      <c r="P2535" s="47" t="s">
        <v>43</v>
      </c>
    </row>
    <row r="2536" spans="2:16" ht="15" customHeight="1">
      <c r="B2536" s="47">
        <v>2757</v>
      </c>
      <c r="C2536" s="47" t="s">
        <v>1152</v>
      </c>
      <c r="D2536" s="47" t="s">
        <v>336</v>
      </c>
      <c r="E2536" s="47" t="s">
        <v>395</v>
      </c>
      <c r="H2536" s="47" t="s">
        <v>43</v>
      </c>
      <c r="I2536" s="47" t="s">
        <v>50</v>
      </c>
      <c r="L2536" s="15"/>
      <c r="M2536" s="15" t="s">
        <v>387</v>
      </c>
      <c r="O2536" s="47" t="s">
        <v>30</v>
      </c>
      <c r="P2536" s="47" t="s">
        <v>43</v>
      </c>
    </row>
    <row r="2537" spans="2:16" ht="15" customHeight="1">
      <c r="B2537" s="47">
        <v>2758</v>
      </c>
      <c r="C2537" s="47" t="s">
        <v>1152</v>
      </c>
      <c r="D2537" s="47" t="s">
        <v>336</v>
      </c>
      <c r="E2537" s="47" t="s">
        <v>396</v>
      </c>
      <c r="H2537" s="47" t="s">
        <v>43</v>
      </c>
      <c r="I2537" s="47" t="s">
        <v>50</v>
      </c>
      <c r="L2537" s="15"/>
      <c r="M2537" s="15" t="s">
        <v>387</v>
      </c>
      <c r="O2537" s="47" t="s">
        <v>30</v>
      </c>
      <c r="P2537" s="47" t="s">
        <v>43</v>
      </c>
    </row>
    <row r="2538" spans="2:16" ht="15" customHeight="1">
      <c r="B2538" s="47">
        <v>2759</v>
      </c>
      <c r="C2538" s="47" t="s">
        <v>1152</v>
      </c>
      <c r="D2538" s="47" t="s">
        <v>336</v>
      </c>
      <c r="E2538" s="47" t="s">
        <v>1177</v>
      </c>
      <c r="H2538" s="47" t="s">
        <v>43</v>
      </c>
      <c r="I2538" s="47" t="s">
        <v>50</v>
      </c>
      <c r="L2538" s="15"/>
      <c r="M2538" s="15" t="s">
        <v>387</v>
      </c>
      <c r="O2538" s="47" t="s">
        <v>30</v>
      </c>
      <c r="P2538" s="47" t="s">
        <v>43</v>
      </c>
    </row>
    <row r="2539" spans="2:16" ht="15" customHeight="1">
      <c r="B2539" s="47">
        <v>2760</v>
      </c>
      <c r="C2539" s="47" t="s">
        <v>1152</v>
      </c>
      <c r="D2539" s="47" t="s">
        <v>336</v>
      </c>
      <c r="E2539" s="47" t="s">
        <v>1095</v>
      </c>
      <c r="H2539" s="47" t="s">
        <v>43</v>
      </c>
      <c r="I2539" s="47" t="s">
        <v>50</v>
      </c>
      <c r="L2539" s="15"/>
      <c r="M2539" s="15" t="s">
        <v>369</v>
      </c>
      <c r="N2539" s="47" t="s">
        <v>401</v>
      </c>
      <c r="O2539" s="47" t="s">
        <v>30</v>
      </c>
      <c r="P2539" s="47" t="s">
        <v>43</v>
      </c>
    </row>
    <row r="2540" spans="2:16" ht="15" customHeight="1">
      <c r="B2540" s="47">
        <v>2761</v>
      </c>
      <c r="C2540" s="47" t="s">
        <v>1152</v>
      </c>
      <c r="D2540" s="47" t="s">
        <v>336</v>
      </c>
      <c r="E2540" s="47" t="s">
        <v>402</v>
      </c>
      <c r="H2540" s="47" t="s">
        <v>43</v>
      </c>
      <c r="I2540" s="47" t="s">
        <v>50</v>
      </c>
      <c r="L2540" s="15" t="s">
        <v>403</v>
      </c>
      <c r="M2540" s="15" t="s">
        <v>404</v>
      </c>
      <c r="O2540" s="47" t="s">
        <v>30</v>
      </c>
      <c r="P2540" s="47" t="s">
        <v>43</v>
      </c>
    </row>
    <row r="2541" spans="2:16" ht="15" customHeight="1">
      <c r="B2541" s="47">
        <v>2762</v>
      </c>
      <c r="C2541" s="47" t="s">
        <v>1152</v>
      </c>
      <c r="D2541" s="47" t="s">
        <v>336</v>
      </c>
      <c r="E2541" s="47" t="s">
        <v>1178</v>
      </c>
      <c r="H2541" s="47" t="s">
        <v>43</v>
      </c>
      <c r="I2541" s="47" t="s">
        <v>50</v>
      </c>
      <c r="L2541" s="15" t="s">
        <v>403</v>
      </c>
      <c r="M2541" s="15" t="s">
        <v>404</v>
      </c>
      <c r="O2541" s="47" t="s">
        <v>30</v>
      </c>
      <c r="P2541" s="47" t="s">
        <v>43</v>
      </c>
    </row>
    <row r="2542" spans="2:16" ht="15" customHeight="1">
      <c r="B2542" s="47">
        <v>2763</v>
      </c>
      <c r="C2542" s="47" t="s">
        <v>1152</v>
      </c>
      <c r="D2542" s="47" t="s">
        <v>336</v>
      </c>
      <c r="E2542" s="47" t="s">
        <v>1179</v>
      </c>
      <c r="H2542" s="47" t="s">
        <v>43</v>
      </c>
      <c r="I2542" s="47" t="s">
        <v>50</v>
      </c>
      <c r="L2542" s="15" t="s">
        <v>403</v>
      </c>
      <c r="M2542" s="15" t="s">
        <v>404</v>
      </c>
      <c r="O2542" s="47" t="s">
        <v>30</v>
      </c>
      <c r="P2542" s="47" t="s">
        <v>43</v>
      </c>
    </row>
    <row r="2543" spans="2:16" ht="15" customHeight="1">
      <c r="B2543" s="47">
        <v>2764</v>
      </c>
      <c r="C2543" s="47" t="s">
        <v>1152</v>
      </c>
      <c r="D2543" s="47" t="s">
        <v>336</v>
      </c>
      <c r="E2543" s="47" t="s">
        <v>1180</v>
      </c>
      <c r="H2543" s="47" t="s">
        <v>43</v>
      </c>
      <c r="I2543" s="47" t="s">
        <v>50</v>
      </c>
      <c r="L2543" s="15" t="s">
        <v>403</v>
      </c>
      <c r="M2543" s="15" t="s">
        <v>404</v>
      </c>
      <c r="N2543" s="47" t="s">
        <v>408</v>
      </c>
      <c r="O2543" s="47" t="s">
        <v>30</v>
      </c>
      <c r="P2543" s="47" t="s">
        <v>43</v>
      </c>
    </row>
    <row r="2544" spans="2:16" ht="15" customHeight="1">
      <c r="B2544" s="47">
        <v>2765</v>
      </c>
      <c r="C2544" s="47" t="s">
        <v>1152</v>
      </c>
      <c r="D2544" s="47" t="s">
        <v>336</v>
      </c>
      <c r="E2544" s="47" t="s">
        <v>1181</v>
      </c>
      <c r="H2544" s="47" t="s">
        <v>43</v>
      </c>
      <c r="I2544" s="47" t="s">
        <v>50</v>
      </c>
      <c r="L2544" s="15" t="s">
        <v>403</v>
      </c>
      <c r="M2544" s="15" t="s">
        <v>404</v>
      </c>
      <c r="N2544" s="47" t="s">
        <v>354</v>
      </c>
      <c r="O2544" s="47" t="s">
        <v>30</v>
      </c>
      <c r="P2544" s="47" t="s">
        <v>43</v>
      </c>
    </row>
    <row r="2545" spans="2:16" ht="15" customHeight="1">
      <c r="B2545" s="47">
        <v>2766</v>
      </c>
      <c r="C2545" s="47" t="s">
        <v>1152</v>
      </c>
      <c r="D2545" s="47" t="s">
        <v>336</v>
      </c>
      <c r="E2545" s="47" t="s">
        <v>1182</v>
      </c>
      <c r="H2545" s="47" t="s">
        <v>43</v>
      </c>
      <c r="I2545" s="47" t="s">
        <v>50</v>
      </c>
      <c r="L2545" s="15" t="s">
        <v>403</v>
      </c>
      <c r="M2545" s="15" t="s">
        <v>404</v>
      </c>
      <c r="N2545" s="47" t="s">
        <v>354</v>
      </c>
      <c r="O2545" s="47" t="s">
        <v>30</v>
      </c>
      <c r="P2545" s="47" t="s">
        <v>43</v>
      </c>
    </row>
    <row r="2546" spans="2:16" ht="15" customHeight="1">
      <c r="B2546" s="47">
        <v>2767</v>
      </c>
      <c r="C2546" s="47" t="s">
        <v>1152</v>
      </c>
      <c r="D2546" s="47" t="s">
        <v>336</v>
      </c>
      <c r="E2546" s="47" t="s">
        <v>415</v>
      </c>
      <c r="H2546" s="47" t="s">
        <v>43</v>
      </c>
      <c r="I2546" s="47" t="s">
        <v>50</v>
      </c>
      <c r="L2546" s="15" t="s">
        <v>403</v>
      </c>
      <c r="M2546" s="15" t="s">
        <v>404</v>
      </c>
      <c r="N2546" s="47" t="s">
        <v>354</v>
      </c>
      <c r="O2546" s="47" t="s">
        <v>30</v>
      </c>
      <c r="P2546" s="47" t="s">
        <v>43</v>
      </c>
    </row>
    <row r="2547" spans="2:16" ht="15" customHeight="1">
      <c r="B2547" s="47">
        <v>2768</v>
      </c>
      <c r="C2547" s="47" t="s">
        <v>1152</v>
      </c>
      <c r="D2547" s="47" t="s">
        <v>336</v>
      </c>
      <c r="E2547" s="47" t="s">
        <v>416</v>
      </c>
      <c r="H2547" s="47" t="s">
        <v>43</v>
      </c>
      <c r="I2547" s="47" t="s">
        <v>50</v>
      </c>
      <c r="L2547" s="15" t="s">
        <v>536</v>
      </c>
      <c r="M2547" s="15" t="s">
        <v>417</v>
      </c>
      <c r="O2547" s="47" t="s">
        <v>30</v>
      </c>
      <c r="P2547" s="47" t="s">
        <v>43</v>
      </c>
    </row>
    <row r="2548" spans="2:16" ht="15" customHeight="1">
      <c r="B2548" s="47">
        <v>2769</v>
      </c>
      <c r="C2548" s="47" t="s">
        <v>1152</v>
      </c>
      <c r="D2548" s="47" t="s">
        <v>336</v>
      </c>
      <c r="E2548" s="47" t="s">
        <v>418</v>
      </c>
      <c r="H2548" s="47" t="s">
        <v>43</v>
      </c>
      <c r="I2548" s="47" t="s">
        <v>50</v>
      </c>
      <c r="L2548" s="15" t="s">
        <v>536</v>
      </c>
      <c r="M2548" s="15" t="s">
        <v>417</v>
      </c>
      <c r="O2548" s="47" t="s">
        <v>30</v>
      </c>
      <c r="P2548" s="47" t="s">
        <v>43</v>
      </c>
    </row>
    <row r="2549" spans="2:16" ht="15" customHeight="1">
      <c r="B2549" s="47">
        <v>2770</v>
      </c>
      <c r="C2549" s="47" t="s">
        <v>1152</v>
      </c>
      <c r="D2549" s="47" t="s">
        <v>336</v>
      </c>
      <c r="E2549" s="47" t="s">
        <v>419</v>
      </c>
      <c r="H2549" s="47" t="s">
        <v>43</v>
      </c>
      <c r="I2549" s="47" t="s">
        <v>50</v>
      </c>
      <c r="L2549" s="15" t="s">
        <v>536</v>
      </c>
      <c r="M2549" s="15" t="s">
        <v>417</v>
      </c>
      <c r="O2549" s="47" t="s">
        <v>30</v>
      </c>
      <c r="P2549" s="47" t="s">
        <v>43</v>
      </c>
    </row>
    <row r="2550" spans="2:16" ht="15" customHeight="1">
      <c r="B2550" s="47">
        <v>2771</v>
      </c>
      <c r="C2550" s="47" t="s">
        <v>1152</v>
      </c>
      <c r="D2550" s="47" t="s">
        <v>336</v>
      </c>
      <c r="E2550" s="47" t="s">
        <v>1183</v>
      </c>
      <c r="H2550" s="47" t="s">
        <v>43</v>
      </c>
      <c r="I2550" s="47" t="s">
        <v>50</v>
      </c>
      <c r="L2550" s="15" t="s">
        <v>536</v>
      </c>
      <c r="M2550" s="15" t="s">
        <v>417</v>
      </c>
      <c r="O2550" s="47" t="s">
        <v>30</v>
      </c>
      <c r="P2550" s="47" t="s">
        <v>43</v>
      </c>
    </row>
    <row r="2551" spans="2:16" ht="15" customHeight="1">
      <c r="B2551" s="47">
        <v>2772</v>
      </c>
      <c r="C2551" s="47" t="s">
        <v>1152</v>
      </c>
      <c r="D2551" s="47" t="s">
        <v>336</v>
      </c>
      <c r="E2551" s="47" t="s">
        <v>1184</v>
      </c>
      <c r="H2551" s="47" t="s">
        <v>43</v>
      </c>
      <c r="I2551" s="47" t="s">
        <v>50</v>
      </c>
      <c r="L2551" s="15" t="s">
        <v>536</v>
      </c>
      <c r="M2551" s="15" t="s">
        <v>417</v>
      </c>
      <c r="O2551" s="47" t="s">
        <v>30</v>
      </c>
      <c r="P2551" s="47" t="s">
        <v>43</v>
      </c>
    </row>
    <row r="2552" spans="2:16" ht="15" customHeight="1">
      <c r="B2552" s="47">
        <v>2773</v>
      </c>
      <c r="C2552" s="47" t="s">
        <v>1152</v>
      </c>
      <c r="D2552" s="47" t="s">
        <v>336</v>
      </c>
      <c r="E2552" s="47" t="s">
        <v>422</v>
      </c>
      <c r="H2552" s="47" t="s">
        <v>43</v>
      </c>
      <c r="I2552" s="47" t="s">
        <v>50</v>
      </c>
      <c r="L2552" s="15" t="s">
        <v>536</v>
      </c>
      <c r="M2552" s="15" t="s">
        <v>417</v>
      </c>
      <c r="O2552" s="47" t="s">
        <v>30</v>
      </c>
      <c r="P2552" s="47" t="s">
        <v>43</v>
      </c>
    </row>
    <row r="2553" spans="2:16" ht="15" customHeight="1">
      <c r="B2553" s="47">
        <v>2774</v>
      </c>
      <c r="C2553" s="47" t="s">
        <v>1152</v>
      </c>
      <c r="D2553" s="47" t="s">
        <v>336</v>
      </c>
      <c r="E2553" s="47" t="s">
        <v>1185</v>
      </c>
      <c r="H2553" s="47" t="s">
        <v>43</v>
      </c>
      <c r="I2553" s="47" t="s">
        <v>50</v>
      </c>
      <c r="L2553" s="15" t="s">
        <v>536</v>
      </c>
      <c r="M2553" s="15" t="s">
        <v>417</v>
      </c>
      <c r="O2553" s="47" t="s">
        <v>30</v>
      </c>
      <c r="P2553" s="47" t="s">
        <v>43</v>
      </c>
    </row>
    <row r="2554" spans="2:16" ht="15" customHeight="1">
      <c r="B2554" s="47">
        <v>2775</v>
      </c>
      <c r="C2554" s="47" t="s">
        <v>1152</v>
      </c>
      <c r="D2554" s="47" t="s">
        <v>336</v>
      </c>
      <c r="E2554" s="47" t="s">
        <v>1186</v>
      </c>
      <c r="H2554" s="47" t="s">
        <v>43</v>
      </c>
      <c r="I2554" s="47" t="s">
        <v>50</v>
      </c>
      <c r="L2554" s="15" t="s">
        <v>536</v>
      </c>
      <c r="M2554" s="15" t="s">
        <v>417</v>
      </c>
      <c r="N2554" s="47" t="s">
        <v>354</v>
      </c>
      <c r="O2554" s="47" t="s">
        <v>30</v>
      </c>
      <c r="P2554" s="47" t="s">
        <v>43</v>
      </c>
    </row>
    <row r="2555" spans="2:16" ht="15" customHeight="1">
      <c r="B2555" s="47">
        <v>2776</v>
      </c>
      <c r="C2555" s="47" t="s">
        <v>1152</v>
      </c>
      <c r="D2555" s="47" t="s">
        <v>336</v>
      </c>
      <c r="E2555" s="47" t="s">
        <v>421</v>
      </c>
      <c r="H2555" s="47" t="s">
        <v>43</v>
      </c>
      <c r="I2555" s="47" t="s">
        <v>50</v>
      </c>
      <c r="L2555" s="15" t="s">
        <v>536</v>
      </c>
      <c r="M2555" s="15" t="s">
        <v>417</v>
      </c>
      <c r="N2555" s="47" t="s">
        <v>354</v>
      </c>
      <c r="O2555" s="47" t="s">
        <v>30</v>
      </c>
      <c r="P2555" s="47" t="s">
        <v>43</v>
      </c>
    </row>
    <row r="2556" spans="2:16" ht="15" customHeight="1">
      <c r="B2556" s="47">
        <v>2777</v>
      </c>
      <c r="C2556" s="47" t="s">
        <v>1152</v>
      </c>
      <c r="D2556" s="47" t="s">
        <v>336</v>
      </c>
      <c r="E2556" s="47" t="s">
        <v>420</v>
      </c>
      <c r="H2556" s="47" t="s">
        <v>43</v>
      </c>
      <c r="I2556" s="47" t="s">
        <v>50</v>
      </c>
      <c r="L2556" s="15" t="s">
        <v>536</v>
      </c>
      <c r="M2556" s="15" t="s">
        <v>417</v>
      </c>
      <c r="N2556" s="47" t="s">
        <v>354</v>
      </c>
      <c r="O2556" s="47" t="s">
        <v>30</v>
      </c>
      <c r="P2556" s="47" t="s">
        <v>43</v>
      </c>
    </row>
    <row r="2557" spans="2:16" ht="15" customHeight="1">
      <c r="B2557" s="47">
        <v>2778</v>
      </c>
      <c r="C2557" s="47" t="s">
        <v>1152</v>
      </c>
      <c r="D2557" s="47" t="s">
        <v>336</v>
      </c>
      <c r="E2557" s="47" t="s">
        <v>419</v>
      </c>
      <c r="H2557" s="47" t="s">
        <v>43</v>
      </c>
      <c r="I2557" s="47" t="s">
        <v>50</v>
      </c>
      <c r="L2557" s="15" t="s">
        <v>536</v>
      </c>
      <c r="M2557" s="15" t="s">
        <v>417</v>
      </c>
      <c r="N2557" s="47" t="s">
        <v>354</v>
      </c>
      <c r="O2557" s="47" t="s">
        <v>30</v>
      </c>
      <c r="P2557" s="47" t="s">
        <v>43</v>
      </c>
    </row>
    <row r="2558" spans="2:16" ht="15" customHeight="1">
      <c r="B2558" s="47">
        <v>2779</v>
      </c>
      <c r="C2558" s="47" t="s">
        <v>1152</v>
      </c>
      <c r="D2558" s="47" t="s">
        <v>336</v>
      </c>
      <c r="E2558" s="47" t="s">
        <v>418</v>
      </c>
      <c r="H2558" s="47" t="s">
        <v>43</v>
      </c>
      <c r="I2558" s="47" t="s">
        <v>50</v>
      </c>
      <c r="L2558" s="15" t="s">
        <v>536</v>
      </c>
      <c r="M2558" s="15" t="s">
        <v>417</v>
      </c>
      <c r="N2558" s="47" t="s">
        <v>354</v>
      </c>
      <c r="O2558" s="47" t="s">
        <v>30</v>
      </c>
      <c r="P2558" s="47" t="s">
        <v>43</v>
      </c>
    </row>
    <row r="2559" spans="2:16" ht="15" customHeight="1">
      <c r="B2559" s="47">
        <v>2780</v>
      </c>
      <c r="C2559" s="47" t="s">
        <v>1152</v>
      </c>
      <c r="D2559" s="47" t="s">
        <v>336</v>
      </c>
      <c r="E2559" s="47" t="s">
        <v>416</v>
      </c>
      <c r="H2559" s="47" t="s">
        <v>43</v>
      </c>
      <c r="I2559" s="47" t="s">
        <v>50</v>
      </c>
      <c r="L2559" s="15" t="s">
        <v>536</v>
      </c>
      <c r="M2559" s="15" t="s">
        <v>417</v>
      </c>
      <c r="N2559" s="47" t="s">
        <v>354</v>
      </c>
      <c r="O2559" s="47" t="s">
        <v>30</v>
      </c>
      <c r="P2559" s="47" t="s">
        <v>43</v>
      </c>
    </row>
    <row r="2560" spans="2:16" ht="15" customHeight="1">
      <c r="B2560" s="47">
        <v>2781</v>
      </c>
      <c r="C2560" s="47" t="s">
        <v>1152</v>
      </c>
      <c r="D2560" s="47" t="s">
        <v>336</v>
      </c>
      <c r="E2560" s="47" t="s">
        <v>435</v>
      </c>
      <c r="H2560" s="47" t="s">
        <v>43</v>
      </c>
      <c r="I2560" s="47" t="s">
        <v>50</v>
      </c>
      <c r="L2560" s="15" t="s">
        <v>403</v>
      </c>
      <c r="M2560" s="15" t="s">
        <v>1201</v>
      </c>
      <c r="O2560" s="47" t="s">
        <v>30</v>
      </c>
      <c r="P2560" s="47" t="s">
        <v>43</v>
      </c>
    </row>
    <row r="2561" spans="2:16" ht="15" customHeight="1">
      <c r="B2561" s="47">
        <v>2782</v>
      </c>
      <c r="C2561" s="47" t="s">
        <v>1152</v>
      </c>
      <c r="D2561" s="47" t="s">
        <v>336</v>
      </c>
      <c r="E2561" s="47" t="s">
        <v>436</v>
      </c>
      <c r="H2561" s="47" t="s">
        <v>43</v>
      </c>
      <c r="I2561" s="47" t="s">
        <v>50</v>
      </c>
      <c r="L2561" s="15" t="s">
        <v>403</v>
      </c>
      <c r="M2561" s="15" t="s">
        <v>1201</v>
      </c>
      <c r="O2561" s="47" t="s">
        <v>30</v>
      </c>
      <c r="P2561" s="47" t="s">
        <v>43</v>
      </c>
    </row>
    <row r="2562" spans="2:16" ht="15" customHeight="1">
      <c r="B2562" s="47">
        <v>2783</v>
      </c>
      <c r="C2562" s="47" t="s">
        <v>1152</v>
      </c>
      <c r="D2562" s="47" t="s">
        <v>336</v>
      </c>
      <c r="E2562" s="47" t="s">
        <v>437</v>
      </c>
      <c r="H2562" s="47" t="s">
        <v>43</v>
      </c>
      <c r="I2562" s="47" t="s">
        <v>50</v>
      </c>
      <c r="L2562" s="15" t="s">
        <v>403</v>
      </c>
      <c r="M2562" s="15" t="s">
        <v>1201</v>
      </c>
      <c r="O2562" s="47" t="s">
        <v>30</v>
      </c>
      <c r="P2562" s="47" t="s">
        <v>43</v>
      </c>
    </row>
    <row r="2563" spans="2:16" ht="15" customHeight="1">
      <c r="B2563" s="47">
        <v>2784</v>
      </c>
      <c r="C2563" s="47" t="s">
        <v>1152</v>
      </c>
      <c r="D2563" s="47" t="s">
        <v>336</v>
      </c>
      <c r="E2563" s="47" t="s">
        <v>438</v>
      </c>
      <c r="H2563" s="47" t="s">
        <v>43</v>
      </c>
      <c r="I2563" s="47" t="s">
        <v>50</v>
      </c>
      <c r="L2563" s="15" t="s">
        <v>403</v>
      </c>
      <c r="M2563" s="15" t="s">
        <v>1201</v>
      </c>
      <c r="O2563" s="47" t="s">
        <v>30</v>
      </c>
      <c r="P2563" s="47" t="s">
        <v>43</v>
      </c>
    </row>
    <row r="2564" spans="2:16" ht="15" customHeight="1">
      <c r="B2564" s="47">
        <v>2785</v>
      </c>
      <c r="C2564" s="47" t="s">
        <v>1152</v>
      </c>
      <c r="D2564" s="47" t="s">
        <v>336</v>
      </c>
      <c r="E2564" s="47" t="s">
        <v>439</v>
      </c>
      <c r="H2564" s="47" t="s">
        <v>43</v>
      </c>
      <c r="I2564" s="47" t="s">
        <v>50</v>
      </c>
      <c r="L2564" s="15" t="s">
        <v>403</v>
      </c>
      <c r="M2564" s="15" t="s">
        <v>1201</v>
      </c>
      <c r="O2564" s="47" t="s">
        <v>30</v>
      </c>
      <c r="P2564" s="47" t="s">
        <v>43</v>
      </c>
    </row>
    <row r="2565" spans="2:16" ht="15" customHeight="1">
      <c r="B2565" s="47">
        <v>2786</v>
      </c>
      <c r="C2565" s="47" t="s">
        <v>1152</v>
      </c>
      <c r="D2565" s="47" t="s">
        <v>336</v>
      </c>
      <c r="E2565" s="47" t="s">
        <v>440</v>
      </c>
      <c r="H2565" s="47" t="s">
        <v>43</v>
      </c>
      <c r="I2565" s="47" t="s">
        <v>50</v>
      </c>
      <c r="L2565" s="15" t="s">
        <v>403</v>
      </c>
      <c r="M2565" s="15" t="s">
        <v>1201</v>
      </c>
      <c r="O2565" s="47" t="s">
        <v>30</v>
      </c>
      <c r="P2565" s="47" t="s">
        <v>43</v>
      </c>
    </row>
    <row r="2566" spans="2:16" ht="15" customHeight="1">
      <c r="B2566" s="47">
        <v>2787</v>
      </c>
      <c r="C2566" s="47" t="s">
        <v>1152</v>
      </c>
      <c r="D2566" s="47" t="s">
        <v>336</v>
      </c>
      <c r="E2566" s="47" t="s">
        <v>441</v>
      </c>
      <c r="H2566" s="47" t="s">
        <v>43</v>
      </c>
      <c r="I2566" s="47" t="s">
        <v>50</v>
      </c>
      <c r="L2566" s="15" t="s">
        <v>403</v>
      </c>
      <c r="M2566" s="15" t="s">
        <v>1201</v>
      </c>
      <c r="O2566" s="47" t="s">
        <v>30</v>
      </c>
      <c r="P2566" s="47" t="s">
        <v>43</v>
      </c>
    </row>
    <row r="2567" spans="2:16" ht="15" customHeight="1">
      <c r="B2567" s="47">
        <v>2788</v>
      </c>
      <c r="C2567" s="47" t="s">
        <v>1152</v>
      </c>
      <c r="D2567" s="47" t="s">
        <v>336</v>
      </c>
      <c r="E2567" s="47" t="s">
        <v>442</v>
      </c>
      <c r="H2567" s="47" t="s">
        <v>43</v>
      </c>
      <c r="I2567" s="47" t="s">
        <v>50</v>
      </c>
      <c r="L2567" s="15" t="s">
        <v>403</v>
      </c>
      <c r="M2567" s="15" t="s">
        <v>1201</v>
      </c>
      <c r="O2567" s="47" t="s">
        <v>30</v>
      </c>
      <c r="P2567" s="47" t="s">
        <v>43</v>
      </c>
    </row>
    <row r="2568" spans="2:16" ht="15" customHeight="1">
      <c r="B2568" s="47">
        <v>2789</v>
      </c>
      <c r="C2568" s="47" t="s">
        <v>1152</v>
      </c>
      <c r="D2568" s="47" t="s">
        <v>336</v>
      </c>
      <c r="E2568" s="47" t="s">
        <v>443</v>
      </c>
      <c r="H2568" s="47" t="s">
        <v>43</v>
      </c>
      <c r="I2568" s="47" t="s">
        <v>50</v>
      </c>
      <c r="L2568" s="15" t="s">
        <v>403</v>
      </c>
      <c r="M2568" s="15" t="s">
        <v>1201</v>
      </c>
      <c r="O2568" s="47" t="s">
        <v>30</v>
      </c>
      <c r="P2568" s="47" t="s">
        <v>43</v>
      </c>
    </row>
    <row r="2569" spans="2:16" ht="15" customHeight="1">
      <c r="B2569" s="47">
        <v>2790</v>
      </c>
      <c r="C2569" s="47" t="s">
        <v>1152</v>
      </c>
      <c r="D2569" s="47" t="s">
        <v>336</v>
      </c>
      <c r="E2569" s="47" t="s">
        <v>444</v>
      </c>
      <c r="H2569" s="47" t="s">
        <v>43</v>
      </c>
      <c r="I2569" s="47" t="s">
        <v>50</v>
      </c>
      <c r="L2569" s="15" t="s">
        <v>403</v>
      </c>
      <c r="M2569" s="15" t="s">
        <v>1201</v>
      </c>
      <c r="O2569" s="47" t="s">
        <v>30</v>
      </c>
      <c r="P2569" s="47" t="s">
        <v>43</v>
      </c>
    </row>
    <row r="2570" spans="2:16" ht="15" customHeight="1">
      <c r="B2570" s="47">
        <v>2791</v>
      </c>
      <c r="C2570" s="47" t="s">
        <v>1152</v>
      </c>
      <c r="D2570" s="47" t="s">
        <v>336</v>
      </c>
      <c r="E2570" s="47" t="s">
        <v>445</v>
      </c>
      <c r="H2570" s="47" t="s">
        <v>43</v>
      </c>
      <c r="I2570" s="47" t="s">
        <v>50</v>
      </c>
      <c r="L2570" s="15" t="s">
        <v>403</v>
      </c>
      <c r="M2570" s="15" t="s">
        <v>1201</v>
      </c>
      <c r="O2570" s="47" t="s">
        <v>30</v>
      </c>
      <c r="P2570" s="47" t="s">
        <v>43</v>
      </c>
    </row>
    <row r="2571" spans="2:16" ht="15" customHeight="1">
      <c r="B2571" s="47">
        <v>2792</v>
      </c>
      <c r="C2571" s="47" t="s">
        <v>1152</v>
      </c>
      <c r="D2571" s="47" t="s">
        <v>336</v>
      </c>
      <c r="E2571" s="47" t="s">
        <v>446</v>
      </c>
      <c r="H2571" s="47" t="s">
        <v>43</v>
      </c>
      <c r="I2571" s="47" t="s">
        <v>50</v>
      </c>
      <c r="L2571" s="15" t="s">
        <v>403</v>
      </c>
      <c r="M2571" s="15" t="s">
        <v>1201</v>
      </c>
      <c r="O2571" s="47" t="s">
        <v>30</v>
      </c>
      <c r="P2571" s="47" t="s">
        <v>43</v>
      </c>
    </row>
    <row r="2572" spans="2:16" ht="15" customHeight="1">
      <c r="B2572" s="47">
        <v>2793</v>
      </c>
      <c r="C2572" s="47" t="s">
        <v>1152</v>
      </c>
      <c r="D2572" s="47" t="s">
        <v>336</v>
      </c>
      <c r="E2572" s="47" t="s">
        <v>447</v>
      </c>
      <c r="H2572" s="47" t="s">
        <v>43</v>
      </c>
      <c r="I2572" s="47" t="s">
        <v>50</v>
      </c>
      <c r="L2572" s="15" t="s">
        <v>403</v>
      </c>
      <c r="M2572" s="15" t="s">
        <v>1201</v>
      </c>
      <c r="O2572" s="47" t="s">
        <v>30</v>
      </c>
      <c r="P2572" s="47" t="s">
        <v>43</v>
      </c>
    </row>
    <row r="2573" spans="2:16" ht="15" customHeight="1">
      <c r="B2573" s="47">
        <v>2794</v>
      </c>
      <c r="C2573" s="47" t="s">
        <v>1152</v>
      </c>
      <c r="D2573" s="47" t="s">
        <v>336</v>
      </c>
      <c r="E2573" s="47" t="s">
        <v>448</v>
      </c>
      <c r="H2573" s="47" t="s">
        <v>43</v>
      </c>
      <c r="I2573" s="47" t="s">
        <v>50</v>
      </c>
      <c r="L2573" s="15" t="s">
        <v>403</v>
      </c>
      <c r="M2573" s="15" t="s">
        <v>1201</v>
      </c>
      <c r="O2573" s="47" t="s">
        <v>30</v>
      </c>
      <c r="P2573" s="47" t="s">
        <v>43</v>
      </c>
    </row>
    <row r="2574" spans="2:16" ht="15" customHeight="1">
      <c r="B2574" s="47">
        <v>2795</v>
      </c>
      <c r="C2574" s="47" t="s">
        <v>1152</v>
      </c>
      <c r="D2574" s="47" t="s">
        <v>336</v>
      </c>
      <c r="E2574" s="47" t="s">
        <v>449</v>
      </c>
      <c r="H2574" s="47" t="s">
        <v>43</v>
      </c>
      <c r="I2574" s="47" t="s">
        <v>50</v>
      </c>
      <c r="L2574" s="15" t="s">
        <v>403</v>
      </c>
      <c r="M2574" s="15" t="s">
        <v>1201</v>
      </c>
      <c r="O2574" s="47" t="s">
        <v>30</v>
      </c>
      <c r="P2574" s="47" t="s">
        <v>43</v>
      </c>
    </row>
    <row r="2575" spans="2:16" ht="15" customHeight="1">
      <c r="B2575" s="47">
        <v>2796</v>
      </c>
      <c r="C2575" s="47" t="s">
        <v>1152</v>
      </c>
      <c r="D2575" s="47" t="s">
        <v>336</v>
      </c>
      <c r="E2575" s="47" t="s">
        <v>450</v>
      </c>
      <c r="H2575" s="47" t="s">
        <v>43</v>
      </c>
      <c r="I2575" s="47" t="s">
        <v>50</v>
      </c>
      <c r="L2575" s="15" t="s">
        <v>403</v>
      </c>
      <c r="M2575" s="15" t="s">
        <v>1201</v>
      </c>
      <c r="O2575" s="47" t="s">
        <v>30</v>
      </c>
      <c r="P2575" s="47" t="s">
        <v>43</v>
      </c>
    </row>
    <row r="2576" spans="2:16" ht="15" customHeight="1">
      <c r="B2576" s="47">
        <v>2797</v>
      </c>
      <c r="C2576" s="47" t="s">
        <v>1152</v>
      </c>
      <c r="D2576" s="47" t="s">
        <v>336</v>
      </c>
      <c r="E2576" s="47" t="s">
        <v>451</v>
      </c>
      <c r="H2576" s="47" t="s">
        <v>43</v>
      </c>
      <c r="I2576" s="47" t="s">
        <v>50</v>
      </c>
      <c r="L2576" s="15" t="s">
        <v>403</v>
      </c>
      <c r="M2576" s="15" t="s">
        <v>1201</v>
      </c>
      <c r="O2576" s="47" t="s">
        <v>30</v>
      </c>
      <c r="P2576" s="47" t="s">
        <v>43</v>
      </c>
    </row>
    <row r="2577" spans="2:16" ht="15" customHeight="1">
      <c r="B2577" s="47">
        <v>2798</v>
      </c>
      <c r="C2577" s="47" t="s">
        <v>1152</v>
      </c>
      <c r="D2577" s="47" t="s">
        <v>336</v>
      </c>
      <c r="E2577" s="47" t="s">
        <v>452</v>
      </c>
      <c r="H2577" s="47" t="s">
        <v>43</v>
      </c>
      <c r="I2577" s="47" t="s">
        <v>50</v>
      </c>
      <c r="L2577" s="15" t="s">
        <v>403</v>
      </c>
      <c r="M2577" s="15" t="s">
        <v>1201</v>
      </c>
      <c r="O2577" s="47" t="s">
        <v>30</v>
      </c>
      <c r="P2577" s="47" t="s">
        <v>43</v>
      </c>
    </row>
    <row r="2578" spans="2:16" ht="15" customHeight="1">
      <c r="B2578" s="47">
        <v>2799</v>
      </c>
      <c r="C2578" s="47" t="s">
        <v>1152</v>
      </c>
      <c r="D2578" s="47" t="s">
        <v>336</v>
      </c>
      <c r="E2578" s="47" t="s">
        <v>453</v>
      </c>
      <c r="H2578" s="47" t="s">
        <v>43</v>
      </c>
      <c r="I2578" s="47" t="s">
        <v>50</v>
      </c>
      <c r="L2578" s="15" t="s">
        <v>403</v>
      </c>
      <c r="M2578" s="15" t="s">
        <v>1201</v>
      </c>
      <c r="O2578" s="47" t="s">
        <v>30</v>
      </c>
      <c r="P2578" s="47" t="s">
        <v>43</v>
      </c>
    </row>
    <row r="2579" spans="2:16" ht="15" customHeight="1">
      <c r="B2579" s="47">
        <v>2800</v>
      </c>
      <c r="C2579" s="47" t="s">
        <v>1152</v>
      </c>
      <c r="D2579" s="47" t="s">
        <v>336</v>
      </c>
      <c r="E2579" s="47" t="s">
        <v>454</v>
      </c>
      <c r="H2579" s="47" t="s">
        <v>43</v>
      </c>
      <c r="I2579" s="47" t="s">
        <v>50</v>
      </c>
      <c r="L2579" s="15" t="s">
        <v>403</v>
      </c>
      <c r="M2579" s="15" t="s">
        <v>1201</v>
      </c>
      <c r="O2579" s="47" t="s">
        <v>30</v>
      </c>
      <c r="P2579" s="47" t="s">
        <v>43</v>
      </c>
    </row>
    <row r="2580" spans="2:16" ht="15" customHeight="1">
      <c r="B2580" s="47">
        <v>2801</v>
      </c>
      <c r="C2580" s="47" t="s">
        <v>1152</v>
      </c>
      <c r="D2580" s="47" t="s">
        <v>336</v>
      </c>
      <c r="E2580" s="47" t="s">
        <v>455</v>
      </c>
      <c r="H2580" s="47" t="s">
        <v>43</v>
      </c>
      <c r="I2580" s="47" t="s">
        <v>50</v>
      </c>
      <c r="L2580" s="15" t="s">
        <v>403</v>
      </c>
      <c r="M2580" s="15" t="s">
        <v>1201</v>
      </c>
      <c r="O2580" s="47" t="s">
        <v>30</v>
      </c>
      <c r="P2580" s="47" t="s">
        <v>43</v>
      </c>
    </row>
    <row r="2581" spans="2:16" ht="15" customHeight="1">
      <c r="B2581" s="47">
        <v>2802</v>
      </c>
      <c r="C2581" s="47" t="s">
        <v>1152</v>
      </c>
      <c r="D2581" s="47" t="s">
        <v>336</v>
      </c>
      <c r="E2581" s="47" t="s">
        <v>456</v>
      </c>
      <c r="H2581" s="47" t="s">
        <v>43</v>
      </c>
      <c r="I2581" s="47" t="s">
        <v>50</v>
      </c>
      <c r="L2581" s="15" t="s">
        <v>403</v>
      </c>
      <c r="M2581" s="15" t="s">
        <v>1201</v>
      </c>
      <c r="O2581" s="47" t="s">
        <v>30</v>
      </c>
      <c r="P2581" s="47" t="s">
        <v>43</v>
      </c>
    </row>
    <row r="2582" spans="2:16" ht="15" customHeight="1">
      <c r="B2582" s="47">
        <v>2803</v>
      </c>
      <c r="C2582" s="47" t="s">
        <v>1152</v>
      </c>
      <c r="D2582" s="47" t="s">
        <v>336</v>
      </c>
      <c r="E2582" s="47" t="s">
        <v>457</v>
      </c>
      <c r="H2582" s="47" t="s">
        <v>43</v>
      </c>
      <c r="I2582" s="47" t="s">
        <v>50</v>
      </c>
      <c r="L2582" s="15" t="s">
        <v>403</v>
      </c>
      <c r="M2582" s="15" t="s">
        <v>1201</v>
      </c>
      <c r="O2582" s="47" t="s">
        <v>30</v>
      </c>
      <c r="P2582" s="47" t="s">
        <v>43</v>
      </c>
    </row>
    <row r="2583" spans="2:16" ht="15" customHeight="1">
      <c r="B2583" s="47">
        <v>2804</v>
      </c>
      <c r="C2583" s="47" t="s">
        <v>1152</v>
      </c>
      <c r="D2583" s="47" t="s">
        <v>336</v>
      </c>
      <c r="E2583" s="47" t="s">
        <v>458</v>
      </c>
      <c r="H2583" s="47" t="s">
        <v>43</v>
      </c>
      <c r="I2583" s="47" t="s">
        <v>50</v>
      </c>
      <c r="L2583" s="15" t="s">
        <v>403</v>
      </c>
      <c r="M2583" s="15" t="s">
        <v>1201</v>
      </c>
      <c r="O2583" s="47" t="s">
        <v>30</v>
      </c>
      <c r="P2583" s="47" t="s">
        <v>43</v>
      </c>
    </row>
    <row r="2584" spans="2:16" ht="15" customHeight="1">
      <c r="B2584" s="47">
        <v>2805</v>
      </c>
      <c r="C2584" s="47" t="s">
        <v>1152</v>
      </c>
      <c r="D2584" s="47" t="s">
        <v>336</v>
      </c>
      <c r="E2584" s="47" t="s">
        <v>459</v>
      </c>
      <c r="H2584" s="47" t="s">
        <v>43</v>
      </c>
      <c r="I2584" s="47" t="s">
        <v>50</v>
      </c>
      <c r="L2584" s="15" t="s">
        <v>403</v>
      </c>
      <c r="M2584" s="15" t="s">
        <v>1201</v>
      </c>
      <c r="O2584" s="47" t="s">
        <v>30</v>
      </c>
      <c r="P2584" s="47" t="s">
        <v>43</v>
      </c>
    </row>
    <row r="2585" spans="2:16" ht="15" customHeight="1">
      <c r="B2585" s="47">
        <v>2806</v>
      </c>
      <c r="C2585" s="47" t="s">
        <v>1152</v>
      </c>
      <c r="D2585" s="47" t="s">
        <v>336</v>
      </c>
      <c r="E2585" s="47" t="s">
        <v>460</v>
      </c>
      <c r="H2585" s="47" t="s">
        <v>43</v>
      </c>
      <c r="I2585" s="47" t="s">
        <v>50</v>
      </c>
      <c r="L2585" s="15" t="s">
        <v>403</v>
      </c>
      <c r="M2585" s="15" t="s">
        <v>1201</v>
      </c>
      <c r="O2585" s="47" t="s">
        <v>30</v>
      </c>
      <c r="P2585" s="47" t="s">
        <v>43</v>
      </c>
    </row>
    <row r="2586" spans="2:16" ht="15" customHeight="1">
      <c r="B2586" s="47">
        <v>2807</v>
      </c>
      <c r="C2586" s="47" t="s">
        <v>1152</v>
      </c>
      <c r="D2586" s="47" t="s">
        <v>336</v>
      </c>
      <c r="E2586" s="47" t="s">
        <v>461</v>
      </c>
      <c r="H2586" s="47" t="s">
        <v>43</v>
      </c>
      <c r="I2586" s="47" t="s">
        <v>50</v>
      </c>
      <c r="L2586" s="15" t="s">
        <v>403</v>
      </c>
      <c r="M2586" s="15" t="s">
        <v>1201</v>
      </c>
      <c r="O2586" s="47" t="s">
        <v>30</v>
      </c>
      <c r="P2586" s="47" t="s">
        <v>43</v>
      </c>
    </row>
    <row r="2587" spans="2:16" ht="15" customHeight="1">
      <c r="B2587" s="47">
        <v>2808</v>
      </c>
      <c r="C2587" s="47" t="s">
        <v>1152</v>
      </c>
      <c r="D2587" s="47" t="s">
        <v>336</v>
      </c>
      <c r="E2587" s="47" t="s">
        <v>462</v>
      </c>
      <c r="H2587" s="47" t="s">
        <v>43</v>
      </c>
      <c r="I2587" s="47" t="s">
        <v>50</v>
      </c>
      <c r="L2587" s="15" t="s">
        <v>403</v>
      </c>
      <c r="M2587" s="15" t="s">
        <v>1201</v>
      </c>
      <c r="O2587" s="47" t="s">
        <v>30</v>
      </c>
      <c r="P2587" s="47" t="s">
        <v>43</v>
      </c>
    </row>
    <row r="2588" spans="2:16" ht="15" customHeight="1">
      <c r="B2588" s="47">
        <v>2809</v>
      </c>
      <c r="C2588" s="47" t="s">
        <v>1152</v>
      </c>
      <c r="D2588" s="47" t="s">
        <v>336</v>
      </c>
      <c r="E2588" s="47" t="s">
        <v>463</v>
      </c>
      <c r="H2588" s="47" t="s">
        <v>43</v>
      </c>
      <c r="I2588" s="47" t="s">
        <v>50</v>
      </c>
      <c r="L2588" s="15" t="s">
        <v>403</v>
      </c>
      <c r="M2588" s="15" t="s">
        <v>1201</v>
      </c>
      <c r="O2588" s="47" t="s">
        <v>30</v>
      </c>
      <c r="P2588" s="47" t="s">
        <v>43</v>
      </c>
    </row>
    <row r="2589" spans="2:16" ht="15" customHeight="1">
      <c r="B2589" s="47">
        <v>2810</v>
      </c>
      <c r="C2589" s="47" t="s">
        <v>1152</v>
      </c>
      <c r="D2589" s="47" t="s">
        <v>336</v>
      </c>
      <c r="E2589" s="47" t="s">
        <v>464</v>
      </c>
      <c r="H2589" s="47" t="s">
        <v>43</v>
      </c>
      <c r="I2589" s="47" t="s">
        <v>50</v>
      </c>
      <c r="L2589" s="15" t="s">
        <v>403</v>
      </c>
      <c r="M2589" s="15" t="s">
        <v>1201</v>
      </c>
      <c r="O2589" s="47" t="s">
        <v>30</v>
      </c>
      <c r="P2589" s="47" t="s">
        <v>43</v>
      </c>
    </row>
    <row r="2590" spans="2:16" ht="15" customHeight="1">
      <c r="B2590" s="47">
        <v>2811</v>
      </c>
      <c r="C2590" s="47" t="s">
        <v>1152</v>
      </c>
      <c r="D2590" s="47" t="s">
        <v>336</v>
      </c>
      <c r="E2590" s="47" t="s">
        <v>465</v>
      </c>
      <c r="H2590" s="47" t="s">
        <v>43</v>
      </c>
      <c r="I2590" s="47" t="s">
        <v>50</v>
      </c>
      <c r="L2590" s="15" t="s">
        <v>403</v>
      </c>
      <c r="M2590" s="15" t="s">
        <v>1201</v>
      </c>
      <c r="O2590" s="47" t="s">
        <v>30</v>
      </c>
      <c r="P2590" s="47" t="s">
        <v>43</v>
      </c>
    </row>
    <row r="2591" spans="2:16" ht="15" customHeight="1">
      <c r="B2591" s="47">
        <v>2812</v>
      </c>
      <c r="C2591" s="47" t="s">
        <v>1152</v>
      </c>
      <c r="D2591" s="47" t="s">
        <v>336</v>
      </c>
      <c r="E2591" s="47" t="s">
        <v>466</v>
      </c>
      <c r="H2591" s="47" t="s">
        <v>43</v>
      </c>
      <c r="I2591" s="47" t="s">
        <v>50</v>
      </c>
      <c r="L2591" s="15" t="s">
        <v>403</v>
      </c>
      <c r="M2591" s="15" t="s">
        <v>1201</v>
      </c>
      <c r="O2591" s="47" t="s">
        <v>30</v>
      </c>
      <c r="P2591" s="47" t="s">
        <v>43</v>
      </c>
    </row>
    <row r="2592" spans="2:16" ht="15" customHeight="1">
      <c r="B2592" s="47">
        <v>2813</v>
      </c>
      <c r="C2592" s="47" t="s">
        <v>1152</v>
      </c>
      <c r="D2592" s="47" t="s">
        <v>336</v>
      </c>
      <c r="E2592" s="47" t="s">
        <v>467</v>
      </c>
      <c r="H2592" s="47" t="s">
        <v>43</v>
      </c>
      <c r="I2592" s="47" t="s">
        <v>50</v>
      </c>
      <c r="L2592" s="15" t="s">
        <v>403</v>
      </c>
      <c r="M2592" s="15" t="s">
        <v>1201</v>
      </c>
      <c r="O2592" s="47" t="s">
        <v>30</v>
      </c>
      <c r="P2592" s="47" t="s">
        <v>43</v>
      </c>
    </row>
    <row r="2593" spans="2:16" ht="15" customHeight="1">
      <c r="B2593" s="47">
        <v>2814</v>
      </c>
      <c r="C2593" s="47" t="s">
        <v>1152</v>
      </c>
      <c r="D2593" s="47" t="s">
        <v>336</v>
      </c>
      <c r="E2593" s="47" t="s">
        <v>468</v>
      </c>
      <c r="H2593" s="47" t="s">
        <v>43</v>
      </c>
      <c r="I2593" s="47" t="s">
        <v>50</v>
      </c>
      <c r="L2593" s="15" t="s">
        <v>403</v>
      </c>
      <c r="M2593" s="15" t="s">
        <v>1201</v>
      </c>
      <c r="O2593" s="47" t="s">
        <v>30</v>
      </c>
      <c r="P2593" s="47" t="s">
        <v>43</v>
      </c>
    </row>
    <row r="2594" spans="2:16" ht="15" customHeight="1">
      <c r="B2594" s="47">
        <v>2815</v>
      </c>
      <c r="C2594" s="47" t="s">
        <v>1152</v>
      </c>
      <c r="D2594" s="47" t="s">
        <v>336</v>
      </c>
      <c r="E2594" s="47" t="s">
        <v>469</v>
      </c>
      <c r="H2594" s="47" t="s">
        <v>43</v>
      </c>
      <c r="I2594" s="47" t="s">
        <v>50</v>
      </c>
      <c r="L2594" s="15" t="s">
        <v>403</v>
      </c>
      <c r="M2594" s="15" t="s">
        <v>1201</v>
      </c>
      <c r="O2594" s="47" t="s">
        <v>30</v>
      </c>
      <c r="P2594" s="47" t="s">
        <v>43</v>
      </c>
    </row>
    <row r="2595" spans="2:16" ht="15" customHeight="1">
      <c r="B2595" s="47">
        <v>2816</v>
      </c>
      <c r="C2595" s="47" t="s">
        <v>1152</v>
      </c>
      <c r="D2595" s="47" t="s">
        <v>336</v>
      </c>
      <c r="E2595" s="47" t="s">
        <v>470</v>
      </c>
      <c r="H2595" s="47" t="s">
        <v>43</v>
      </c>
      <c r="I2595" s="47" t="s">
        <v>50</v>
      </c>
      <c r="L2595" s="15" t="s">
        <v>403</v>
      </c>
      <c r="M2595" s="15" t="s">
        <v>1201</v>
      </c>
      <c r="O2595" s="47" t="s">
        <v>30</v>
      </c>
      <c r="P2595" s="47" t="s">
        <v>43</v>
      </c>
    </row>
    <row r="2596" spans="2:16" ht="15" customHeight="1">
      <c r="B2596" s="47">
        <v>2817</v>
      </c>
      <c r="C2596" s="47" t="s">
        <v>1152</v>
      </c>
      <c r="D2596" s="47" t="s">
        <v>336</v>
      </c>
      <c r="E2596" s="47" t="s">
        <v>471</v>
      </c>
      <c r="H2596" s="47" t="s">
        <v>43</v>
      </c>
      <c r="I2596" s="47" t="s">
        <v>50</v>
      </c>
      <c r="L2596" s="15" t="s">
        <v>403</v>
      </c>
      <c r="M2596" s="15" t="s">
        <v>1201</v>
      </c>
      <c r="O2596" s="47" t="s">
        <v>30</v>
      </c>
      <c r="P2596" s="47" t="s">
        <v>43</v>
      </c>
    </row>
    <row r="2597" spans="2:16" ht="15" customHeight="1">
      <c r="B2597" s="47">
        <v>2818</v>
      </c>
      <c r="C2597" s="47" t="s">
        <v>1152</v>
      </c>
      <c r="D2597" s="47" t="s">
        <v>336</v>
      </c>
      <c r="E2597" s="47" t="s">
        <v>472</v>
      </c>
      <c r="H2597" s="47" t="s">
        <v>43</v>
      </c>
      <c r="I2597" s="47" t="s">
        <v>50</v>
      </c>
      <c r="L2597" s="15" t="s">
        <v>403</v>
      </c>
      <c r="M2597" s="15" t="s">
        <v>1201</v>
      </c>
      <c r="O2597" s="47" t="s">
        <v>30</v>
      </c>
      <c r="P2597" s="47" t="s">
        <v>43</v>
      </c>
    </row>
    <row r="2598" spans="2:16" ht="15" customHeight="1">
      <c r="B2598" s="47">
        <v>2819</v>
      </c>
      <c r="C2598" s="47" t="s">
        <v>1152</v>
      </c>
      <c r="D2598" s="47" t="s">
        <v>336</v>
      </c>
      <c r="E2598" s="47" t="s">
        <v>473</v>
      </c>
      <c r="H2598" s="47" t="s">
        <v>43</v>
      </c>
      <c r="I2598" s="47" t="s">
        <v>50</v>
      </c>
      <c r="L2598" s="15" t="s">
        <v>403</v>
      </c>
      <c r="M2598" s="15" t="s">
        <v>1201</v>
      </c>
      <c r="O2598" s="47" t="s">
        <v>30</v>
      </c>
      <c r="P2598" s="47" t="s">
        <v>43</v>
      </c>
    </row>
    <row r="2599" spans="2:16" ht="15" customHeight="1">
      <c r="B2599" s="47">
        <v>2820</v>
      </c>
      <c r="C2599" s="47" t="s">
        <v>1152</v>
      </c>
      <c r="D2599" s="47" t="s">
        <v>336</v>
      </c>
      <c r="E2599" s="47" t="s">
        <v>474</v>
      </c>
      <c r="H2599" s="47" t="s">
        <v>43</v>
      </c>
      <c r="I2599" s="47" t="s">
        <v>50</v>
      </c>
      <c r="L2599" s="15" t="s">
        <v>403</v>
      </c>
      <c r="M2599" s="15" t="s">
        <v>1201</v>
      </c>
      <c r="O2599" s="47" t="s">
        <v>30</v>
      </c>
      <c r="P2599" s="47" t="s">
        <v>43</v>
      </c>
    </row>
    <row r="2600" spans="2:16" ht="15" customHeight="1">
      <c r="B2600" s="47">
        <v>2821</v>
      </c>
      <c r="C2600" s="47" t="s">
        <v>1152</v>
      </c>
      <c r="D2600" s="47" t="s">
        <v>336</v>
      </c>
      <c r="E2600" s="47" t="s">
        <v>475</v>
      </c>
      <c r="H2600" s="47" t="s">
        <v>43</v>
      </c>
      <c r="I2600" s="47" t="s">
        <v>50</v>
      </c>
      <c r="L2600" s="15" t="s">
        <v>403</v>
      </c>
      <c r="M2600" s="15" t="s">
        <v>1201</v>
      </c>
      <c r="O2600" s="47" t="s">
        <v>30</v>
      </c>
      <c r="P2600" s="47" t="s">
        <v>43</v>
      </c>
    </row>
    <row r="2601" spans="2:16" ht="15" customHeight="1">
      <c r="B2601" s="47">
        <v>2822</v>
      </c>
      <c r="C2601" s="47" t="s">
        <v>1152</v>
      </c>
      <c r="D2601" s="47" t="s">
        <v>336</v>
      </c>
      <c r="E2601" s="47" t="s">
        <v>476</v>
      </c>
      <c r="H2601" s="47" t="s">
        <v>43</v>
      </c>
      <c r="I2601" s="47" t="s">
        <v>50</v>
      </c>
      <c r="L2601" s="15" t="s">
        <v>403</v>
      </c>
      <c r="M2601" s="15" t="s">
        <v>1201</v>
      </c>
      <c r="O2601" s="47" t="s">
        <v>30</v>
      </c>
      <c r="P2601" s="47" t="s">
        <v>43</v>
      </c>
    </row>
    <row r="2602" spans="2:16" ht="15" customHeight="1">
      <c r="B2602" s="47">
        <v>2823</v>
      </c>
      <c r="C2602" s="47" t="s">
        <v>1152</v>
      </c>
      <c r="D2602" s="47" t="s">
        <v>336</v>
      </c>
      <c r="E2602" s="47" t="s">
        <v>1187</v>
      </c>
      <c r="H2602" s="47" t="s">
        <v>43</v>
      </c>
      <c r="I2602" s="47" t="s">
        <v>50</v>
      </c>
      <c r="L2602" s="47" t="s">
        <v>1202</v>
      </c>
      <c r="M2602" s="47" t="s">
        <v>1203</v>
      </c>
      <c r="O2602" s="47" t="s">
        <v>30</v>
      </c>
      <c r="P2602" s="47" t="s">
        <v>43</v>
      </c>
    </row>
    <row r="2603" spans="2:16" ht="15" customHeight="1">
      <c r="B2603" s="47">
        <v>2824</v>
      </c>
      <c r="C2603" s="47" t="s">
        <v>1152</v>
      </c>
      <c r="D2603" s="47" t="s">
        <v>336</v>
      </c>
      <c r="E2603" s="47" t="s">
        <v>1188</v>
      </c>
      <c r="H2603" s="47" t="s">
        <v>43</v>
      </c>
      <c r="I2603" s="47" t="s">
        <v>50</v>
      </c>
      <c r="L2603" s="47" t="s">
        <v>330</v>
      </c>
      <c r="M2603" s="47" t="s">
        <v>1035</v>
      </c>
      <c r="N2603" s="47" t="s">
        <v>1204</v>
      </c>
      <c r="O2603" s="47" t="s">
        <v>30</v>
      </c>
      <c r="P2603" s="47" t="s">
        <v>43</v>
      </c>
    </row>
    <row r="2604" spans="2:16" ht="15" customHeight="1">
      <c r="B2604" s="47">
        <v>2825</v>
      </c>
      <c r="C2604" s="47" t="s">
        <v>1152</v>
      </c>
      <c r="D2604" s="47" t="s">
        <v>336</v>
      </c>
      <c r="E2604" s="47" t="s">
        <v>1189</v>
      </c>
      <c r="H2604" s="47" t="s">
        <v>43</v>
      </c>
      <c r="I2604" s="47" t="s">
        <v>50</v>
      </c>
      <c r="L2604" s="47" t="s">
        <v>330</v>
      </c>
      <c r="M2604" s="47" t="s">
        <v>1035</v>
      </c>
      <c r="N2604" s="47" t="s">
        <v>1205</v>
      </c>
      <c r="O2604" s="47" t="s">
        <v>30</v>
      </c>
      <c r="P2604" s="47" t="s">
        <v>43</v>
      </c>
    </row>
    <row r="2605" spans="2:16" ht="15" customHeight="1">
      <c r="B2605" s="47">
        <v>2826</v>
      </c>
      <c r="C2605" s="47" t="s">
        <v>1152</v>
      </c>
      <c r="D2605" s="47" t="s">
        <v>336</v>
      </c>
      <c r="E2605" s="47" t="s">
        <v>1190</v>
      </c>
      <c r="H2605" s="47" t="s">
        <v>43</v>
      </c>
      <c r="I2605" s="47" t="s">
        <v>50</v>
      </c>
      <c r="M2605" s="47" t="s">
        <v>229</v>
      </c>
      <c r="O2605" s="47" t="s">
        <v>30</v>
      </c>
      <c r="P2605" s="47" t="s">
        <v>43</v>
      </c>
    </row>
    <row r="2606" spans="2:16" ht="15" customHeight="1">
      <c r="B2606" s="47">
        <v>2827</v>
      </c>
      <c r="C2606" s="47" t="s">
        <v>1152</v>
      </c>
      <c r="D2606" s="47" t="s">
        <v>336</v>
      </c>
      <c r="E2606" s="47" t="s">
        <v>1191</v>
      </c>
      <c r="H2606" s="47" t="s">
        <v>43</v>
      </c>
      <c r="I2606" s="47" t="s">
        <v>50</v>
      </c>
      <c r="M2606" s="47" t="s">
        <v>229</v>
      </c>
      <c r="O2606" s="47" t="s">
        <v>30</v>
      </c>
      <c r="P2606" s="47" t="s">
        <v>43</v>
      </c>
    </row>
    <row r="2607" spans="2:16" ht="15" customHeight="1">
      <c r="B2607" s="47">
        <v>2828</v>
      </c>
      <c r="C2607" s="47" t="s">
        <v>1152</v>
      </c>
      <c r="D2607" s="47" t="s">
        <v>336</v>
      </c>
      <c r="E2607" s="47" t="s">
        <v>1192</v>
      </c>
      <c r="H2607" s="47" t="s">
        <v>43</v>
      </c>
      <c r="I2607" s="47" t="s">
        <v>50</v>
      </c>
      <c r="M2607" s="47" t="s">
        <v>229</v>
      </c>
      <c r="O2607" s="47" t="s">
        <v>30</v>
      </c>
      <c r="P2607" s="47" t="s">
        <v>43</v>
      </c>
    </row>
    <row r="2608" spans="2:16" ht="15" customHeight="1">
      <c r="B2608" s="47">
        <v>2829</v>
      </c>
      <c r="C2608" s="47" t="s">
        <v>1152</v>
      </c>
      <c r="D2608" s="47" t="s">
        <v>336</v>
      </c>
      <c r="E2608" s="47" t="s">
        <v>1193</v>
      </c>
      <c r="H2608" s="47" t="s">
        <v>43</v>
      </c>
      <c r="I2608" s="47" t="s">
        <v>50</v>
      </c>
      <c r="M2608" s="47" t="s">
        <v>229</v>
      </c>
      <c r="O2608" s="47" t="s">
        <v>30</v>
      </c>
      <c r="P2608" s="47" t="s">
        <v>43</v>
      </c>
    </row>
    <row r="2609" spans="2:16" ht="15" customHeight="1">
      <c r="B2609" s="47">
        <v>2830</v>
      </c>
      <c r="C2609" s="47" t="s">
        <v>1152</v>
      </c>
      <c r="D2609" s="47" t="s">
        <v>336</v>
      </c>
      <c r="E2609" s="47" t="s">
        <v>1194</v>
      </c>
      <c r="H2609" s="47" t="s">
        <v>43</v>
      </c>
      <c r="I2609" s="47" t="s">
        <v>50</v>
      </c>
      <c r="M2609" s="47" t="s">
        <v>229</v>
      </c>
      <c r="O2609" s="47" t="s">
        <v>30</v>
      </c>
      <c r="P2609" s="47" t="s">
        <v>43</v>
      </c>
    </row>
    <row r="2610" spans="2:16" ht="15" customHeight="1">
      <c r="B2610" s="47">
        <v>2831</v>
      </c>
      <c r="C2610" s="47" t="s">
        <v>1152</v>
      </c>
      <c r="D2610" s="47" t="s">
        <v>336</v>
      </c>
      <c r="E2610" s="47" t="s">
        <v>1195</v>
      </c>
      <c r="H2610" s="47" t="s">
        <v>43</v>
      </c>
      <c r="I2610" s="47" t="s">
        <v>50</v>
      </c>
      <c r="M2610" s="47" t="s">
        <v>229</v>
      </c>
      <c r="O2610" s="47" t="s">
        <v>30</v>
      </c>
      <c r="P2610" s="47" t="s">
        <v>43</v>
      </c>
    </row>
    <row r="2611" spans="2:16" ht="15" customHeight="1">
      <c r="B2611" s="47">
        <v>2832</v>
      </c>
      <c r="C2611" s="47" t="s">
        <v>1152</v>
      </c>
      <c r="D2611" s="47" t="s">
        <v>336</v>
      </c>
      <c r="E2611" s="47" t="s">
        <v>1196</v>
      </c>
      <c r="H2611" s="47" t="s">
        <v>43</v>
      </c>
      <c r="I2611" s="47" t="s">
        <v>50</v>
      </c>
      <c r="M2611" s="47" t="s">
        <v>229</v>
      </c>
      <c r="O2611" s="47" t="s">
        <v>30</v>
      </c>
      <c r="P2611" s="47" t="s">
        <v>43</v>
      </c>
    </row>
    <row r="2612" spans="2:16" ht="15" customHeight="1">
      <c r="B2612" s="47">
        <v>2833</v>
      </c>
      <c r="C2612" s="47" t="s">
        <v>1152</v>
      </c>
      <c r="D2612" s="47" t="s">
        <v>336</v>
      </c>
      <c r="E2612" s="47" t="s">
        <v>1197</v>
      </c>
      <c r="H2612" s="47" t="s">
        <v>43</v>
      </c>
      <c r="I2612" s="47" t="s">
        <v>50</v>
      </c>
      <c r="M2612" s="47" t="s">
        <v>229</v>
      </c>
      <c r="N2612" s="47" t="s">
        <v>354</v>
      </c>
      <c r="O2612" s="47" t="s">
        <v>30</v>
      </c>
      <c r="P2612" s="47" t="s">
        <v>43</v>
      </c>
    </row>
    <row r="2613" spans="2:16" ht="15" customHeight="1">
      <c r="B2613" s="47">
        <v>2834</v>
      </c>
      <c r="C2613" s="47" t="s">
        <v>1152</v>
      </c>
      <c r="D2613" s="47" t="s">
        <v>336</v>
      </c>
      <c r="E2613" s="47" t="s">
        <v>1198</v>
      </c>
      <c r="H2613" s="47" t="s">
        <v>43</v>
      </c>
      <c r="I2613" s="47" t="s">
        <v>50</v>
      </c>
      <c r="M2613" s="47" t="s">
        <v>229</v>
      </c>
      <c r="N2613" s="47" t="s">
        <v>354</v>
      </c>
      <c r="O2613" s="47" t="s">
        <v>30</v>
      </c>
      <c r="P2613" s="47" t="s">
        <v>43</v>
      </c>
    </row>
    <row r="2614" spans="2:16" ht="15" customHeight="1">
      <c r="B2614" s="47">
        <v>2835</v>
      </c>
      <c r="C2614" s="47" t="s">
        <v>1152</v>
      </c>
      <c r="D2614" s="47" t="s">
        <v>336</v>
      </c>
      <c r="E2614" s="47" t="s">
        <v>1199</v>
      </c>
      <c r="H2614" s="47" t="s">
        <v>43</v>
      </c>
      <c r="I2614" s="47" t="s">
        <v>50</v>
      </c>
      <c r="M2614" s="47" t="s">
        <v>229</v>
      </c>
      <c r="N2614" s="47" t="s">
        <v>354</v>
      </c>
      <c r="O2614" s="47" t="s">
        <v>30</v>
      </c>
      <c r="P2614" s="47" t="s">
        <v>43</v>
      </c>
    </row>
    <row r="2615" spans="2:16" ht="15" customHeight="1">
      <c r="B2615" s="47">
        <v>2836</v>
      </c>
      <c r="C2615" s="47" t="s">
        <v>1152</v>
      </c>
      <c r="D2615" s="47" t="s">
        <v>336</v>
      </c>
      <c r="E2615" s="47" t="s">
        <v>1192</v>
      </c>
      <c r="H2615" s="47" t="s">
        <v>43</v>
      </c>
      <c r="I2615" s="47" t="s">
        <v>50</v>
      </c>
      <c r="M2615" s="47" t="s">
        <v>229</v>
      </c>
      <c r="N2615" s="47" t="s">
        <v>354</v>
      </c>
      <c r="O2615" s="47" t="s">
        <v>30</v>
      </c>
      <c r="P2615" s="47" t="s">
        <v>43</v>
      </c>
    </row>
    <row r="2616" spans="2:16" ht="15" customHeight="1">
      <c r="B2616" s="47">
        <v>2837</v>
      </c>
      <c r="C2616" s="47" t="s">
        <v>1152</v>
      </c>
      <c r="D2616" s="47" t="s">
        <v>336</v>
      </c>
      <c r="E2616" s="47" t="s">
        <v>1191</v>
      </c>
      <c r="H2616" s="47" t="s">
        <v>43</v>
      </c>
      <c r="I2616" s="47" t="s">
        <v>50</v>
      </c>
      <c r="M2616" s="47" t="s">
        <v>229</v>
      </c>
      <c r="N2616" s="47" t="s">
        <v>354</v>
      </c>
      <c r="O2616" s="47" t="s">
        <v>30</v>
      </c>
      <c r="P2616" s="47" t="s">
        <v>43</v>
      </c>
    </row>
    <row r="2617" spans="2:16" ht="15" customHeight="1">
      <c r="B2617" s="47">
        <v>2838</v>
      </c>
      <c r="C2617" s="47" t="s">
        <v>1152</v>
      </c>
      <c r="D2617" s="47" t="s">
        <v>336</v>
      </c>
      <c r="E2617" s="47" t="s">
        <v>1190</v>
      </c>
      <c r="H2617" s="47" t="s">
        <v>43</v>
      </c>
      <c r="I2617" s="47" t="s">
        <v>50</v>
      </c>
      <c r="M2617" s="47" t="s">
        <v>229</v>
      </c>
      <c r="N2617" s="47" t="s">
        <v>354</v>
      </c>
      <c r="O2617" s="47" t="s">
        <v>30</v>
      </c>
      <c r="P2617" s="47" t="s">
        <v>43</v>
      </c>
    </row>
    <row r="2618" spans="2:16" ht="15" customHeight="1">
      <c r="B2618" s="47">
        <v>2839</v>
      </c>
      <c r="C2618" s="47" t="s">
        <v>1152</v>
      </c>
      <c r="D2618" s="47" t="s">
        <v>336</v>
      </c>
      <c r="E2618" s="47" t="s">
        <v>416</v>
      </c>
      <c r="H2618" s="47" t="s">
        <v>43</v>
      </c>
      <c r="I2618" s="47" t="s">
        <v>50</v>
      </c>
      <c r="L2618" s="47" t="s">
        <v>536</v>
      </c>
      <c r="M2618" s="47" t="s">
        <v>417</v>
      </c>
      <c r="O2618" s="47" t="s">
        <v>30</v>
      </c>
      <c r="P2618" s="47" t="s">
        <v>43</v>
      </c>
    </row>
    <row r="2619" spans="2:16" ht="15" customHeight="1">
      <c r="B2619" s="47">
        <v>2840</v>
      </c>
      <c r="C2619" s="47" t="s">
        <v>1152</v>
      </c>
      <c r="D2619" s="47" t="s">
        <v>336</v>
      </c>
      <c r="E2619" s="47" t="s">
        <v>418</v>
      </c>
      <c r="H2619" s="47" t="s">
        <v>43</v>
      </c>
      <c r="I2619" s="47" t="s">
        <v>50</v>
      </c>
      <c r="L2619" s="47" t="s">
        <v>536</v>
      </c>
      <c r="M2619" s="47" t="s">
        <v>417</v>
      </c>
      <c r="O2619" s="47" t="s">
        <v>30</v>
      </c>
      <c r="P2619" s="47" t="s">
        <v>43</v>
      </c>
    </row>
    <row r="2620" spans="2:16" ht="15" customHeight="1">
      <c r="B2620" s="47">
        <v>2841</v>
      </c>
      <c r="C2620" s="47" t="s">
        <v>1152</v>
      </c>
      <c r="D2620" s="47" t="s">
        <v>336</v>
      </c>
      <c r="E2620" s="47" t="s">
        <v>419</v>
      </c>
      <c r="H2620" s="47" t="s">
        <v>43</v>
      </c>
      <c r="I2620" s="47" t="s">
        <v>50</v>
      </c>
      <c r="L2620" s="47" t="s">
        <v>536</v>
      </c>
      <c r="M2620" s="47" t="s">
        <v>417</v>
      </c>
      <c r="O2620" s="47" t="s">
        <v>30</v>
      </c>
      <c r="P2620" s="47" t="s">
        <v>43</v>
      </c>
    </row>
    <row r="2621" spans="2:16" ht="15" customHeight="1">
      <c r="B2621" s="47">
        <v>2842</v>
      </c>
      <c r="C2621" s="47" t="s">
        <v>1152</v>
      </c>
      <c r="D2621" s="47" t="s">
        <v>336</v>
      </c>
      <c r="E2621" s="47" t="s">
        <v>1183</v>
      </c>
      <c r="H2621" s="47" t="s">
        <v>43</v>
      </c>
      <c r="I2621" s="47" t="s">
        <v>50</v>
      </c>
      <c r="L2621" s="47" t="s">
        <v>536</v>
      </c>
      <c r="M2621" s="47" t="s">
        <v>417</v>
      </c>
      <c r="O2621" s="47" t="s">
        <v>30</v>
      </c>
      <c r="P2621" s="47" t="s">
        <v>43</v>
      </c>
    </row>
    <row r="2622" spans="2:16" ht="15" customHeight="1">
      <c r="B2622" s="47">
        <v>2843</v>
      </c>
      <c r="C2622" s="47" t="s">
        <v>1152</v>
      </c>
      <c r="D2622" s="47" t="s">
        <v>336</v>
      </c>
      <c r="E2622" s="47" t="s">
        <v>1184</v>
      </c>
      <c r="H2622" s="47" t="s">
        <v>43</v>
      </c>
      <c r="I2622" s="47" t="s">
        <v>50</v>
      </c>
      <c r="L2622" s="47" t="s">
        <v>536</v>
      </c>
      <c r="M2622" s="47" t="s">
        <v>417</v>
      </c>
      <c r="O2622" s="47" t="s">
        <v>30</v>
      </c>
      <c r="P2622" s="47" t="s">
        <v>43</v>
      </c>
    </row>
    <row r="2623" spans="2:16" ht="15" customHeight="1">
      <c r="B2623" s="47">
        <v>2844</v>
      </c>
      <c r="C2623" s="47" t="s">
        <v>1152</v>
      </c>
      <c r="D2623" s="47" t="s">
        <v>336</v>
      </c>
      <c r="E2623" s="47" t="s">
        <v>422</v>
      </c>
      <c r="H2623" s="47" t="s">
        <v>43</v>
      </c>
      <c r="I2623" s="47" t="s">
        <v>50</v>
      </c>
      <c r="L2623" s="47" t="s">
        <v>536</v>
      </c>
      <c r="M2623" s="47" t="s">
        <v>417</v>
      </c>
      <c r="O2623" s="47" t="s">
        <v>30</v>
      </c>
      <c r="P2623" s="47" t="s">
        <v>43</v>
      </c>
    </row>
    <row r="2624" spans="2:16" ht="15" customHeight="1">
      <c r="B2624" s="47">
        <v>2845</v>
      </c>
      <c r="C2624" s="47" t="s">
        <v>1152</v>
      </c>
      <c r="D2624" s="47" t="s">
        <v>336</v>
      </c>
      <c r="E2624" s="47" t="s">
        <v>1185</v>
      </c>
      <c r="H2624" s="47" t="s">
        <v>43</v>
      </c>
      <c r="I2624" s="47" t="s">
        <v>50</v>
      </c>
      <c r="L2624" s="47" t="s">
        <v>536</v>
      </c>
      <c r="M2624" s="47" t="s">
        <v>417</v>
      </c>
      <c r="N2624" s="47" t="s">
        <v>354</v>
      </c>
      <c r="O2624" s="47" t="s">
        <v>30</v>
      </c>
      <c r="P2624" s="47" t="s">
        <v>43</v>
      </c>
    </row>
    <row r="2625" spans="2:16" ht="15" customHeight="1">
      <c r="B2625" s="47">
        <v>2846</v>
      </c>
      <c r="C2625" s="47" t="s">
        <v>1152</v>
      </c>
      <c r="D2625" s="47" t="s">
        <v>336</v>
      </c>
      <c r="E2625" s="47" t="s">
        <v>1186</v>
      </c>
      <c r="H2625" s="47" t="s">
        <v>43</v>
      </c>
      <c r="I2625" s="47" t="s">
        <v>50</v>
      </c>
      <c r="L2625" s="47" t="s">
        <v>536</v>
      </c>
      <c r="M2625" s="47" t="s">
        <v>417</v>
      </c>
      <c r="N2625" s="47" t="s">
        <v>354</v>
      </c>
      <c r="O2625" s="47" t="s">
        <v>30</v>
      </c>
      <c r="P2625" s="47" t="s">
        <v>43</v>
      </c>
    </row>
    <row r="2626" spans="2:16" ht="15" customHeight="1">
      <c r="B2626" s="47">
        <v>2847</v>
      </c>
      <c r="C2626" s="47" t="s">
        <v>1152</v>
      </c>
      <c r="D2626" s="47" t="s">
        <v>336</v>
      </c>
      <c r="E2626" s="47" t="s">
        <v>421</v>
      </c>
      <c r="H2626" s="47" t="s">
        <v>43</v>
      </c>
      <c r="I2626" s="47" t="s">
        <v>50</v>
      </c>
      <c r="L2626" s="47" t="s">
        <v>536</v>
      </c>
      <c r="M2626" s="47" t="s">
        <v>417</v>
      </c>
      <c r="N2626" s="47" t="s">
        <v>354</v>
      </c>
      <c r="O2626" s="47" t="s">
        <v>30</v>
      </c>
      <c r="P2626" s="47" t="s">
        <v>43</v>
      </c>
    </row>
    <row r="2627" spans="2:16" ht="15" customHeight="1">
      <c r="B2627" s="47">
        <v>2848</v>
      </c>
      <c r="C2627" s="47" t="s">
        <v>1152</v>
      </c>
      <c r="D2627" s="47" t="s">
        <v>336</v>
      </c>
      <c r="E2627" s="47" t="s">
        <v>420</v>
      </c>
      <c r="H2627" s="47" t="s">
        <v>43</v>
      </c>
      <c r="I2627" s="47" t="s">
        <v>50</v>
      </c>
      <c r="L2627" s="47" t="s">
        <v>536</v>
      </c>
      <c r="M2627" s="47" t="s">
        <v>417</v>
      </c>
      <c r="N2627" s="47" t="s">
        <v>354</v>
      </c>
      <c r="O2627" s="47" t="s">
        <v>30</v>
      </c>
      <c r="P2627" s="47" t="s">
        <v>43</v>
      </c>
    </row>
    <row r="2628" spans="2:16" ht="15" customHeight="1">
      <c r="B2628" s="47">
        <v>2849</v>
      </c>
      <c r="C2628" s="47" t="s">
        <v>1152</v>
      </c>
      <c r="D2628" s="47" t="s">
        <v>336</v>
      </c>
      <c r="E2628" s="47" t="s">
        <v>419</v>
      </c>
      <c r="H2628" s="47" t="s">
        <v>43</v>
      </c>
      <c r="I2628" s="47" t="s">
        <v>50</v>
      </c>
      <c r="L2628" s="47" t="s">
        <v>536</v>
      </c>
      <c r="M2628" s="47" t="s">
        <v>417</v>
      </c>
      <c r="N2628" s="47" t="s">
        <v>354</v>
      </c>
      <c r="O2628" s="47" t="s">
        <v>30</v>
      </c>
      <c r="P2628" s="47" t="s">
        <v>43</v>
      </c>
    </row>
    <row r="2629" spans="2:16" ht="15" customHeight="1">
      <c r="B2629" s="47">
        <v>2850</v>
      </c>
      <c r="C2629" s="47" t="s">
        <v>1152</v>
      </c>
      <c r="D2629" s="47" t="s">
        <v>336</v>
      </c>
      <c r="E2629" s="47" t="s">
        <v>418</v>
      </c>
      <c r="H2629" s="47" t="s">
        <v>43</v>
      </c>
      <c r="I2629" s="47" t="s">
        <v>50</v>
      </c>
      <c r="L2629" s="47" t="s">
        <v>536</v>
      </c>
      <c r="M2629" s="47" t="s">
        <v>417</v>
      </c>
      <c r="N2629" s="47" t="s">
        <v>354</v>
      </c>
      <c r="O2629" s="47" t="s">
        <v>30</v>
      </c>
      <c r="P2629" s="47" t="s">
        <v>43</v>
      </c>
    </row>
    <row r="2630" spans="2:16" ht="15" customHeight="1">
      <c r="B2630" s="47">
        <v>2851</v>
      </c>
      <c r="C2630" s="47" t="s">
        <v>1200</v>
      </c>
      <c r="D2630" s="47" t="s">
        <v>336</v>
      </c>
      <c r="E2630" s="47" t="s">
        <v>416</v>
      </c>
      <c r="H2630" s="47" t="s">
        <v>43</v>
      </c>
      <c r="I2630" s="47" t="s">
        <v>50</v>
      </c>
    </row>
    <row r="2631" spans="2:16" ht="15" customHeight="1">
      <c r="B2631" s="47">
        <v>2915</v>
      </c>
      <c r="C2631" s="47" t="s">
        <v>949</v>
      </c>
      <c r="D2631" s="47" t="s">
        <v>171</v>
      </c>
      <c r="E2631" s="47" t="s">
        <v>1098</v>
      </c>
      <c r="H2631" s="47" t="s">
        <v>30</v>
      </c>
      <c r="M2631" s="15" t="s">
        <v>1115</v>
      </c>
      <c r="N2631" s="47" t="s">
        <v>1116</v>
      </c>
      <c r="O2631" s="47" t="s">
        <v>30</v>
      </c>
    </row>
    <row r="2632" spans="2:16" ht="15" customHeight="1">
      <c r="B2632" s="47">
        <v>2926</v>
      </c>
      <c r="C2632" s="47" t="s">
        <v>1206</v>
      </c>
      <c r="D2632" s="47" t="s">
        <v>224</v>
      </c>
      <c r="E2632" s="47" t="s">
        <v>222</v>
      </c>
      <c r="H2632" s="47" t="s">
        <v>43</v>
      </c>
      <c r="I2632" s="47" t="s">
        <v>50</v>
      </c>
      <c r="M2632" s="47" t="s">
        <v>223</v>
      </c>
    </row>
    <row r="2633" spans="2:16" ht="15" customHeight="1">
      <c r="B2633" s="47">
        <v>2927</v>
      </c>
      <c r="C2633" s="47" t="s">
        <v>1207</v>
      </c>
      <c r="D2633" s="47" t="s">
        <v>224</v>
      </c>
      <c r="E2633" s="47" t="s">
        <v>225</v>
      </c>
      <c r="H2633" s="47" t="s">
        <v>43</v>
      </c>
      <c r="I2633" s="47" t="s">
        <v>50</v>
      </c>
      <c r="L2633" s="47" t="s">
        <v>536</v>
      </c>
      <c r="M2633" s="47" t="s">
        <v>417</v>
      </c>
      <c r="N2633" s="47" t="s">
        <v>1208</v>
      </c>
      <c r="O2633" s="47" t="s">
        <v>30</v>
      </c>
      <c r="P2633" s="47" t="s">
        <v>43</v>
      </c>
    </row>
    <row r="2634" spans="2:16" ht="15" customHeight="1">
      <c r="B2634" s="47">
        <v>2928</v>
      </c>
      <c r="C2634" s="47" t="s">
        <v>1207</v>
      </c>
      <c r="D2634" s="47" t="s">
        <v>224</v>
      </c>
      <c r="E2634" s="47" t="s">
        <v>225</v>
      </c>
      <c r="H2634" s="47" t="s">
        <v>43</v>
      </c>
      <c r="I2634" s="47" t="s">
        <v>50</v>
      </c>
      <c r="L2634" s="47" t="s">
        <v>536</v>
      </c>
      <c r="M2634" s="47" t="s">
        <v>417</v>
      </c>
      <c r="N2634" s="47" t="s">
        <v>1208</v>
      </c>
      <c r="O2634" s="47" t="s">
        <v>30</v>
      </c>
      <c r="P2634" s="47" t="s">
        <v>43</v>
      </c>
    </row>
    <row r="2635" spans="2:16" ht="15" customHeight="1">
      <c r="B2635" s="47">
        <v>2929</v>
      </c>
      <c r="C2635" s="47" t="s">
        <v>1207</v>
      </c>
      <c r="D2635" s="47" t="s">
        <v>224</v>
      </c>
      <c r="E2635" s="47" t="s">
        <v>227</v>
      </c>
      <c r="H2635" s="47" t="s">
        <v>43</v>
      </c>
      <c r="I2635" s="47" t="s">
        <v>50</v>
      </c>
      <c r="L2635" s="47" t="s">
        <v>536</v>
      </c>
      <c r="M2635" s="47" t="s">
        <v>417</v>
      </c>
      <c r="N2635" s="47" t="s">
        <v>1208</v>
      </c>
      <c r="O2635" s="47" t="s">
        <v>30</v>
      </c>
      <c r="P2635" s="47" t="s">
        <v>43</v>
      </c>
    </row>
    <row r="2636" spans="2:16" ht="15" customHeight="1">
      <c r="B2636" s="47">
        <v>2930</v>
      </c>
      <c r="C2636" s="47" t="s">
        <v>1207</v>
      </c>
      <c r="D2636" s="47" t="s">
        <v>224</v>
      </c>
      <c r="E2636" s="47" t="s">
        <v>227</v>
      </c>
      <c r="H2636" s="47" t="s">
        <v>43</v>
      </c>
      <c r="I2636" s="47" t="s">
        <v>50</v>
      </c>
      <c r="L2636" s="47" t="s">
        <v>536</v>
      </c>
      <c r="M2636" s="47" t="s">
        <v>417</v>
      </c>
      <c r="N2636" s="47" t="s">
        <v>1208</v>
      </c>
      <c r="O2636" s="47" t="s">
        <v>30</v>
      </c>
      <c r="P2636" s="47" t="s">
        <v>43</v>
      </c>
    </row>
    <row r="2637" spans="2:16" ht="15" customHeight="1">
      <c r="B2637" s="47">
        <v>2931</v>
      </c>
      <c r="C2637" s="47" t="s">
        <v>1207</v>
      </c>
      <c r="D2637" s="47" t="s">
        <v>224</v>
      </c>
      <c r="E2637" s="47" t="s">
        <v>267</v>
      </c>
      <c r="H2637" s="47" t="s">
        <v>43</v>
      </c>
      <c r="I2637" s="47" t="s">
        <v>50</v>
      </c>
      <c r="L2637" s="47" t="s">
        <v>536</v>
      </c>
      <c r="M2637" s="47" t="s">
        <v>371</v>
      </c>
      <c r="N2637" s="47" t="s">
        <v>1208</v>
      </c>
      <c r="O2637" s="47" t="s">
        <v>30</v>
      </c>
      <c r="P2637" s="47" t="s">
        <v>43</v>
      </c>
    </row>
    <row r="2638" spans="2:16" ht="15" customHeight="1">
      <c r="B2638" s="47">
        <v>2932</v>
      </c>
      <c r="C2638" s="47" t="s">
        <v>1207</v>
      </c>
      <c r="D2638" s="47" t="s">
        <v>224</v>
      </c>
      <c r="E2638" s="16" t="s">
        <v>1103</v>
      </c>
      <c r="H2638" s="47" t="s">
        <v>43</v>
      </c>
      <c r="I2638" s="47" t="s">
        <v>50</v>
      </c>
      <c r="L2638" s="47" t="s">
        <v>536</v>
      </c>
      <c r="M2638" s="47" t="s">
        <v>371</v>
      </c>
      <c r="N2638" s="47" t="s">
        <v>1208</v>
      </c>
      <c r="O2638" s="47" t="s">
        <v>30</v>
      </c>
      <c r="P2638" s="47" t="s">
        <v>43</v>
      </c>
    </row>
    <row r="2639" spans="2:16" ht="15" customHeight="1">
      <c r="B2639" s="47">
        <v>2933</v>
      </c>
      <c r="C2639" s="47" t="s">
        <v>1207</v>
      </c>
      <c r="D2639" s="47" t="s">
        <v>224</v>
      </c>
      <c r="E2639" s="47" t="s">
        <v>228</v>
      </c>
      <c r="H2639" s="47" t="s">
        <v>43</v>
      </c>
      <c r="I2639" s="47" t="s">
        <v>50</v>
      </c>
      <c r="M2639" s="47" t="s">
        <v>371</v>
      </c>
      <c r="N2639" s="47" t="s">
        <v>1208</v>
      </c>
      <c r="O2639" s="47" t="s">
        <v>30</v>
      </c>
      <c r="P2639" s="47" t="s">
        <v>43</v>
      </c>
    </row>
    <row r="2640" spans="2:16" ht="15" customHeight="1">
      <c r="B2640" s="47">
        <v>2934</v>
      </c>
      <c r="C2640" s="47" t="s">
        <v>1207</v>
      </c>
      <c r="D2640" s="47" t="s">
        <v>224</v>
      </c>
      <c r="E2640" s="47" t="s">
        <v>519</v>
      </c>
      <c r="H2640" s="47" t="s">
        <v>43</v>
      </c>
      <c r="I2640" s="47" t="s">
        <v>50</v>
      </c>
      <c r="L2640" s="47" t="s">
        <v>1147</v>
      </c>
      <c r="M2640" s="47" t="s">
        <v>404</v>
      </c>
      <c r="N2640" s="47" t="s">
        <v>1208</v>
      </c>
      <c r="O2640" s="47" t="s">
        <v>30</v>
      </c>
      <c r="P2640" s="47" t="s">
        <v>43</v>
      </c>
    </row>
    <row r="2641" spans="2:16" ht="15" customHeight="1">
      <c r="B2641" s="47">
        <v>2935</v>
      </c>
      <c r="C2641" s="47" t="s">
        <v>1207</v>
      </c>
      <c r="D2641" s="47" t="s">
        <v>224</v>
      </c>
      <c r="E2641" s="47" t="s">
        <v>522</v>
      </c>
      <c r="H2641" s="47" t="s">
        <v>43</v>
      </c>
      <c r="I2641" s="47" t="s">
        <v>50</v>
      </c>
      <c r="L2641" s="47" t="s">
        <v>1149</v>
      </c>
      <c r="M2641" s="47" t="s">
        <v>292</v>
      </c>
      <c r="N2641" s="47" t="s">
        <v>1208</v>
      </c>
      <c r="O2641" s="47" t="s">
        <v>30</v>
      </c>
      <c r="P2641" s="47" t="s">
        <v>43</v>
      </c>
    </row>
    <row r="2642" spans="2:16" ht="15" customHeight="1">
      <c r="B2642" s="47">
        <v>2936</v>
      </c>
      <c r="C2642" s="47" t="s">
        <v>1207</v>
      </c>
      <c r="D2642" s="47" t="s">
        <v>224</v>
      </c>
      <c r="E2642" s="47" t="s">
        <v>1097</v>
      </c>
      <c r="H2642" s="47" t="s">
        <v>43</v>
      </c>
      <c r="I2642" s="47" t="s">
        <v>50</v>
      </c>
      <c r="L2642" s="47" t="s">
        <v>531</v>
      </c>
      <c r="M2642" s="47" t="s">
        <v>292</v>
      </c>
      <c r="N2642" s="47" t="s">
        <v>1208</v>
      </c>
      <c r="O2642" s="47" t="s">
        <v>30</v>
      </c>
      <c r="P2642" s="47" t="s">
        <v>43</v>
      </c>
    </row>
    <row r="2643" spans="2:16" ht="15" customHeight="1">
      <c r="B2643" s="47">
        <v>2937</v>
      </c>
      <c r="C2643" s="47" t="s">
        <v>1207</v>
      </c>
      <c r="D2643" s="47" t="s">
        <v>224</v>
      </c>
      <c r="E2643" s="47" t="s">
        <v>225</v>
      </c>
      <c r="H2643" s="47" t="s">
        <v>43</v>
      </c>
      <c r="I2643" s="47" t="s">
        <v>50</v>
      </c>
      <c r="L2643" s="47" t="s">
        <v>536</v>
      </c>
      <c r="M2643" s="47" t="s">
        <v>417</v>
      </c>
      <c r="N2643" s="47" t="s">
        <v>1150</v>
      </c>
      <c r="O2643" s="47" t="s">
        <v>30</v>
      </c>
      <c r="P2643" s="47" t="s">
        <v>43</v>
      </c>
    </row>
    <row r="2644" spans="2:16" ht="15" customHeight="1">
      <c r="B2644" s="47">
        <v>2938</v>
      </c>
      <c r="C2644" s="47" t="s">
        <v>1207</v>
      </c>
      <c r="D2644" s="47" t="s">
        <v>224</v>
      </c>
      <c r="E2644" s="47" t="s">
        <v>225</v>
      </c>
      <c r="H2644" s="47" t="s">
        <v>43</v>
      </c>
      <c r="I2644" s="47" t="s">
        <v>50</v>
      </c>
      <c r="L2644" s="47" t="s">
        <v>536</v>
      </c>
      <c r="M2644" s="47" t="s">
        <v>417</v>
      </c>
      <c r="N2644" s="47" t="s">
        <v>1150</v>
      </c>
      <c r="O2644" s="47" t="s">
        <v>30</v>
      </c>
      <c r="P2644" s="47" t="s">
        <v>43</v>
      </c>
    </row>
    <row r="2645" spans="2:16" ht="15" customHeight="1">
      <c r="B2645" s="47">
        <v>2939</v>
      </c>
      <c r="C2645" s="47" t="s">
        <v>1207</v>
      </c>
      <c r="D2645" s="47" t="s">
        <v>224</v>
      </c>
      <c r="E2645" s="47" t="s">
        <v>227</v>
      </c>
      <c r="H2645" s="47" t="s">
        <v>43</v>
      </c>
      <c r="I2645" s="47" t="s">
        <v>50</v>
      </c>
      <c r="L2645" s="47" t="s">
        <v>536</v>
      </c>
      <c r="M2645" s="47" t="s">
        <v>417</v>
      </c>
      <c r="N2645" s="47" t="s">
        <v>1150</v>
      </c>
      <c r="O2645" s="47" t="s">
        <v>30</v>
      </c>
      <c r="P2645" s="47" t="s">
        <v>43</v>
      </c>
    </row>
    <row r="2646" spans="2:16" ht="15" customHeight="1">
      <c r="B2646" s="47">
        <v>2940</v>
      </c>
      <c r="C2646" s="47" t="s">
        <v>1207</v>
      </c>
      <c r="D2646" s="47" t="s">
        <v>224</v>
      </c>
      <c r="E2646" s="47" t="s">
        <v>227</v>
      </c>
      <c r="H2646" s="47" t="s">
        <v>43</v>
      </c>
      <c r="I2646" s="47" t="s">
        <v>50</v>
      </c>
      <c r="L2646" s="47" t="s">
        <v>536</v>
      </c>
      <c r="M2646" s="47" t="s">
        <v>417</v>
      </c>
      <c r="N2646" s="47" t="s">
        <v>1150</v>
      </c>
      <c r="O2646" s="47" t="s">
        <v>30</v>
      </c>
      <c r="P2646" s="47" t="s">
        <v>43</v>
      </c>
    </row>
    <row r="2647" spans="2:16" ht="15" customHeight="1">
      <c r="B2647" s="47">
        <v>2941</v>
      </c>
      <c r="C2647" s="47" t="s">
        <v>1207</v>
      </c>
      <c r="D2647" s="47" t="s">
        <v>224</v>
      </c>
      <c r="E2647" s="47" t="s">
        <v>267</v>
      </c>
      <c r="H2647" s="47" t="s">
        <v>43</v>
      </c>
      <c r="I2647" s="47" t="s">
        <v>50</v>
      </c>
      <c r="L2647" s="47" t="s">
        <v>536</v>
      </c>
      <c r="M2647" s="47" t="s">
        <v>371</v>
      </c>
      <c r="N2647" s="47" t="s">
        <v>1150</v>
      </c>
      <c r="O2647" s="47" t="s">
        <v>30</v>
      </c>
      <c r="P2647" s="47" t="s">
        <v>43</v>
      </c>
    </row>
    <row r="2648" spans="2:16" ht="15" customHeight="1">
      <c r="B2648" s="47">
        <v>2942</v>
      </c>
      <c r="C2648" s="47" t="s">
        <v>1207</v>
      </c>
      <c r="D2648" s="47" t="s">
        <v>224</v>
      </c>
      <c r="E2648" s="16" t="s">
        <v>1103</v>
      </c>
      <c r="H2648" s="47" t="s">
        <v>43</v>
      </c>
      <c r="I2648" s="47" t="s">
        <v>50</v>
      </c>
      <c r="L2648" s="47" t="s">
        <v>536</v>
      </c>
      <c r="M2648" s="47" t="s">
        <v>371</v>
      </c>
      <c r="N2648" s="47" t="s">
        <v>1150</v>
      </c>
      <c r="O2648" s="47" t="s">
        <v>30</v>
      </c>
      <c r="P2648" s="47" t="s">
        <v>43</v>
      </c>
    </row>
    <row r="2649" spans="2:16" ht="15" customHeight="1">
      <c r="B2649" s="47">
        <v>2943</v>
      </c>
      <c r="C2649" s="47" t="s">
        <v>1207</v>
      </c>
      <c r="D2649" s="47" t="s">
        <v>224</v>
      </c>
      <c r="E2649" s="47" t="s">
        <v>228</v>
      </c>
      <c r="H2649" s="47" t="s">
        <v>43</v>
      </c>
      <c r="I2649" s="47" t="s">
        <v>50</v>
      </c>
      <c r="M2649" s="47" t="s">
        <v>371</v>
      </c>
      <c r="N2649" s="47" t="s">
        <v>1150</v>
      </c>
      <c r="O2649" s="47" t="s">
        <v>30</v>
      </c>
      <c r="P2649" s="47" t="s">
        <v>43</v>
      </c>
    </row>
    <row r="2650" spans="2:16" ht="15" customHeight="1">
      <c r="B2650" s="47">
        <v>2944</v>
      </c>
      <c r="C2650" s="47" t="s">
        <v>1207</v>
      </c>
      <c r="D2650" s="47" t="s">
        <v>224</v>
      </c>
      <c r="E2650" s="47" t="s">
        <v>519</v>
      </c>
      <c r="H2650" s="47" t="s">
        <v>43</v>
      </c>
      <c r="I2650" s="47" t="s">
        <v>50</v>
      </c>
      <c r="L2650" s="47" t="s">
        <v>1147</v>
      </c>
      <c r="M2650" s="47" t="s">
        <v>404</v>
      </c>
      <c r="N2650" s="47" t="s">
        <v>1150</v>
      </c>
      <c r="O2650" s="47" t="s">
        <v>30</v>
      </c>
      <c r="P2650" s="47" t="s">
        <v>43</v>
      </c>
    </row>
    <row r="2651" spans="2:16" ht="15" customHeight="1">
      <c r="B2651" s="47">
        <v>2945</v>
      </c>
      <c r="C2651" s="47" t="s">
        <v>1207</v>
      </c>
      <c r="D2651" s="47" t="s">
        <v>224</v>
      </c>
      <c r="E2651" s="47" t="s">
        <v>522</v>
      </c>
      <c r="H2651" s="47" t="s">
        <v>43</v>
      </c>
      <c r="I2651" s="47" t="s">
        <v>50</v>
      </c>
      <c r="L2651" s="47" t="s">
        <v>1149</v>
      </c>
      <c r="M2651" s="47" t="s">
        <v>292</v>
      </c>
      <c r="N2651" s="47" t="s">
        <v>1150</v>
      </c>
      <c r="O2651" s="47" t="s">
        <v>30</v>
      </c>
      <c r="P2651" s="47" t="s">
        <v>43</v>
      </c>
    </row>
    <row r="2652" spans="2:16" ht="15" customHeight="1">
      <c r="B2652" s="47">
        <v>2946</v>
      </c>
      <c r="C2652" s="47" t="s">
        <v>1207</v>
      </c>
      <c r="D2652" s="47" t="s">
        <v>224</v>
      </c>
      <c r="E2652" s="47" t="s">
        <v>1097</v>
      </c>
      <c r="H2652" s="47" t="s">
        <v>43</v>
      </c>
      <c r="I2652" s="47" t="s">
        <v>50</v>
      </c>
      <c r="L2652" s="47" t="s">
        <v>531</v>
      </c>
      <c r="M2652" s="47" t="s">
        <v>292</v>
      </c>
      <c r="N2652" s="47" t="s">
        <v>1150</v>
      </c>
      <c r="O2652" s="47" t="s">
        <v>30</v>
      </c>
      <c r="P2652" s="47" t="s">
        <v>43</v>
      </c>
    </row>
    <row r="2653" spans="2:16" ht="15" customHeight="1">
      <c r="B2653" s="47">
        <v>2947</v>
      </c>
      <c r="C2653" s="47" t="s">
        <v>1207</v>
      </c>
      <c r="D2653" s="47" t="s">
        <v>224</v>
      </c>
      <c r="E2653" s="47" t="s">
        <v>225</v>
      </c>
      <c r="H2653" s="47" t="s">
        <v>43</v>
      </c>
      <c r="I2653" s="47" t="s">
        <v>50</v>
      </c>
      <c r="L2653" s="47" t="s">
        <v>536</v>
      </c>
      <c r="M2653" s="47" t="s">
        <v>417</v>
      </c>
      <c r="N2653" s="47" t="s">
        <v>1209</v>
      </c>
      <c r="O2653" s="47" t="s">
        <v>30</v>
      </c>
      <c r="P2653" s="47" t="s">
        <v>43</v>
      </c>
    </row>
    <row r="2654" spans="2:16" ht="15" customHeight="1">
      <c r="B2654" s="47">
        <v>2948</v>
      </c>
      <c r="C2654" s="47" t="s">
        <v>1207</v>
      </c>
      <c r="D2654" s="47" t="s">
        <v>224</v>
      </c>
      <c r="E2654" s="47" t="s">
        <v>225</v>
      </c>
      <c r="H2654" s="47" t="s">
        <v>43</v>
      </c>
      <c r="I2654" s="47" t="s">
        <v>50</v>
      </c>
      <c r="L2654" s="47" t="s">
        <v>536</v>
      </c>
      <c r="M2654" s="47" t="s">
        <v>417</v>
      </c>
      <c r="N2654" s="47" t="s">
        <v>1209</v>
      </c>
      <c r="O2654" s="47" t="s">
        <v>30</v>
      </c>
      <c r="P2654" s="47" t="s">
        <v>43</v>
      </c>
    </row>
    <row r="2655" spans="2:16" ht="15" customHeight="1">
      <c r="B2655" s="47">
        <v>2949</v>
      </c>
      <c r="C2655" s="47" t="s">
        <v>1207</v>
      </c>
      <c r="D2655" s="47" t="s">
        <v>224</v>
      </c>
      <c r="E2655" s="47" t="s">
        <v>227</v>
      </c>
      <c r="H2655" s="47" t="s">
        <v>43</v>
      </c>
      <c r="I2655" s="47" t="s">
        <v>50</v>
      </c>
      <c r="L2655" s="47" t="s">
        <v>536</v>
      </c>
      <c r="M2655" s="47" t="s">
        <v>417</v>
      </c>
      <c r="N2655" s="47" t="s">
        <v>1209</v>
      </c>
      <c r="O2655" s="47" t="s">
        <v>30</v>
      </c>
      <c r="P2655" s="47" t="s">
        <v>43</v>
      </c>
    </row>
    <row r="2656" spans="2:16" ht="15" customHeight="1">
      <c r="B2656" s="47">
        <v>2950</v>
      </c>
      <c r="C2656" s="47" t="s">
        <v>1207</v>
      </c>
      <c r="D2656" s="47" t="s">
        <v>224</v>
      </c>
      <c r="E2656" s="47" t="s">
        <v>227</v>
      </c>
      <c r="H2656" s="47" t="s">
        <v>43</v>
      </c>
      <c r="I2656" s="47" t="s">
        <v>50</v>
      </c>
      <c r="L2656" s="47" t="s">
        <v>536</v>
      </c>
      <c r="M2656" s="47" t="s">
        <v>417</v>
      </c>
      <c r="N2656" s="47" t="s">
        <v>1209</v>
      </c>
      <c r="O2656" s="47" t="s">
        <v>30</v>
      </c>
      <c r="P2656" s="47" t="s">
        <v>43</v>
      </c>
    </row>
    <row r="2657" spans="1:16" ht="15" customHeight="1">
      <c r="B2657" s="47">
        <v>2951</v>
      </c>
      <c r="C2657" s="47" t="s">
        <v>1207</v>
      </c>
      <c r="D2657" s="47" t="s">
        <v>224</v>
      </c>
      <c r="E2657" s="47" t="s">
        <v>267</v>
      </c>
      <c r="H2657" s="47" t="s">
        <v>43</v>
      </c>
      <c r="I2657" s="47" t="s">
        <v>50</v>
      </c>
      <c r="L2657" s="47" t="s">
        <v>536</v>
      </c>
      <c r="M2657" s="47" t="s">
        <v>371</v>
      </c>
      <c r="N2657" s="47" t="s">
        <v>1209</v>
      </c>
      <c r="O2657" s="47" t="s">
        <v>30</v>
      </c>
      <c r="P2657" s="47" t="s">
        <v>43</v>
      </c>
    </row>
    <row r="2658" spans="1:16" ht="15" customHeight="1">
      <c r="B2658" s="47">
        <v>2952</v>
      </c>
      <c r="C2658" s="47" t="s">
        <v>1207</v>
      </c>
      <c r="D2658" s="47" t="s">
        <v>224</v>
      </c>
      <c r="E2658" s="16" t="s">
        <v>1103</v>
      </c>
      <c r="H2658" s="47" t="s">
        <v>43</v>
      </c>
      <c r="I2658" s="47" t="s">
        <v>50</v>
      </c>
      <c r="L2658" s="47" t="s">
        <v>536</v>
      </c>
      <c r="M2658" s="47" t="s">
        <v>371</v>
      </c>
      <c r="N2658" s="47" t="s">
        <v>1209</v>
      </c>
      <c r="O2658" s="47" t="s">
        <v>30</v>
      </c>
      <c r="P2658" s="47" t="s">
        <v>43</v>
      </c>
    </row>
    <row r="2659" spans="1:16" ht="15" customHeight="1">
      <c r="B2659" s="47">
        <v>2953</v>
      </c>
      <c r="C2659" s="47" t="s">
        <v>1207</v>
      </c>
      <c r="D2659" s="47" t="s">
        <v>224</v>
      </c>
      <c r="E2659" s="47" t="s">
        <v>228</v>
      </c>
      <c r="H2659" s="47" t="s">
        <v>43</v>
      </c>
      <c r="I2659" s="47" t="s">
        <v>50</v>
      </c>
      <c r="M2659" s="47" t="s">
        <v>371</v>
      </c>
      <c r="N2659" s="47" t="s">
        <v>1209</v>
      </c>
      <c r="O2659" s="47" t="s">
        <v>30</v>
      </c>
      <c r="P2659" s="47" t="s">
        <v>43</v>
      </c>
    </row>
    <row r="2660" spans="1:16" ht="15" customHeight="1">
      <c r="B2660" s="47">
        <v>2954</v>
      </c>
      <c r="C2660" s="47" t="s">
        <v>1207</v>
      </c>
      <c r="D2660" s="47" t="s">
        <v>224</v>
      </c>
      <c r="E2660" s="47" t="s">
        <v>519</v>
      </c>
      <c r="H2660" s="47" t="s">
        <v>43</v>
      </c>
      <c r="I2660" s="47" t="s">
        <v>50</v>
      </c>
      <c r="L2660" s="47" t="s">
        <v>1147</v>
      </c>
      <c r="M2660" s="47" t="s">
        <v>404</v>
      </c>
      <c r="N2660" s="47" t="s">
        <v>1209</v>
      </c>
      <c r="O2660" s="47" t="s">
        <v>30</v>
      </c>
      <c r="P2660" s="47" t="s">
        <v>43</v>
      </c>
    </row>
    <row r="2661" spans="1:16" ht="15" customHeight="1">
      <c r="B2661" s="47">
        <v>2955</v>
      </c>
      <c r="C2661" s="47" t="s">
        <v>1207</v>
      </c>
      <c r="D2661" s="47" t="s">
        <v>224</v>
      </c>
      <c r="E2661" s="47" t="s">
        <v>522</v>
      </c>
      <c r="H2661" s="47" t="s">
        <v>43</v>
      </c>
      <c r="I2661" s="47" t="s">
        <v>50</v>
      </c>
      <c r="L2661" s="47" t="s">
        <v>1149</v>
      </c>
      <c r="M2661" s="47" t="s">
        <v>292</v>
      </c>
      <c r="N2661" s="47" t="s">
        <v>1209</v>
      </c>
      <c r="O2661" s="47" t="s">
        <v>30</v>
      </c>
      <c r="P2661" s="47" t="s">
        <v>43</v>
      </c>
    </row>
    <row r="2662" spans="1:16" ht="15" customHeight="1">
      <c r="B2662" s="47">
        <v>2956</v>
      </c>
      <c r="C2662" s="47" t="s">
        <v>1207</v>
      </c>
      <c r="D2662" s="47" t="s">
        <v>224</v>
      </c>
      <c r="E2662" s="47" t="s">
        <v>1097</v>
      </c>
      <c r="H2662" s="47" t="s">
        <v>43</v>
      </c>
      <c r="I2662" s="47" t="s">
        <v>50</v>
      </c>
      <c r="L2662" s="47" t="s">
        <v>531</v>
      </c>
      <c r="M2662" s="47" t="s">
        <v>292</v>
      </c>
      <c r="N2662" s="47" t="s">
        <v>1209</v>
      </c>
      <c r="O2662" s="47" t="s">
        <v>30</v>
      </c>
      <c r="P2662" s="47" t="s">
        <v>43</v>
      </c>
    </row>
    <row r="2663" spans="1:16" ht="15" customHeight="1">
      <c r="B2663">
        <v>2963</v>
      </c>
      <c r="C2663" s="2" t="s">
        <v>927</v>
      </c>
      <c r="D2663" s="47" t="s">
        <v>204</v>
      </c>
      <c r="H2663" s="47" t="s">
        <v>58</v>
      </c>
      <c r="I2663" s="47" t="s">
        <v>231</v>
      </c>
      <c r="L2663" s="15"/>
      <c r="M2663" s="15"/>
      <c r="N2663" s="47" t="s">
        <v>232</v>
      </c>
      <c r="O2663" s="47" t="s">
        <v>30</v>
      </c>
      <c r="P2663" s="47" t="s">
        <v>46</v>
      </c>
    </row>
    <row r="2664" spans="1:16" ht="15" customHeight="1">
      <c r="A2664">
        <v>2963</v>
      </c>
      <c r="B2664">
        <v>2964</v>
      </c>
      <c r="C2664" s="2" t="s">
        <v>927</v>
      </c>
      <c r="D2664" s="47" t="s">
        <v>204</v>
      </c>
      <c r="H2664" s="47" t="s">
        <v>58</v>
      </c>
      <c r="I2664" s="47" t="s">
        <v>231</v>
      </c>
      <c r="L2664" s="15"/>
      <c r="M2664" s="15"/>
      <c r="N2664" s="47" t="s">
        <v>232</v>
      </c>
      <c r="O2664" s="47" t="s">
        <v>30</v>
      </c>
      <c r="P2664" s="47" t="s">
        <v>46</v>
      </c>
    </row>
    <row r="2665" spans="1:16" ht="15" customHeight="1">
      <c r="B2665">
        <v>2965</v>
      </c>
      <c r="C2665" s="2" t="s">
        <v>927</v>
      </c>
      <c r="D2665" s="47" t="s">
        <v>204</v>
      </c>
      <c r="H2665" s="47" t="s">
        <v>58</v>
      </c>
      <c r="I2665" s="47" t="s">
        <v>231</v>
      </c>
      <c r="L2665" s="15"/>
      <c r="M2665" s="15"/>
      <c r="N2665" s="47" t="s">
        <v>232</v>
      </c>
      <c r="O2665" s="47" t="s">
        <v>30</v>
      </c>
      <c r="P2665" s="47" t="s">
        <v>46</v>
      </c>
    </row>
    <row r="2666" spans="1:16" ht="15" customHeight="1">
      <c r="B2666">
        <v>2977</v>
      </c>
      <c r="C2666" t="s">
        <v>930</v>
      </c>
      <c r="D2666" t="s">
        <v>224</v>
      </c>
    </row>
    <row r="2667" spans="1:16" ht="15" customHeight="1">
      <c r="B2667">
        <v>2978</v>
      </c>
      <c r="C2667" t="s">
        <v>930</v>
      </c>
      <c r="D2667" t="s">
        <v>224</v>
      </c>
    </row>
    <row r="2668" spans="1:16" ht="15" customHeight="1">
      <c r="B2668">
        <v>2979</v>
      </c>
      <c r="C2668" t="s">
        <v>930</v>
      </c>
      <c r="D2668" t="s">
        <v>224</v>
      </c>
    </row>
    <row r="2669" spans="1:16" ht="15" customHeight="1">
      <c r="B2669">
        <v>2980</v>
      </c>
      <c r="C2669" t="s">
        <v>930</v>
      </c>
      <c r="D2669" t="s">
        <v>224</v>
      </c>
    </row>
    <row r="2670" spans="1:16" ht="15" customHeight="1">
      <c r="B2670">
        <v>2981</v>
      </c>
      <c r="C2670" t="s">
        <v>930</v>
      </c>
      <c r="D2670" t="s">
        <v>224</v>
      </c>
    </row>
    <row r="2671" spans="1:16" ht="15" customHeight="1">
      <c r="B2671" s="47">
        <v>2984</v>
      </c>
      <c r="C2671" s="47" t="s">
        <v>928</v>
      </c>
      <c r="F2671" s="47" t="s">
        <v>980</v>
      </c>
      <c r="G2671" s="47">
        <v>1</v>
      </c>
      <c r="L2671" s="47" t="s">
        <v>314</v>
      </c>
      <c r="M2671" s="47" t="s">
        <v>1279</v>
      </c>
    </row>
    <row r="2672" spans="1:16" ht="15" customHeight="1">
      <c r="B2672" s="47">
        <v>2985</v>
      </c>
      <c r="C2672" s="47" t="s">
        <v>928</v>
      </c>
      <c r="F2672" s="47" t="s">
        <v>1069</v>
      </c>
      <c r="G2672" s="47">
        <v>1</v>
      </c>
      <c r="L2672" s="47" t="s">
        <v>314</v>
      </c>
      <c r="M2672" s="47" t="s">
        <v>1279</v>
      </c>
    </row>
    <row r="2673" spans="2:13" ht="15" customHeight="1">
      <c r="B2673" s="47">
        <v>2986</v>
      </c>
      <c r="C2673" s="47" t="s">
        <v>928</v>
      </c>
      <c r="F2673" s="47" t="s">
        <v>1259</v>
      </c>
      <c r="G2673" s="47">
        <v>1</v>
      </c>
      <c r="L2673" s="47" t="s">
        <v>314</v>
      </c>
      <c r="M2673" s="47" t="s">
        <v>1279</v>
      </c>
    </row>
    <row r="2674" spans="2:13" ht="15" customHeight="1">
      <c r="B2674" s="47">
        <v>2987</v>
      </c>
      <c r="C2674" s="47" t="s">
        <v>928</v>
      </c>
      <c r="F2674" s="47" t="s">
        <v>1230</v>
      </c>
      <c r="G2674" s="47">
        <v>1</v>
      </c>
      <c r="L2674" s="47" t="s">
        <v>314</v>
      </c>
      <c r="M2674" s="47" t="s">
        <v>1279</v>
      </c>
    </row>
    <row r="2675" spans="2:13" ht="15" customHeight="1">
      <c r="B2675" s="47">
        <v>2988</v>
      </c>
      <c r="C2675" s="47" t="s">
        <v>928</v>
      </c>
      <c r="F2675" s="47" t="s">
        <v>1260</v>
      </c>
      <c r="G2675" s="47">
        <v>1</v>
      </c>
      <c r="L2675" s="47" t="s">
        <v>314</v>
      </c>
      <c r="M2675" s="47" t="s">
        <v>1279</v>
      </c>
    </row>
    <row r="2676" spans="2:13" ht="15" customHeight="1">
      <c r="B2676" s="47">
        <v>2989</v>
      </c>
      <c r="C2676" s="47" t="s">
        <v>928</v>
      </c>
      <c r="F2676" s="47" t="s">
        <v>1224</v>
      </c>
      <c r="G2676" s="47">
        <v>1</v>
      </c>
      <c r="L2676" s="47" t="s">
        <v>314</v>
      </c>
      <c r="M2676" s="47" t="s">
        <v>1279</v>
      </c>
    </row>
    <row r="2677" spans="2:13" ht="15" customHeight="1">
      <c r="B2677" s="47">
        <v>2990</v>
      </c>
      <c r="C2677" s="47" t="s">
        <v>928</v>
      </c>
      <c r="F2677" s="47" t="s">
        <v>1223</v>
      </c>
      <c r="G2677" s="47">
        <v>1</v>
      </c>
      <c r="L2677" s="47" t="s">
        <v>314</v>
      </c>
      <c r="M2677" s="47" t="s">
        <v>1279</v>
      </c>
    </row>
    <row r="2678" spans="2:13" ht="15" customHeight="1">
      <c r="B2678" s="47">
        <v>2991</v>
      </c>
      <c r="C2678" s="47" t="s">
        <v>928</v>
      </c>
      <c r="F2678" s="47" t="s">
        <v>1223</v>
      </c>
      <c r="G2678" s="47">
        <v>1</v>
      </c>
      <c r="L2678" s="47" t="s">
        <v>314</v>
      </c>
      <c r="M2678" s="47" t="s">
        <v>1279</v>
      </c>
    </row>
    <row r="2679" spans="2:13" ht="15" customHeight="1">
      <c r="B2679" s="47">
        <v>2992</v>
      </c>
      <c r="C2679" s="47" t="s">
        <v>928</v>
      </c>
      <c r="F2679" s="47" t="s">
        <v>1223</v>
      </c>
      <c r="G2679" s="47">
        <v>1</v>
      </c>
      <c r="L2679" s="47" t="s">
        <v>314</v>
      </c>
      <c r="M2679" s="47" t="s">
        <v>1279</v>
      </c>
    </row>
    <row r="2680" spans="2:13" ht="15" customHeight="1">
      <c r="B2680" s="47">
        <v>2993</v>
      </c>
      <c r="C2680" s="47" t="s">
        <v>928</v>
      </c>
      <c r="F2680" s="47" t="s">
        <v>1223</v>
      </c>
      <c r="G2680" s="47">
        <v>1</v>
      </c>
      <c r="L2680" s="47" t="s">
        <v>314</v>
      </c>
      <c r="M2680" s="47" t="s">
        <v>1279</v>
      </c>
    </row>
    <row r="2681" spans="2:13" ht="15" customHeight="1">
      <c r="B2681" s="47">
        <v>2994</v>
      </c>
      <c r="C2681" s="47" t="s">
        <v>928</v>
      </c>
      <c r="F2681" s="47" t="s">
        <v>185</v>
      </c>
      <c r="G2681" s="47">
        <v>1</v>
      </c>
      <c r="L2681" s="47" t="s">
        <v>314</v>
      </c>
      <c r="M2681" s="47" t="s">
        <v>1279</v>
      </c>
    </row>
    <row r="2682" spans="2:13" ht="15" customHeight="1">
      <c r="B2682" s="47">
        <v>2995</v>
      </c>
      <c r="C2682" s="47" t="s">
        <v>928</v>
      </c>
      <c r="F2682" s="47" t="s">
        <v>185</v>
      </c>
      <c r="G2682" s="47">
        <v>1</v>
      </c>
      <c r="L2682" s="47" t="s">
        <v>314</v>
      </c>
      <c r="M2682" s="47" t="s">
        <v>1279</v>
      </c>
    </row>
    <row r="2683" spans="2:13" ht="15" customHeight="1">
      <c r="B2683" s="47">
        <v>2996</v>
      </c>
      <c r="C2683" s="47" t="s">
        <v>928</v>
      </c>
      <c r="F2683" s="47" t="s">
        <v>1237</v>
      </c>
      <c r="G2683" s="47">
        <v>1</v>
      </c>
      <c r="L2683" s="47" t="s">
        <v>314</v>
      </c>
      <c r="M2683" s="47" t="s">
        <v>1279</v>
      </c>
    </row>
    <row r="2684" spans="2:13" ht="15" customHeight="1">
      <c r="B2684" s="47">
        <v>2997</v>
      </c>
      <c r="C2684" s="47" t="s">
        <v>928</v>
      </c>
      <c r="F2684" s="47" t="s">
        <v>1237</v>
      </c>
      <c r="G2684" s="47">
        <v>1</v>
      </c>
      <c r="L2684" s="47" t="s">
        <v>314</v>
      </c>
      <c r="M2684" s="47" t="s">
        <v>1279</v>
      </c>
    </row>
    <row r="2685" spans="2:13" ht="15" customHeight="1">
      <c r="B2685" s="47">
        <v>2998</v>
      </c>
      <c r="C2685" s="47" t="s">
        <v>928</v>
      </c>
      <c r="F2685" s="47" t="s">
        <v>1251</v>
      </c>
      <c r="G2685" s="47">
        <v>1</v>
      </c>
      <c r="L2685" s="47" t="s">
        <v>314</v>
      </c>
      <c r="M2685" s="47" t="s">
        <v>1279</v>
      </c>
    </row>
    <row r="2686" spans="2:13" ht="15" customHeight="1">
      <c r="B2686" s="47">
        <v>2999</v>
      </c>
      <c r="C2686" s="47" t="s">
        <v>928</v>
      </c>
      <c r="F2686" s="47" t="s">
        <v>1260</v>
      </c>
      <c r="G2686" s="47">
        <v>1</v>
      </c>
      <c r="L2686" s="47" t="s">
        <v>314</v>
      </c>
      <c r="M2686" s="47" t="s">
        <v>1279</v>
      </c>
    </row>
    <row r="2687" spans="2:13" ht="15" customHeight="1">
      <c r="B2687" s="47">
        <v>3000</v>
      </c>
      <c r="C2687" s="47" t="s">
        <v>928</v>
      </c>
      <c r="F2687" s="47" t="s">
        <v>1069</v>
      </c>
      <c r="G2687" s="47">
        <v>1</v>
      </c>
      <c r="L2687" s="47" t="s">
        <v>314</v>
      </c>
      <c r="M2687" s="47" t="s">
        <v>1279</v>
      </c>
    </row>
    <row r="2688" spans="2:13" ht="15" customHeight="1">
      <c r="B2688" s="47">
        <v>3001</v>
      </c>
      <c r="C2688" s="47" t="s">
        <v>928</v>
      </c>
      <c r="F2688" s="47" t="s">
        <v>980</v>
      </c>
      <c r="G2688" s="47">
        <v>1</v>
      </c>
      <c r="L2688" s="47" t="s">
        <v>314</v>
      </c>
      <c r="M2688" s="47" t="s">
        <v>1279</v>
      </c>
    </row>
    <row r="2689" spans="2:13" ht="15" customHeight="1">
      <c r="B2689" s="47">
        <v>3002</v>
      </c>
      <c r="C2689" s="47" t="s">
        <v>928</v>
      </c>
      <c r="F2689" s="47" t="s">
        <v>1230</v>
      </c>
      <c r="G2689" s="47">
        <v>1</v>
      </c>
      <c r="L2689" s="47" t="s">
        <v>314</v>
      </c>
      <c r="M2689" s="47" t="s">
        <v>1279</v>
      </c>
    </row>
    <row r="2690" spans="2:13" ht="15" customHeight="1">
      <c r="B2690" s="47">
        <v>3003</v>
      </c>
      <c r="C2690" s="47" t="s">
        <v>928</v>
      </c>
      <c r="F2690" s="47" t="s">
        <v>1224</v>
      </c>
      <c r="G2690" s="47">
        <v>1</v>
      </c>
      <c r="L2690" s="47" t="s">
        <v>314</v>
      </c>
      <c r="M2690" s="47" t="s">
        <v>1279</v>
      </c>
    </row>
    <row r="2691" spans="2:13" ht="15" customHeight="1">
      <c r="B2691" s="47">
        <v>3004</v>
      </c>
      <c r="C2691" s="47" t="s">
        <v>928</v>
      </c>
      <c r="F2691" s="47" t="s">
        <v>1224</v>
      </c>
      <c r="G2691" s="47">
        <v>1</v>
      </c>
      <c r="L2691" s="47" t="s">
        <v>314</v>
      </c>
      <c r="M2691" s="47" t="s">
        <v>1279</v>
      </c>
    </row>
    <row r="2692" spans="2:13" ht="15" customHeight="1">
      <c r="B2692" s="47">
        <v>3005</v>
      </c>
      <c r="C2692" s="47" t="s">
        <v>928</v>
      </c>
      <c r="F2692" s="47" t="s">
        <v>1224</v>
      </c>
      <c r="G2692" s="47">
        <v>1</v>
      </c>
      <c r="L2692" s="47" t="s">
        <v>314</v>
      </c>
      <c r="M2692" s="47" t="s">
        <v>1279</v>
      </c>
    </row>
    <row r="2693" spans="2:13" ht="15" customHeight="1">
      <c r="B2693" s="47">
        <v>3006</v>
      </c>
      <c r="C2693" s="47" t="s">
        <v>928</v>
      </c>
      <c r="F2693" s="47" t="s">
        <v>1224</v>
      </c>
      <c r="G2693" s="47">
        <v>1</v>
      </c>
      <c r="L2693" s="47" t="s">
        <v>314</v>
      </c>
      <c r="M2693" s="47" t="s">
        <v>1279</v>
      </c>
    </row>
    <row r="2694" spans="2:13" ht="15" customHeight="1">
      <c r="B2694" s="47">
        <v>3007</v>
      </c>
      <c r="C2694" s="47" t="s">
        <v>928</v>
      </c>
      <c r="F2694" s="47" t="s">
        <v>185</v>
      </c>
      <c r="G2694" s="47">
        <v>1</v>
      </c>
      <c r="L2694" s="47" t="s">
        <v>314</v>
      </c>
      <c r="M2694" s="47" t="s">
        <v>1279</v>
      </c>
    </row>
    <row r="2695" spans="2:13" ht="15" customHeight="1">
      <c r="B2695" s="47">
        <v>3008</v>
      </c>
      <c r="C2695" s="47" t="s">
        <v>928</v>
      </c>
      <c r="F2695" s="47" t="s">
        <v>185</v>
      </c>
      <c r="G2695" s="47">
        <v>1</v>
      </c>
      <c r="L2695" s="47" t="s">
        <v>314</v>
      </c>
      <c r="M2695" s="47" t="s">
        <v>1279</v>
      </c>
    </row>
    <row r="2696" spans="2:13" ht="15" customHeight="1">
      <c r="B2696" s="47">
        <v>3009</v>
      </c>
      <c r="C2696" s="47" t="s">
        <v>928</v>
      </c>
      <c r="F2696" s="47" t="s">
        <v>1223</v>
      </c>
      <c r="G2696" s="47">
        <v>1</v>
      </c>
      <c r="L2696" s="47" t="s">
        <v>314</v>
      </c>
      <c r="M2696" s="47" t="s">
        <v>1279</v>
      </c>
    </row>
    <row r="2697" spans="2:13" ht="15" customHeight="1">
      <c r="B2697" s="47">
        <v>3010</v>
      </c>
      <c r="C2697" s="47" t="s">
        <v>928</v>
      </c>
      <c r="F2697" s="47" t="s">
        <v>1223</v>
      </c>
      <c r="G2697" s="47">
        <v>1</v>
      </c>
      <c r="L2697" s="47" t="s">
        <v>314</v>
      </c>
      <c r="M2697" s="47" t="s">
        <v>1279</v>
      </c>
    </row>
    <row r="2698" spans="2:13" ht="15" customHeight="1">
      <c r="B2698" s="47">
        <v>3011</v>
      </c>
      <c r="C2698" s="47" t="s">
        <v>928</v>
      </c>
      <c r="F2698" s="47" t="s">
        <v>980</v>
      </c>
      <c r="G2698" s="47">
        <v>1</v>
      </c>
      <c r="L2698" s="47" t="s">
        <v>314</v>
      </c>
      <c r="M2698" s="47" t="s">
        <v>1279</v>
      </c>
    </row>
    <row r="2699" spans="2:13" ht="15" customHeight="1">
      <c r="B2699" s="47">
        <v>3012</v>
      </c>
      <c r="C2699" s="47" t="s">
        <v>928</v>
      </c>
      <c r="F2699" s="47" t="s">
        <v>185</v>
      </c>
      <c r="G2699" s="47">
        <v>1</v>
      </c>
      <c r="L2699" s="47" t="s">
        <v>314</v>
      </c>
      <c r="M2699" s="47" t="s">
        <v>1279</v>
      </c>
    </row>
    <row r="2700" spans="2:13" ht="15" customHeight="1">
      <c r="B2700" s="47">
        <v>3014</v>
      </c>
      <c r="C2700" s="47" t="s">
        <v>928</v>
      </c>
      <c r="F2700" s="47" t="s">
        <v>185</v>
      </c>
      <c r="G2700" s="47">
        <v>1</v>
      </c>
      <c r="L2700" s="47" t="s">
        <v>314</v>
      </c>
      <c r="M2700" s="47" t="s">
        <v>1279</v>
      </c>
    </row>
    <row r="2701" spans="2:13" ht="15" customHeight="1">
      <c r="B2701" s="47">
        <v>3015</v>
      </c>
      <c r="C2701" s="47" t="s">
        <v>928</v>
      </c>
      <c r="F2701" s="47" t="s">
        <v>1259</v>
      </c>
      <c r="G2701" s="47">
        <v>1</v>
      </c>
      <c r="L2701" s="47" t="s">
        <v>314</v>
      </c>
      <c r="M2701" s="47" t="s">
        <v>1279</v>
      </c>
    </row>
    <row r="2702" spans="2:13" ht="15" customHeight="1">
      <c r="B2702" s="47">
        <v>3016</v>
      </c>
      <c r="C2702" s="47" t="s">
        <v>928</v>
      </c>
      <c r="F2702" s="47" t="s">
        <v>1251</v>
      </c>
      <c r="G2702" s="47">
        <v>1</v>
      </c>
      <c r="L2702" s="47" t="s">
        <v>314</v>
      </c>
      <c r="M2702" s="47" t="s">
        <v>1279</v>
      </c>
    </row>
    <row r="2703" spans="2:13" ht="15" customHeight="1">
      <c r="B2703" s="47">
        <v>3017</v>
      </c>
      <c r="C2703" s="47" t="s">
        <v>928</v>
      </c>
      <c r="F2703" s="47" t="s">
        <v>1251</v>
      </c>
      <c r="G2703" s="47">
        <v>1</v>
      </c>
      <c r="L2703" s="47" t="s">
        <v>314</v>
      </c>
      <c r="M2703" s="47" t="s">
        <v>1279</v>
      </c>
    </row>
    <row r="2704" spans="2:13" ht="15" customHeight="1">
      <c r="B2704" s="47">
        <v>3018</v>
      </c>
      <c r="C2704" s="47" t="s">
        <v>928</v>
      </c>
      <c r="F2704" s="47" t="s">
        <v>1260</v>
      </c>
      <c r="G2704" s="47">
        <v>1</v>
      </c>
      <c r="L2704" s="47" t="s">
        <v>314</v>
      </c>
      <c r="M2704" s="47" t="s">
        <v>1279</v>
      </c>
    </row>
    <row r="2705" spans="2:13" ht="15" customHeight="1">
      <c r="B2705" s="47">
        <v>3019</v>
      </c>
      <c r="C2705" s="47" t="s">
        <v>928</v>
      </c>
      <c r="F2705" s="47" t="s">
        <v>1237</v>
      </c>
      <c r="G2705" s="47">
        <v>1</v>
      </c>
      <c r="L2705" s="47" t="s">
        <v>314</v>
      </c>
      <c r="M2705" s="47" t="s">
        <v>1279</v>
      </c>
    </row>
    <row r="2706" spans="2:13" ht="15" customHeight="1">
      <c r="B2706" s="47">
        <v>3020</v>
      </c>
      <c r="C2706" s="47" t="s">
        <v>928</v>
      </c>
      <c r="F2706" s="47" t="s">
        <v>1224</v>
      </c>
      <c r="G2706" s="47">
        <v>1</v>
      </c>
      <c r="L2706" s="47" t="s">
        <v>314</v>
      </c>
      <c r="M2706" s="47" t="s">
        <v>1279</v>
      </c>
    </row>
    <row r="2707" spans="2:13" ht="15" customHeight="1">
      <c r="B2707" s="47">
        <v>3021</v>
      </c>
      <c r="C2707" s="47" t="s">
        <v>928</v>
      </c>
      <c r="F2707" s="47" t="s">
        <v>1230</v>
      </c>
      <c r="G2707" s="47">
        <v>1</v>
      </c>
      <c r="L2707" s="47" t="s">
        <v>314</v>
      </c>
      <c r="M2707" s="47" t="s">
        <v>1279</v>
      </c>
    </row>
    <row r="2708" spans="2:13" ht="15" customHeight="1">
      <c r="B2708" s="47">
        <v>3022</v>
      </c>
      <c r="C2708" s="47" t="s">
        <v>928</v>
      </c>
      <c r="F2708" s="47" t="s">
        <v>1230</v>
      </c>
      <c r="G2708" s="47">
        <v>1</v>
      </c>
      <c r="L2708" s="47" t="s">
        <v>314</v>
      </c>
      <c r="M2708" s="47" t="s">
        <v>1279</v>
      </c>
    </row>
    <row r="2709" spans="2:13" ht="15" customHeight="1">
      <c r="B2709" s="47">
        <v>3023</v>
      </c>
      <c r="C2709" s="47" t="s">
        <v>928</v>
      </c>
      <c r="F2709" s="47" t="s">
        <v>980</v>
      </c>
      <c r="G2709" s="47">
        <v>1</v>
      </c>
      <c r="L2709" s="47" t="s">
        <v>1276</v>
      </c>
      <c r="M2709" s="47" t="s">
        <v>1279</v>
      </c>
    </row>
    <row r="2710" spans="2:13" ht="15" customHeight="1">
      <c r="B2710" s="47">
        <v>3024</v>
      </c>
      <c r="C2710" s="47" t="s">
        <v>928</v>
      </c>
      <c r="F2710" s="47" t="s">
        <v>1069</v>
      </c>
      <c r="G2710" s="47">
        <v>1</v>
      </c>
      <c r="L2710" s="47" t="s">
        <v>1276</v>
      </c>
      <c r="M2710" s="47" t="s">
        <v>1279</v>
      </c>
    </row>
    <row r="2711" spans="2:13" ht="15" customHeight="1">
      <c r="B2711" s="47">
        <v>3025</v>
      </c>
      <c r="C2711" s="47" t="s">
        <v>928</v>
      </c>
      <c r="F2711" s="47" t="s">
        <v>1259</v>
      </c>
      <c r="G2711" s="47">
        <v>1</v>
      </c>
      <c r="L2711" s="47" t="s">
        <v>1276</v>
      </c>
      <c r="M2711" s="47" t="s">
        <v>1279</v>
      </c>
    </row>
    <row r="2712" spans="2:13" ht="15" customHeight="1">
      <c r="B2712" s="47">
        <v>3026</v>
      </c>
      <c r="C2712" s="47" t="s">
        <v>928</v>
      </c>
      <c r="F2712" s="47" t="s">
        <v>1230</v>
      </c>
      <c r="G2712" s="47">
        <v>1</v>
      </c>
      <c r="L2712" s="47" t="s">
        <v>1276</v>
      </c>
      <c r="M2712" s="47" t="s">
        <v>1279</v>
      </c>
    </row>
    <row r="2713" spans="2:13" ht="15" customHeight="1">
      <c r="B2713" s="47">
        <v>3027</v>
      </c>
      <c r="C2713" s="47" t="s">
        <v>928</v>
      </c>
      <c r="F2713" s="47" t="s">
        <v>1260</v>
      </c>
      <c r="G2713" s="47">
        <v>1</v>
      </c>
      <c r="L2713" s="47" t="s">
        <v>1276</v>
      </c>
      <c r="M2713" s="47" t="s">
        <v>1279</v>
      </c>
    </row>
    <row r="2714" spans="2:13" ht="15" customHeight="1">
      <c r="B2714" s="47">
        <v>3028</v>
      </c>
      <c r="C2714" s="47" t="s">
        <v>928</v>
      </c>
      <c r="F2714" s="47" t="s">
        <v>1224</v>
      </c>
      <c r="G2714" s="47">
        <v>1</v>
      </c>
      <c r="L2714" s="47" t="s">
        <v>1276</v>
      </c>
      <c r="M2714" s="47" t="s">
        <v>1279</v>
      </c>
    </row>
    <row r="2715" spans="2:13" ht="15" customHeight="1">
      <c r="B2715" s="47">
        <v>3029</v>
      </c>
      <c r="C2715" s="47" t="s">
        <v>928</v>
      </c>
      <c r="F2715" s="47" t="s">
        <v>1223</v>
      </c>
      <c r="G2715" s="47">
        <v>1</v>
      </c>
      <c r="L2715" s="47" t="s">
        <v>1276</v>
      </c>
      <c r="M2715" s="47" t="s">
        <v>1279</v>
      </c>
    </row>
    <row r="2716" spans="2:13" ht="15" customHeight="1">
      <c r="B2716" s="47">
        <v>3030</v>
      </c>
      <c r="C2716" s="47" t="s">
        <v>928</v>
      </c>
      <c r="F2716" s="47" t="s">
        <v>1223</v>
      </c>
      <c r="G2716" s="47">
        <v>1</v>
      </c>
      <c r="L2716" s="47" t="s">
        <v>1276</v>
      </c>
      <c r="M2716" s="47" t="s">
        <v>1279</v>
      </c>
    </row>
    <row r="2717" spans="2:13" ht="15" customHeight="1">
      <c r="B2717" s="47">
        <v>3031</v>
      </c>
      <c r="C2717" s="47" t="s">
        <v>928</v>
      </c>
      <c r="F2717" s="47" t="s">
        <v>1223</v>
      </c>
      <c r="G2717" s="47">
        <v>1</v>
      </c>
      <c r="L2717" s="47" t="s">
        <v>1276</v>
      </c>
      <c r="M2717" s="47" t="s">
        <v>1279</v>
      </c>
    </row>
    <row r="2718" spans="2:13" ht="15" customHeight="1">
      <c r="B2718" s="47">
        <v>3032</v>
      </c>
      <c r="C2718" s="47" t="s">
        <v>928</v>
      </c>
      <c r="F2718" s="47" t="s">
        <v>1223</v>
      </c>
      <c r="G2718" s="47">
        <v>1</v>
      </c>
      <c r="L2718" s="47" t="s">
        <v>1276</v>
      </c>
      <c r="M2718" s="47" t="s">
        <v>1279</v>
      </c>
    </row>
    <row r="2719" spans="2:13" ht="15" customHeight="1">
      <c r="B2719" s="47">
        <v>3033</v>
      </c>
      <c r="C2719" s="47" t="s">
        <v>928</v>
      </c>
      <c r="F2719" s="47" t="s">
        <v>185</v>
      </c>
      <c r="G2719" s="47">
        <v>1</v>
      </c>
      <c r="L2719" s="47" t="s">
        <v>1276</v>
      </c>
      <c r="M2719" s="47" t="s">
        <v>1279</v>
      </c>
    </row>
    <row r="2720" spans="2:13" ht="15" customHeight="1">
      <c r="B2720" s="47">
        <v>3034</v>
      </c>
      <c r="C2720" s="47" t="s">
        <v>928</v>
      </c>
      <c r="F2720" s="47" t="s">
        <v>185</v>
      </c>
      <c r="G2720" s="47">
        <v>1</v>
      </c>
      <c r="L2720" s="47" t="s">
        <v>1276</v>
      </c>
      <c r="M2720" s="47" t="s">
        <v>1279</v>
      </c>
    </row>
    <row r="2721" spans="2:13" ht="15" customHeight="1">
      <c r="B2721" s="47">
        <v>3035</v>
      </c>
      <c r="C2721" s="47" t="s">
        <v>928</v>
      </c>
      <c r="F2721" s="47" t="s">
        <v>1237</v>
      </c>
      <c r="G2721" s="47">
        <v>1</v>
      </c>
      <c r="L2721" s="47" t="s">
        <v>1276</v>
      </c>
      <c r="M2721" s="47" t="s">
        <v>1279</v>
      </c>
    </row>
    <row r="2722" spans="2:13" ht="15" customHeight="1">
      <c r="B2722" s="47">
        <v>3036</v>
      </c>
      <c r="C2722" s="47" t="s">
        <v>928</v>
      </c>
      <c r="F2722" s="47" t="s">
        <v>1237</v>
      </c>
      <c r="G2722" s="47">
        <v>1</v>
      </c>
      <c r="L2722" s="47" t="s">
        <v>1276</v>
      </c>
      <c r="M2722" s="47" t="s">
        <v>1279</v>
      </c>
    </row>
    <row r="2723" spans="2:13" ht="15" customHeight="1">
      <c r="B2723" s="47">
        <v>3037</v>
      </c>
      <c r="C2723" s="47" t="s">
        <v>928</v>
      </c>
      <c r="F2723" s="47" t="s">
        <v>1251</v>
      </c>
      <c r="G2723" s="47">
        <v>1</v>
      </c>
      <c r="L2723" s="47" t="s">
        <v>1276</v>
      </c>
      <c r="M2723" s="47" t="s">
        <v>1279</v>
      </c>
    </row>
    <row r="2724" spans="2:13" ht="15" customHeight="1">
      <c r="B2724" s="47">
        <v>3038</v>
      </c>
      <c r="C2724" s="47" t="s">
        <v>928</v>
      </c>
      <c r="F2724" s="47" t="s">
        <v>1260</v>
      </c>
      <c r="G2724" s="47">
        <v>1</v>
      </c>
      <c r="L2724" s="47" t="s">
        <v>1276</v>
      </c>
      <c r="M2724" s="47" t="s">
        <v>1279</v>
      </c>
    </row>
    <row r="2725" spans="2:13" ht="15" customHeight="1">
      <c r="B2725" s="47">
        <v>3039</v>
      </c>
      <c r="C2725" s="47" t="s">
        <v>928</v>
      </c>
      <c r="F2725" s="47" t="s">
        <v>1069</v>
      </c>
      <c r="G2725" s="47">
        <v>1</v>
      </c>
      <c r="L2725" s="47" t="s">
        <v>1276</v>
      </c>
      <c r="M2725" s="47" t="s">
        <v>1279</v>
      </c>
    </row>
    <row r="2726" spans="2:13" ht="15" customHeight="1">
      <c r="B2726" s="47">
        <v>3040</v>
      </c>
      <c r="C2726" s="47" t="s">
        <v>928</v>
      </c>
      <c r="F2726" s="47" t="s">
        <v>980</v>
      </c>
      <c r="G2726" s="47">
        <v>1</v>
      </c>
      <c r="L2726" s="47" t="s">
        <v>1276</v>
      </c>
      <c r="M2726" s="47" t="s">
        <v>1279</v>
      </c>
    </row>
    <row r="2727" spans="2:13" ht="15" customHeight="1">
      <c r="B2727" s="47">
        <v>3041</v>
      </c>
      <c r="C2727" s="47" t="s">
        <v>928</v>
      </c>
      <c r="F2727" s="47" t="s">
        <v>1230</v>
      </c>
      <c r="G2727" s="47">
        <v>1</v>
      </c>
      <c r="L2727" s="47" t="s">
        <v>1276</v>
      </c>
      <c r="M2727" s="47" t="s">
        <v>1279</v>
      </c>
    </row>
    <row r="2728" spans="2:13" ht="15" customHeight="1">
      <c r="B2728" s="47">
        <v>3042</v>
      </c>
      <c r="C2728" s="47" t="s">
        <v>928</v>
      </c>
      <c r="F2728" s="47" t="s">
        <v>1224</v>
      </c>
      <c r="G2728" s="47">
        <v>1</v>
      </c>
      <c r="L2728" s="47" t="s">
        <v>1276</v>
      </c>
      <c r="M2728" s="47" t="s">
        <v>1279</v>
      </c>
    </row>
    <row r="2729" spans="2:13" ht="15" customHeight="1">
      <c r="B2729" s="47">
        <v>3043</v>
      </c>
      <c r="C2729" s="47" t="s">
        <v>928</v>
      </c>
      <c r="F2729" s="47" t="s">
        <v>1224</v>
      </c>
      <c r="G2729" s="47">
        <v>1</v>
      </c>
      <c r="L2729" s="47" t="s">
        <v>1276</v>
      </c>
      <c r="M2729" s="47" t="s">
        <v>1279</v>
      </c>
    </row>
    <row r="2730" spans="2:13" ht="15" customHeight="1">
      <c r="B2730" s="47">
        <v>3044</v>
      </c>
      <c r="C2730" s="47" t="s">
        <v>928</v>
      </c>
      <c r="F2730" s="47" t="s">
        <v>1224</v>
      </c>
      <c r="G2730" s="47">
        <v>1</v>
      </c>
      <c r="L2730" s="47" t="s">
        <v>1276</v>
      </c>
      <c r="M2730" s="47" t="s">
        <v>1279</v>
      </c>
    </row>
    <row r="2731" spans="2:13" ht="15" customHeight="1">
      <c r="B2731" s="47">
        <v>3045</v>
      </c>
      <c r="C2731" s="47" t="s">
        <v>928</v>
      </c>
      <c r="F2731" s="47" t="s">
        <v>1224</v>
      </c>
      <c r="G2731" s="47">
        <v>1</v>
      </c>
      <c r="L2731" s="47" t="s">
        <v>1276</v>
      </c>
      <c r="M2731" s="47" t="s">
        <v>1279</v>
      </c>
    </row>
    <row r="2732" spans="2:13" ht="15" customHeight="1">
      <c r="B2732" s="47">
        <v>3046</v>
      </c>
      <c r="C2732" s="47" t="s">
        <v>928</v>
      </c>
      <c r="F2732" s="47" t="s">
        <v>185</v>
      </c>
      <c r="G2732" s="47">
        <v>1</v>
      </c>
      <c r="L2732" s="47" t="s">
        <v>1276</v>
      </c>
      <c r="M2732" s="47" t="s">
        <v>1279</v>
      </c>
    </row>
    <row r="2733" spans="2:13" ht="15" customHeight="1">
      <c r="B2733" s="47">
        <v>3047</v>
      </c>
      <c r="C2733" s="47" t="s">
        <v>928</v>
      </c>
      <c r="F2733" s="47" t="s">
        <v>185</v>
      </c>
      <c r="G2733" s="47">
        <v>1</v>
      </c>
      <c r="L2733" s="47" t="s">
        <v>1276</v>
      </c>
      <c r="M2733" s="47" t="s">
        <v>1279</v>
      </c>
    </row>
    <row r="2734" spans="2:13" ht="15" customHeight="1">
      <c r="B2734" s="47">
        <v>3048</v>
      </c>
      <c r="C2734" s="47" t="s">
        <v>928</v>
      </c>
      <c r="F2734" s="47" t="s">
        <v>1223</v>
      </c>
      <c r="G2734" s="47">
        <v>1</v>
      </c>
      <c r="L2734" s="47" t="s">
        <v>1276</v>
      </c>
      <c r="M2734" s="47" t="s">
        <v>1279</v>
      </c>
    </row>
    <row r="2735" spans="2:13" ht="15" customHeight="1">
      <c r="B2735" s="47">
        <v>3049</v>
      </c>
      <c r="C2735" s="47" t="s">
        <v>928</v>
      </c>
      <c r="F2735" s="47" t="s">
        <v>980</v>
      </c>
      <c r="G2735" s="47">
        <v>1</v>
      </c>
      <c r="L2735" s="47" t="s">
        <v>1276</v>
      </c>
      <c r="M2735" s="47" t="s">
        <v>1279</v>
      </c>
    </row>
    <row r="2736" spans="2:13" ht="15" customHeight="1">
      <c r="B2736" s="47">
        <v>3050</v>
      </c>
      <c r="C2736" s="47" t="s">
        <v>928</v>
      </c>
      <c r="F2736" s="47" t="s">
        <v>185</v>
      </c>
      <c r="G2736" s="47">
        <v>1</v>
      </c>
      <c r="L2736" s="47" t="s">
        <v>1276</v>
      </c>
      <c r="M2736" s="47" t="s">
        <v>1279</v>
      </c>
    </row>
    <row r="2737" spans="2:16" ht="15" customHeight="1">
      <c r="B2737" s="47">
        <v>3052</v>
      </c>
      <c r="C2737" s="47" t="s">
        <v>928</v>
      </c>
      <c r="F2737" s="47" t="s">
        <v>1259</v>
      </c>
      <c r="G2737" s="47">
        <v>1</v>
      </c>
      <c r="L2737" s="47" t="s">
        <v>1276</v>
      </c>
      <c r="M2737" s="47" t="s">
        <v>1279</v>
      </c>
    </row>
    <row r="2738" spans="2:16" ht="15" customHeight="1">
      <c r="B2738" s="47">
        <v>3053</v>
      </c>
      <c r="C2738" s="47" t="s">
        <v>928</v>
      </c>
      <c r="F2738" s="47" t="s">
        <v>1251</v>
      </c>
      <c r="G2738" s="47">
        <v>1</v>
      </c>
      <c r="L2738" s="47" t="s">
        <v>1276</v>
      </c>
      <c r="M2738" s="47" t="s">
        <v>1279</v>
      </c>
    </row>
    <row r="2739" spans="2:16" ht="15" customHeight="1">
      <c r="B2739" s="47">
        <v>3054</v>
      </c>
      <c r="C2739" s="47" t="s">
        <v>928</v>
      </c>
      <c r="F2739" s="47" t="s">
        <v>1251</v>
      </c>
      <c r="G2739" s="47">
        <v>1</v>
      </c>
      <c r="L2739" s="47" t="s">
        <v>1276</v>
      </c>
      <c r="M2739" s="47" t="s">
        <v>1279</v>
      </c>
    </row>
    <row r="2740" spans="2:16" ht="15" customHeight="1">
      <c r="B2740" s="47">
        <v>3055</v>
      </c>
      <c r="C2740" s="47" t="s">
        <v>928</v>
      </c>
      <c r="F2740" s="47" t="s">
        <v>1260</v>
      </c>
      <c r="G2740" s="47">
        <v>1</v>
      </c>
      <c r="L2740" s="47" t="s">
        <v>1276</v>
      </c>
      <c r="M2740" s="47" t="s">
        <v>1279</v>
      </c>
    </row>
    <row r="2741" spans="2:16" ht="15" customHeight="1">
      <c r="B2741" s="47">
        <v>3056</v>
      </c>
      <c r="C2741" s="47" t="s">
        <v>928</v>
      </c>
      <c r="F2741" s="47" t="s">
        <v>1237</v>
      </c>
      <c r="G2741" s="47">
        <v>1</v>
      </c>
      <c r="L2741" s="47" t="s">
        <v>1276</v>
      </c>
      <c r="M2741" s="47" t="s">
        <v>1279</v>
      </c>
    </row>
    <row r="2742" spans="2:16" ht="15" customHeight="1">
      <c r="B2742" s="47">
        <v>3057</v>
      </c>
      <c r="C2742" s="47" t="s">
        <v>928</v>
      </c>
      <c r="F2742" s="47" t="s">
        <v>1230</v>
      </c>
      <c r="G2742" s="47">
        <v>1</v>
      </c>
      <c r="L2742" s="47" t="s">
        <v>1276</v>
      </c>
      <c r="M2742" s="47" t="s">
        <v>1279</v>
      </c>
    </row>
    <row r="2743" spans="2:16" ht="15" customHeight="1">
      <c r="B2743" s="47">
        <v>3058</v>
      </c>
      <c r="C2743" s="47" t="s">
        <v>928</v>
      </c>
      <c r="F2743" s="47" t="s">
        <v>1230</v>
      </c>
      <c r="G2743" s="47">
        <v>1</v>
      </c>
      <c r="L2743" s="47" t="s">
        <v>1276</v>
      </c>
      <c r="M2743" s="47" t="s">
        <v>1279</v>
      </c>
    </row>
    <row r="2744" spans="2:16" ht="15" customHeight="1">
      <c r="B2744" s="47">
        <v>3059</v>
      </c>
      <c r="C2744" s="47" t="s">
        <v>942</v>
      </c>
      <c r="D2744" s="47" t="s">
        <v>224</v>
      </c>
      <c r="E2744" s="46" t="s">
        <v>1004</v>
      </c>
      <c r="L2744" s="47" t="s">
        <v>536</v>
      </c>
      <c r="M2744" s="47" t="s">
        <v>1005</v>
      </c>
      <c r="O2744" s="46" t="s">
        <v>43</v>
      </c>
      <c r="P2744" s="46" t="s">
        <v>50</v>
      </c>
    </row>
    <row r="2745" spans="2:16" ht="15" customHeight="1">
      <c r="B2745" s="47">
        <v>3059</v>
      </c>
      <c r="C2745" s="47" t="s">
        <v>928</v>
      </c>
      <c r="F2745" s="47" t="s">
        <v>980</v>
      </c>
      <c r="G2745" s="47">
        <v>1</v>
      </c>
      <c r="L2745" s="47" t="s">
        <v>1277</v>
      </c>
      <c r="M2745" s="47" t="s">
        <v>1280</v>
      </c>
    </row>
    <row r="2746" spans="2:16" ht="15" customHeight="1">
      <c r="B2746" s="47">
        <v>3060</v>
      </c>
      <c r="C2746" s="47" t="s">
        <v>942</v>
      </c>
      <c r="D2746" s="47" t="s">
        <v>224</v>
      </c>
      <c r="E2746" s="46" t="s">
        <v>1004</v>
      </c>
      <c r="L2746" s="47" t="s">
        <v>536</v>
      </c>
      <c r="M2746" s="47" t="s">
        <v>1005</v>
      </c>
      <c r="O2746" s="46" t="s">
        <v>43</v>
      </c>
      <c r="P2746" s="46" t="s">
        <v>50</v>
      </c>
    </row>
    <row r="2747" spans="2:16" ht="15" customHeight="1">
      <c r="B2747" s="47">
        <v>3060</v>
      </c>
      <c r="C2747" s="47" t="s">
        <v>928</v>
      </c>
      <c r="F2747" s="47" t="s">
        <v>1069</v>
      </c>
      <c r="G2747" s="47">
        <v>1</v>
      </c>
      <c r="L2747" s="47" t="s">
        <v>1277</v>
      </c>
      <c r="M2747" s="47" t="s">
        <v>1280</v>
      </c>
    </row>
    <row r="2748" spans="2:16" ht="15" customHeight="1">
      <c r="B2748" s="47">
        <v>3061</v>
      </c>
      <c r="C2748" s="47" t="s">
        <v>942</v>
      </c>
      <c r="D2748" s="47" t="s">
        <v>224</v>
      </c>
      <c r="E2748" s="46" t="s">
        <v>1006</v>
      </c>
      <c r="L2748" s="47" t="s">
        <v>536</v>
      </c>
      <c r="M2748" s="47" t="s">
        <v>1005</v>
      </c>
      <c r="O2748" s="46" t="s">
        <v>43</v>
      </c>
      <c r="P2748" s="46" t="s">
        <v>50</v>
      </c>
    </row>
    <row r="2749" spans="2:16" ht="15" customHeight="1">
      <c r="B2749" s="47">
        <v>3061</v>
      </c>
      <c r="C2749" s="47" t="s">
        <v>928</v>
      </c>
      <c r="F2749" s="47" t="s">
        <v>1259</v>
      </c>
      <c r="G2749" s="47">
        <v>1</v>
      </c>
      <c r="L2749" s="47" t="s">
        <v>1277</v>
      </c>
      <c r="M2749" s="47" t="s">
        <v>1280</v>
      </c>
    </row>
    <row r="2750" spans="2:16" ht="15" customHeight="1">
      <c r="B2750" s="47">
        <v>3062</v>
      </c>
      <c r="C2750" s="47" t="s">
        <v>942</v>
      </c>
      <c r="D2750" s="47" t="s">
        <v>224</v>
      </c>
      <c r="E2750" s="46" t="s">
        <v>1006</v>
      </c>
      <c r="L2750" s="47" t="s">
        <v>536</v>
      </c>
      <c r="M2750" s="47" t="s">
        <v>1005</v>
      </c>
      <c r="O2750" s="46" t="s">
        <v>43</v>
      </c>
      <c r="P2750" s="46" t="s">
        <v>50</v>
      </c>
    </row>
    <row r="2751" spans="2:16" ht="15" customHeight="1">
      <c r="B2751" s="47">
        <v>3062</v>
      </c>
      <c r="C2751" s="47" t="s">
        <v>928</v>
      </c>
      <c r="F2751" s="47" t="s">
        <v>1230</v>
      </c>
      <c r="G2751" s="47">
        <v>1</v>
      </c>
      <c r="L2751" s="47" t="s">
        <v>1277</v>
      </c>
      <c r="M2751" s="47" t="s">
        <v>1280</v>
      </c>
    </row>
    <row r="2752" spans="2:16" ht="15" customHeight="1">
      <c r="B2752" s="47">
        <v>3063</v>
      </c>
      <c r="C2752" s="47" t="s">
        <v>942</v>
      </c>
      <c r="D2752" s="47" t="s">
        <v>224</v>
      </c>
      <c r="E2752" s="46" t="s">
        <v>267</v>
      </c>
      <c r="L2752" s="47" t="s">
        <v>536</v>
      </c>
      <c r="M2752" s="47" t="s">
        <v>371</v>
      </c>
      <c r="O2752" s="46" t="s">
        <v>43</v>
      </c>
      <c r="P2752" s="46" t="s">
        <v>50</v>
      </c>
    </row>
    <row r="2753" spans="2:16" ht="15" customHeight="1">
      <c r="B2753" s="47">
        <v>3063</v>
      </c>
      <c r="C2753" s="47" t="s">
        <v>928</v>
      </c>
      <c r="F2753" s="47" t="s">
        <v>185</v>
      </c>
      <c r="G2753" s="47">
        <v>1</v>
      </c>
      <c r="L2753" s="47" t="s">
        <v>1278</v>
      </c>
      <c r="M2753" s="47" t="s">
        <v>1280</v>
      </c>
    </row>
    <row r="2754" spans="2:16" ht="15" customHeight="1">
      <c r="B2754" s="47">
        <v>3064</v>
      </c>
      <c r="C2754" s="47" t="s">
        <v>942</v>
      </c>
      <c r="D2754" s="47" t="s">
        <v>224</v>
      </c>
      <c r="E2754" s="16" t="s">
        <v>1103</v>
      </c>
      <c r="L2754" s="47" t="s">
        <v>536</v>
      </c>
      <c r="M2754" s="47" t="s">
        <v>371</v>
      </c>
      <c r="O2754" s="46" t="s">
        <v>43</v>
      </c>
      <c r="P2754" s="46" t="s">
        <v>50</v>
      </c>
    </row>
    <row r="2755" spans="2:16" ht="15" customHeight="1">
      <c r="B2755" s="47">
        <v>3064</v>
      </c>
      <c r="C2755" s="47" t="s">
        <v>928</v>
      </c>
      <c r="F2755" s="47" t="s">
        <v>185</v>
      </c>
      <c r="G2755" s="47">
        <v>1</v>
      </c>
      <c r="L2755" s="47" t="s">
        <v>1278</v>
      </c>
      <c r="M2755" s="47" t="s">
        <v>1280</v>
      </c>
    </row>
    <row r="2756" spans="2:16" ht="15" customHeight="1">
      <c r="B2756" s="47">
        <v>3065</v>
      </c>
      <c r="C2756" s="47" t="s">
        <v>942</v>
      </c>
      <c r="D2756" s="47" t="s">
        <v>224</v>
      </c>
      <c r="E2756" s="46" t="s">
        <v>228</v>
      </c>
      <c r="M2756" s="47" t="s">
        <v>371</v>
      </c>
      <c r="O2756" s="46" t="s">
        <v>43</v>
      </c>
      <c r="P2756" s="46" t="s">
        <v>50</v>
      </c>
    </row>
    <row r="2757" spans="2:16" ht="15" customHeight="1">
      <c r="B2757" s="47">
        <v>3065</v>
      </c>
      <c r="C2757" s="47" t="s">
        <v>928</v>
      </c>
      <c r="F2757" s="47" t="s">
        <v>1069</v>
      </c>
      <c r="G2757" s="47">
        <v>1</v>
      </c>
      <c r="L2757" s="47" t="s">
        <v>1277</v>
      </c>
      <c r="M2757" s="47" t="s">
        <v>1280</v>
      </c>
    </row>
    <row r="2758" spans="2:16" ht="15" customHeight="1">
      <c r="B2758" s="47">
        <v>3066</v>
      </c>
      <c r="C2758" s="47" t="s">
        <v>942</v>
      </c>
      <c r="D2758" s="47" t="s">
        <v>224</v>
      </c>
      <c r="E2758" s="47" t="s">
        <v>519</v>
      </c>
      <c r="L2758" s="54" t="s">
        <v>403</v>
      </c>
      <c r="M2758" s="47" t="s">
        <v>1012</v>
      </c>
      <c r="O2758" s="46" t="s">
        <v>43</v>
      </c>
      <c r="P2758" s="46" t="s">
        <v>50</v>
      </c>
    </row>
    <row r="2759" spans="2:16" ht="15" customHeight="1">
      <c r="B2759" s="47">
        <v>3066</v>
      </c>
      <c r="C2759" s="47" t="s">
        <v>928</v>
      </c>
      <c r="F2759" s="47" t="s">
        <v>1230</v>
      </c>
      <c r="G2759" s="47">
        <v>1</v>
      </c>
      <c r="L2759" s="47" t="s">
        <v>1277</v>
      </c>
      <c r="M2759" s="47" t="s">
        <v>1280</v>
      </c>
    </row>
    <row r="2760" spans="2:16" ht="15" customHeight="1">
      <c r="B2760" s="47">
        <v>3067</v>
      </c>
      <c r="C2760" s="47" t="s">
        <v>942</v>
      </c>
      <c r="D2760" s="47" t="s">
        <v>224</v>
      </c>
      <c r="E2760" s="46" t="s">
        <v>522</v>
      </c>
      <c r="L2760" s="54" t="s">
        <v>1007</v>
      </c>
      <c r="M2760" s="47" t="s">
        <v>1008</v>
      </c>
      <c r="O2760" s="46" t="s">
        <v>43</v>
      </c>
      <c r="P2760" s="46" t="s">
        <v>50</v>
      </c>
    </row>
    <row r="2761" spans="2:16" ht="15" customHeight="1">
      <c r="B2761" s="47">
        <v>3067</v>
      </c>
      <c r="C2761" s="47" t="s">
        <v>928</v>
      </c>
      <c r="F2761" s="47" t="s">
        <v>185</v>
      </c>
      <c r="G2761" s="47">
        <v>1</v>
      </c>
      <c r="L2761" s="47" t="s">
        <v>1278</v>
      </c>
      <c r="M2761" s="47" t="s">
        <v>1280</v>
      </c>
    </row>
    <row r="2762" spans="2:16" ht="15" customHeight="1">
      <c r="B2762" s="47">
        <v>3068</v>
      </c>
      <c r="C2762" s="47" t="s">
        <v>942</v>
      </c>
      <c r="F2762" s="47" t="s">
        <v>1233</v>
      </c>
      <c r="G2762" s="47">
        <v>1</v>
      </c>
      <c r="L2762" s="47" t="s">
        <v>314</v>
      </c>
      <c r="M2762" s="47" t="s">
        <v>1281</v>
      </c>
    </row>
    <row r="2763" spans="2:16" ht="15" customHeight="1">
      <c r="B2763" s="47">
        <v>3068</v>
      </c>
      <c r="C2763" s="47" t="s">
        <v>942</v>
      </c>
      <c r="F2763" s="47" t="s">
        <v>1233</v>
      </c>
      <c r="G2763" s="47">
        <v>1</v>
      </c>
      <c r="L2763" s="47" t="s">
        <v>314</v>
      </c>
      <c r="M2763" s="47" t="s">
        <v>1281</v>
      </c>
      <c r="N2763" s="47" t="s">
        <v>1293</v>
      </c>
    </row>
    <row r="2764" spans="2:16" ht="15" customHeight="1">
      <c r="B2764" s="47">
        <v>3068</v>
      </c>
      <c r="C2764" s="47" t="s">
        <v>942</v>
      </c>
      <c r="D2764" s="47" t="s">
        <v>224</v>
      </c>
      <c r="E2764" s="47" t="s">
        <v>1097</v>
      </c>
      <c r="L2764" s="47" t="s">
        <v>1009</v>
      </c>
      <c r="M2764" s="47" t="s">
        <v>1008</v>
      </c>
      <c r="O2764" s="46" t="s">
        <v>43</v>
      </c>
      <c r="P2764" s="46" t="s">
        <v>50</v>
      </c>
    </row>
    <row r="2765" spans="2:16" ht="15" customHeight="1">
      <c r="B2765" s="47">
        <v>3068</v>
      </c>
      <c r="C2765" s="47" t="s">
        <v>928</v>
      </c>
      <c r="F2765" s="47" t="s">
        <v>185</v>
      </c>
      <c r="G2765" s="47">
        <v>1</v>
      </c>
      <c r="L2765" s="47" t="s">
        <v>1278</v>
      </c>
      <c r="M2765" s="47" t="s">
        <v>1280</v>
      </c>
    </row>
    <row r="2766" spans="2:16" ht="15" customHeight="1">
      <c r="B2766" s="47">
        <v>3069</v>
      </c>
      <c r="C2766" s="47" t="s">
        <v>942</v>
      </c>
      <c r="D2766" s="47" t="s">
        <v>224</v>
      </c>
      <c r="E2766" s="46" t="s">
        <v>1033</v>
      </c>
      <c r="F2766" s="46"/>
      <c r="G2766" s="46"/>
      <c r="H2766" s="46"/>
      <c r="I2766" s="46"/>
      <c r="J2766" s="46"/>
      <c r="K2766" s="46"/>
      <c r="L2766" s="46" t="s">
        <v>1034</v>
      </c>
      <c r="M2766" s="46" t="s">
        <v>292</v>
      </c>
      <c r="N2766" s="46"/>
      <c r="O2766" s="46" t="s">
        <v>43</v>
      </c>
      <c r="P2766" s="46" t="s">
        <v>50</v>
      </c>
    </row>
    <row r="2767" spans="2:16" ht="15" customHeight="1">
      <c r="B2767" s="47">
        <v>3069</v>
      </c>
      <c r="C2767" s="47" t="s">
        <v>928</v>
      </c>
      <c r="F2767" s="47" t="s">
        <v>185</v>
      </c>
      <c r="G2767" s="47">
        <v>1</v>
      </c>
      <c r="L2767" s="47" t="s">
        <v>1278</v>
      </c>
      <c r="M2767" s="47" t="s">
        <v>1280</v>
      </c>
    </row>
    <row r="2768" spans="2:16" ht="15" customHeight="1">
      <c r="B2768" s="47">
        <v>3070</v>
      </c>
      <c r="C2768" s="47" t="s">
        <v>942</v>
      </c>
      <c r="F2768" s="47" t="s">
        <v>1233</v>
      </c>
      <c r="G2768" s="47">
        <v>1</v>
      </c>
      <c r="L2768" s="47" t="s">
        <v>1277</v>
      </c>
      <c r="M2768" s="47" t="s">
        <v>1282</v>
      </c>
    </row>
    <row r="2769" spans="2:16" ht="15" customHeight="1">
      <c r="B2769" s="47">
        <v>3070</v>
      </c>
      <c r="C2769" s="47" t="s">
        <v>942</v>
      </c>
      <c r="D2769" s="47" t="s">
        <v>224</v>
      </c>
      <c r="E2769" s="46" t="s">
        <v>276</v>
      </c>
      <c r="F2769" s="46"/>
      <c r="G2769" s="46"/>
      <c r="H2769" s="46"/>
      <c r="I2769" s="46"/>
      <c r="J2769" s="46"/>
      <c r="K2769" s="46"/>
      <c r="L2769" s="46" t="s">
        <v>330</v>
      </c>
      <c r="M2769" s="46" t="s">
        <v>1035</v>
      </c>
      <c r="N2769" s="46"/>
      <c r="O2769" s="46" t="s">
        <v>43</v>
      </c>
      <c r="P2769" s="46" t="s">
        <v>50</v>
      </c>
    </row>
    <row r="2770" spans="2:16" ht="15" customHeight="1">
      <c r="B2770" s="47">
        <v>3070</v>
      </c>
      <c r="C2770" s="47" t="s">
        <v>928</v>
      </c>
      <c r="F2770" s="47" t="s">
        <v>185</v>
      </c>
      <c r="G2770" s="47">
        <v>1</v>
      </c>
      <c r="L2770" s="47" t="s">
        <v>1278</v>
      </c>
      <c r="M2770" s="47" t="s">
        <v>1280</v>
      </c>
    </row>
    <row r="2771" spans="2:16" ht="15" customHeight="1">
      <c r="B2771" s="47">
        <v>3071</v>
      </c>
      <c r="C2771" s="47" t="s">
        <v>942</v>
      </c>
      <c r="F2771" s="47" t="s">
        <v>1233</v>
      </c>
      <c r="G2771" s="47">
        <v>1</v>
      </c>
      <c r="L2771" s="47" t="s">
        <v>1276</v>
      </c>
      <c r="M2771" s="47" t="s">
        <v>1279</v>
      </c>
      <c r="N2771" s="47" t="s">
        <v>1294</v>
      </c>
    </row>
    <row r="2772" spans="2:16" ht="15" customHeight="1">
      <c r="B2772" s="47">
        <v>3071</v>
      </c>
      <c r="C2772" s="47" t="s">
        <v>942</v>
      </c>
      <c r="D2772" s="47" t="s">
        <v>224</v>
      </c>
      <c r="E2772" s="47" t="s">
        <v>1093</v>
      </c>
      <c r="F2772" s="46"/>
      <c r="G2772" s="46"/>
      <c r="H2772" s="46"/>
      <c r="I2772" s="46"/>
      <c r="J2772" s="46"/>
      <c r="K2772" s="46"/>
      <c r="L2772" s="46" t="s">
        <v>531</v>
      </c>
      <c r="M2772" s="46" t="s">
        <v>292</v>
      </c>
      <c r="N2772" s="46"/>
      <c r="O2772" s="46" t="s">
        <v>43</v>
      </c>
      <c r="P2772" s="46" t="s">
        <v>50</v>
      </c>
    </row>
    <row r="2773" spans="2:16" ht="15" customHeight="1">
      <c r="B2773" s="47">
        <v>3071</v>
      </c>
      <c r="C2773" s="47" t="s">
        <v>928</v>
      </c>
      <c r="F2773" s="47" t="s">
        <v>1259</v>
      </c>
      <c r="G2773" s="47">
        <v>1</v>
      </c>
      <c r="L2773" s="47" t="s">
        <v>1277</v>
      </c>
      <c r="M2773" s="47" t="s">
        <v>1280</v>
      </c>
    </row>
    <row r="2774" spans="2:16" ht="15" customHeight="1">
      <c r="B2774" s="47">
        <v>3072</v>
      </c>
      <c r="C2774" s="47" t="s">
        <v>942</v>
      </c>
      <c r="D2774" s="47" t="s">
        <v>224</v>
      </c>
      <c r="E2774" s="46" t="s">
        <v>522</v>
      </c>
      <c r="L2774" s="54" t="s">
        <v>1007</v>
      </c>
      <c r="M2774" s="47" t="s">
        <v>1008</v>
      </c>
      <c r="O2774" s="46" t="s">
        <v>43</v>
      </c>
      <c r="P2774" s="46" t="s">
        <v>50</v>
      </c>
    </row>
    <row r="2775" spans="2:16" ht="15" customHeight="1">
      <c r="B2775" s="47">
        <v>3072</v>
      </c>
      <c r="C2775" s="47" t="s">
        <v>928</v>
      </c>
      <c r="F2775" s="47" t="s">
        <v>1230</v>
      </c>
      <c r="G2775" s="47">
        <v>1</v>
      </c>
      <c r="L2775" s="47" t="s">
        <v>1277</v>
      </c>
      <c r="M2775" s="47" t="s">
        <v>1280</v>
      </c>
    </row>
    <row r="2776" spans="2:16" ht="15" customHeight="1">
      <c r="B2776" s="47">
        <v>3073</v>
      </c>
      <c r="C2776" s="47" t="s">
        <v>942</v>
      </c>
      <c r="F2776" s="47" t="s">
        <v>1233</v>
      </c>
      <c r="G2776" s="47">
        <v>1</v>
      </c>
      <c r="L2776" s="47" t="s">
        <v>314</v>
      </c>
      <c r="M2776" s="47" t="s">
        <v>1281</v>
      </c>
    </row>
    <row r="2777" spans="2:16" ht="15" customHeight="1">
      <c r="B2777" s="47">
        <v>3073</v>
      </c>
      <c r="C2777" s="47" t="s">
        <v>942</v>
      </c>
      <c r="D2777" s="47" t="s">
        <v>224</v>
      </c>
      <c r="E2777" s="47" t="s">
        <v>1097</v>
      </c>
      <c r="L2777" s="47" t="s">
        <v>1009</v>
      </c>
      <c r="M2777" s="47" t="s">
        <v>1008</v>
      </c>
      <c r="O2777" s="46" t="s">
        <v>43</v>
      </c>
      <c r="P2777" s="46" t="s">
        <v>50</v>
      </c>
    </row>
    <row r="2778" spans="2:16" ht="15" customHeight="1">
      <c r="B2778" s="47">
        <v>3073</v>
      </c>
      <c r="C2778" s="47" t="s">
        <v>928</v>
      </c>
      <c r="F2778" s="47" t="s">
        <v>1230</v>
      </c>
      <c r="G2778" s="47">
        <v>1</v>
      </c>
      <c r="L2778" s="47" t="s">
        <v>1277</v>
      </c>
      <c r="M2778" s="47" t="s">
        <v>1280</v>
      </c>
    </row>
    <row r="2779" spans="2:16" ht="15" customHeight="1">
      <c r="B2779" s="47">
        <v>3074</v>
      </c>
      <c r="C2779" s="47" t="s">
        <v>942</v>
      </c>
      <c r="F2779" s="47" t="s">
        <v>1233</v>
      </c>
      <c r="G2779" s="47">
        <v>1</v>
      </c>
      <c r="L2779" s="47" t="s">
        <v>314</v>
      </c>
      <c r="M2779" s="47" t="s">
        <v>1281</v>
      </c>
    </row>
    <row r="2780" spans="2:16" ht="15" customHeight="1">
      <c r="B2780" s="47">
        <v>3074</v>
      </c>
      <c r="C2780" s="47" t="s">
        <v>942</v>
      </c>
      <c r="D2780" s="47" t="s">
        <v>224</v>
      </c>
      <c r="E2780" s="46" t="s">
        <v>1033</v>
      </c>
      <c r="F2780" s="46"/>
      <c r="G2780" s="46"/>
      <c r="H2780" s="46"/>
      <c r="I2780" s="46"/>
      <c r="J2780" s="46"/>
      <c r="K2780" s="46"/>
      <c r="L2780" s="46" t="s">
        <v>1034</v>
      </c>
      <c r="M2780" s="46" t="s">
        <v>292</v>
      </c>
      <c r="N2780" s="46"/>
      <c r="O2780" s="46" t="s">
        <v>43</v>
      </c>
      <c r="P2780" s="46" t="s">
        <v>50</v>
      </c>
    </row>
    <row r="2781" spans="2:16" ht="15" customHeight="1">
      <c r="B2781" s="47">
        <v>3075</v>
      </c>
      <c r="C2781" s="47" t="s">
        <v>942</v>
      </c>
      <c r="F2781" s="47" t="s">
        <v>1233</v>
      </c>
      <c r="G2781" s="47">
        <v>1</v>
      </c>
      <c r="L2781" s="47" t="s">
        <v>1277</v>
      </c>
      <c r="M2781" s="47" t="s">
        <v>1282</v>
      </c>
    </row>
    <row r="2782" spans="2:16" ht="15" customHeight="1">
      <c r="B2782" s="47">
        <v>3075</v>
      </c>
      <c r="C2782" s="47" t="s">
        <v>942</v>
      </c>
      <c r="D2782" s="47" t="s">
        <v>224</v>
      </c>
      <c r="E2782" s="46" t="s">
        <v>276</v>
      </c>
      <c r="F2782" s="46"/>
      <c r="G2782" s="46"/>
      <c r="H2782" s="46"/>
      <c r="I2782" s="46"/>
      <c r="J2782" s="46"/>
      <c r="K2782" s="46"/>
      <c r="L2782" s="46" t="s">
        <v>330</v>
      </c>
      <c r="M2782" s="46" t="s">
        <v>1035</v>
      </c>
      <c r="N2782" s="46"/>
      <c r="O2782" s="46" t="s">
        <v>43</v>
      </c>
      <c r="P2782" s="46" t="s">
        <v>50</v>
      </c>
    </row>
    <row r="2783" spans="2:16" ht="15" customHeight="1">
      <c r="B2783" s="47">
        <v>3076</v>
      </c>
      <c r="C2783" s="47" t="s">
        <v>942</v>
      </c>
      <c r="F2783" s="47" t="s">
        <v>1233</v>
      </c>
      <c r="G2783" s="47">
        <v>1</v>
      </c>
      <c r="L2783" s="47" t="s">
        <v>1276</v>
      </c>
      <c r="M2783" s="47" t="s">
        <v>1279</v>
      </c>
    </row>
    <row r="2784" spans="2:16" ht="15" customHeight="1">
      <c r="B2784" s="47">
        <v>3076</v>
      </c>
      <c r="C2784" s="47" t="s">
        <v>942</v>
      </c>
      <c r="D2784" s="47" t="s">
        <v>224</v>
      </c>
      <c r="E2784" s="47" t="s">
        <v>1093</v>
      </c>
      <c r="F2784" s="46"/>
      <c r="G2784" s="46"/>
      <c r="H2784" s="46"/>
      <c r="I2784" s="46"/>
      <c r="J2784" s="46"/>
      <c r="K2784" s="46"/>
      <c r="L2784" s="46" t="s">
        <v>531</v>
      </c>
      <c r="M2784" s="46" t="s">
        <v>292</v>
      </c>
      <c r="N2784" s="46"/>
      <c r="O2784" s="46" t="s">
        <v>43</v>
      </c>
      <c r="P2784" s="46" t="s">
        <v>50</v>
      </c>
    </row>
    <row r="2785" spans="2:16" ht="15" customHeight="1">
      <c r="B2785" s="47">
        <v>3077</v>
      </c>
      <c r="C2785" s="47" t="s">
        <v>942</v>
      </c>
      <c r="F2785" s="47" t="s">
        <v>1233</v>
      </c>
      <c r="G2785" s="47">
        <v>1</v>
      </c>
      <c r="L2785" s="47" t="s">
        <v>314</v>
      </c>
      <c r="M2785" s="47" t="s">
        <v>1281</v>
      </c>
    </row>
    <row r="2786" spans="2:16" ht="15" customHeight="1">
      <c r="B2786" s="47">
        <v>3077</v>
      </c>
      <c r="C2786" s="47" t="s">
        <v>942</v>
      </c>
      <c r="D2786" s="47" t="s">
        <v>224</v>
      </c>
      <c r="E2786" s="46" t="s">
        <v>522</v>
      </c>
      <c r="L2786" s="54" t="s">
        <v>1007</v>
      </c>
      <c r="M2786" s="47" t="s">
        <v>1008</v>
      </c>
      <c r="O2786" s="46" t="s">
        <v>43</v>
      </c>
      <c r="P2786" s="46" t="s">
        <v>50</v>
      </c>
    </row>
    <row r="2787" spans="2:16" ht="15" customHeight="1">
      <c r="B2787" s="47">
        <v>3078</v>
      </c>
      <c r="C2787" s="47" t="s">
        <v>1220</v>
      </c>
      <c r="F2787" s="47" t="s">
        <v>1233</v>
      </c>
      <c r="G2787" s="47">
        <v>1</v>
      </c>
      <c r="L2787" s="47" t="s">
        <v>314</v>
      </c>
      <c r="M2787" s="47" t="s">
        <v>1281</v>
      </c>
    </row>
    <row r="2788" spans="2:16" ht="15" customHeight="1">
      <c r="B2788" s="47">
        <v>3078</v>
      </c>
      <c r="C2788" s="47" t="s">
        <v>942</v>
      </c>
      <c r="D2788" s="47" t="s">
        <v>224</v>
      </c>
      <c r="E2788" s="47" t="s">
        <v>1097</v>
      </c>
      <c r="L2788" s="47" t="s">
        <v>1009</v>
      </c>
      <c r="M2788" s="47" t="s">
        <v>1008</v>
      </c>
      <c r="O2788" s="46" t="s">
        <v>43</v>
      </c>
      <c r="P2788" s="46" t="s">
        <v>50</v>
      </c>
    </row>
    <row r="2789" spans="2:16" ht="15" customHeight="1">
      <c r="B2789" s="47">
        <v>3079</v>
      </c>
      <c r="C2789" s="47" t="s">
        <v>942</v>
      </c>
      <c r="D2789" s="47" t="s">
        <v>224</v>
      </c>
      <c r="E2789" s="46" t="s">
        <v>1033</v>
      </c>
      <c r="F2789" s="46"/>
      <c r="G2789" s="46"/>
      <c r="H2789" s="46"/>
      <c r="I2789" s="46"/>
      <c r="J2789" s="46"/>
      <c r="K2789" s="46"/>
      <c r="L2789" s="46" t="s">
        <v>1034</v>
      </c>
      <c r="M2789" s="46" t="s">
        <v>292</v>
      </c>
      <c r="N2789" s="46"/>
      <c r="O2789" s="46" t="s">
        <v>43</v>
      </c>
      <c r="P2789" s="46" t="s">
        <v>50</v>
      </c>
    </row>
    <row r="2790" spans="2:16" ht="15" customHeight="1">
      <c r="B2790" s="47">
        <v>3080</v>
      </c>
      <c r="C2790" s="47" t="s">
        <v>942</v>
      </c>
      <c r="F2790" s="47" t="s">
        <v>1233</v>
      </c>
      <c r="G2790" s="47">
        <v>1</v>
      </c>
      <c r="L2790" s="47" t="s">
        <v>1277</v>
      </c>
      <c r="M2790" s="47" t="s">
        <v>1282</v>
      </c>
    </row>
    <row r="2791" spans="2:16" ht="15" customHeight="1">
      <c r="B2791" s="47">
        <v>3080</v>
      </c>
      <c r="C2791" s="47" t="s">
        <v>942</v>
      </c>
      <c r="D2791" s="47" t="s">
        <v>224</v>
      </c>
      <c r="E2791" s="46" t="s">
        <v>276</v>
      </c>
      <c r="F2791" s="46"/>
      <c r="G2791" s="46"/>
      <c r="H2791" s="46"/>
      <c r="I2791" s="46"/>
      <c r="J2791" s="46"/>
      <c r="K2791" s="46"/>
      <c r="L2791" s="46" t="s">
        <v>330</v>
      </c>
      <c r="M2791" s="46" t="s">
        <v>1035</v>
      </c>
      <c r="N2791" s="46"/>
      <c r="O2791" s="46" t="s">
        <v>43</v>
      </c>
      <c r="P2791" s="46" t="s">
        <v>50</v>
      </c>
    </row>
    <row r="2792" spans="2:16" ht="15" customHeight="1">
      <c r="B2792" s="47">
        <v>3081</v>
      </c>
      <c r="C2792" s="47" t="s">
        <v>942</v>
      </c>
      <c r="D2792" s="47" t="s">
        <v>224</v>
      </c>
      <c r="E2792" s="47" t="s">
        <v>1093</v>
      </c>
      <c r="F2792" s="46"/>
      <c r="G2792" s="46"/>
      <c r="H2792" s="46"/>
      <c r="I2792" s="46"/>
      <c r="J2792" s="46"/>
      <c r="K2792" s="46"/>
      <c r="L2792" s="46" t="s">
        <v>531</v>
      </c>
      <c r="M2792" s="46" t="s">
        <v>292</v>
      </c>
      <c r="N2792" s="46"/>
      <c r="O2792" s="46" t="s">
        <v>43</v>
      </c>
      <c r="P2792" s="46" t="s">
        <v>50</v>
      </c>
    </row>
    <row r="2793" spans="2:16" ht="15" customHeight="1">
      <c r="B2793" s="47">
        <v>3089</v>
      </c>
      <c r="C2793" s="47" t="s">
        <v>942</v>
      </c>
      <c r="F2793" s="47" t="s">
        <v>1233</v>
      </c>
      <c r="G2793" s="47">
        <v>1</v>
      </c>
      <c r="L2793" s="47" t="s">
        <v>1276</v>
      </c>
      <c r="M2793" s="47" t="s">
        <v>1279</v>
      </c>
    </row>
    <row r="2794" spans="2:16" ht="15" customHeight="1">
      <c r="B2794" s="47">
        <v>3136</v>
      </c>
      <c r="C2794" s="47" t="s">
        <v>881</v>
      </c>
      <c r="D2794" s="47" t="s">
        <v>204</v>
      </c>
      <c r="E2794" s="47" t="s">
        <v>522</v>
      </c>
      <c r="H2794" s="47" t="s">
        <v>43</v>
      </c>
      <c r="I2794" s="47" t="s">
        <v>50</v>
      </c>
      <c r="L2794" s="47" t="s">
        <v>1149</v>
      </c>
      <c r="M2794" s="47" t="s">
        <v>1211</v>
      </c>
    </row>
    <row r="2795" spans="2:16" ht="15" customHeight="1">
      <c r="B2795" s="47">
        <v>3137</v>
      </c>
      <c r="C2795" s="47" t="s">
        <v>881</v>
      </c>
      <c r="D2795" s="47" t="s">
        <v>204</v>
      </c>
      <c r="E2795" s="47" t="s">
        <v>1097</v>
      </c>
      <c r="H2795" s="47" t="s">
        <v>43</v>
      </c>
      <c r="I2795" s="47" t="s">
        <v>50</v>
      </c>
      <c r="L2795" s="47" t="s">
        <v>531</v>
      </c>
      <c r="M2795" s="47" t="s">
        <v>1212</v>
      </c>
    </row>
    <row r="2796" spans="2:16" ht="15" customHeight="1">
      <c r="B2796" s="47">
        <v>3145</v>
      </c>
      <c r="C2796" s="47" t="s">
        <v>948</v>
      </c>
      <c r="D2796" s="47" t="s">
        <v>224</v>
      </c>
      <c r="E2796" s="47" t="s">
        <v>222</v>
      </c>
      <c r="H2796" s="47" t="s">
        <v>43</v>
      </c>
      <c r="I2796" s="47" t="s">
        <v>50</v>
      </c>
      <c r="M2796" s="47" t="s">
        <v>223</v>
      </c>
    </row>
    <row r="2797" spans="2:16" ht="15" customHeight="1">
      <c r="B2797" s="47">
        <v>3146</v>
      </c>
      <c r="C2797" s="47" t="s">
        <v>946</v>
      </c>
      <c r="D2797" s="47" t="s">
        <v>224</v>
      </c>
      <c r="E2797" s="47" t="s">
        <v>222</v>
      </c>
      <c r="H2797" s="47" t="s">
        <v>43</v>
      </c>
      <c r="I2797" s="47" t="s">
        <v>50</v>
      </c>
      <c r="M2797" s="47" t="s">
        <v>223</v>
      </c>
    </row>
    <row r="2798" spans="2:16" ht="15" customHeight="1">
      <c r="B2798">
        <v>3148</v>
      </c>
      <c r="C2798" t="s">
        <v>939</v>
      </c>
      <c r="D2798" s="47" t="s">
        <v>1124</v>
      </c>
      <c r="E2798" t="s">
        <v>1117</v>
      </c>
    </row>
    <row r="2799" spans="2:16" ht="15" customHeight="1">
      <c r="B2799">
        <v>3149</v>
      </c>
      <c r="C2799" t="s">
        <v>939</v>
      </c>
      <c r="D2799" t="s">
        <v>204</v>
      </c>
    </row>
    <row r="2800" spans="2:16" ht="15" customHeight="1">
      <c r="B2800">
        <v>3150</v>
      </c>
      <c r="C2800" t="s">
        <v>939</v>
      </c>
      <c r="D2800" s="2" t="s">
        <v>177</v>
      </c>
      <c r="F2800" s="47" t="s">
        <v>185</v>
      </c>
      <c r="H2800" s="47" t="s">
        <v>47</v>
      </c>
      <c r="I2800" s="47" t="s">
        <v>30</v>
      </c>
      <c r="J2800" s="47" t="s">
        <v>35</v>
      </c>
    </row>
    <row r="2801" spans="2:10" ht="15" customHeight="1">
      <c r="B2801">
        <v>3151</v>
      </c>
      <c r="C2801" t="s">
        <v>939</v>
      </c>
      <c r="D2801" s="2" t="s">
        <v>177</v>
      </c>
      <c r="F2801" s="47" t="s">
        <v>185</v>
      </c>
      <c r="H2801" s="47" t="s">
        <v>47</v>
      </c>
      <c r="I2801" s="47" t="s">
        <v>30</v>
      </c>
      <c r="J2801" s="47" t="s">
        <v>35</v>
      </c>
    </row>
    <row r="2802" spans="2:10" ht="15" customHeight="1">
      <c r="B2802">
        <v>3152</v>
      </c>
      <c r="C2802" t="s">
        <v>939</v>
      </c>
      <c r="D2802" s="2" t="s">
        <v>177</v>
      </c>
      <c r="F2802" s="47" t="s">
        <v>185</v>
      </c>
      <c r="H2802" s="47" t="s">
        <v>47</v>
      </c>
      <c r="I2802" s="47" t="s">
        <v>30</v>
      </c>
      <c r="J2802" s="47" t="s">
        <v>35</v>
      </c>
    </row>
    <row r="2803" spans="2:10" ht="15" customHeight="1">
      <c r="B2803">
        <v>3153</v>
      </c>
      <c r="C2803" t="s">
        <v>939</v>
      </c>
      <c r="D2803" s="2" t="s">
        <v>177</v>
      </c>
      <c r="F2803" s="47" t="s">
        <v>185</v>
      </c>
      <c r="H2803" s="47" t="s">
        <v>47</v>
      </c>
      <c r="I2803" s="47" t="s">
        <v>30</v>
      </c>
      <c r="J2803" s="47" t="s">
        <v>35</v>
      </c>
    </row>
    <row r="2804" spans="2:10" ht="15" customHeight="1">
      <c r="B2804">
        <v>3154</v>
      </c>
      <c r="C2804" t="s">
        <v>939</v>
      </c>
      <c r="D2804" s="2" t="s">
        <v>177</v>
      </c>
      <c r="F2804" s="47" t="s">
        <v>185</v>
      </c>
      <c r="H2804" s="47" t="s">
        <v>47</v>
      </c>
      <c r="I2804" s="47" t="s">
        <v>30</v>
      </c>
      <c r="J2804" s="47" t="s">
        <v>35</v>
      </c>
    </row>
    <row r="2805" spans="2:10" ht="15" customHeight="1">
      <c r="B2805">
        <v>3155</v>
      </c>
      <c r="C2805" t="s">
        <v>939</v>
      </c>
      <c r="D2805" s="2" t="s">
        <v>177</v>
      </c>
      <c r="F2805" s="47" t="s">
        <v>185</v>
      </c>
      <c r="H2805" s="47" t="s">
        <v>47</v>
      </c>
      <c r="I2805" s="47" t="s">
        <v>30</v>
      </c>
      <c r="J2805" s="47" t="s">
        <v>35</v>
      </c>
    </row>
    <row r="2806" spans="2:10" ht="15" customHeight="1">
      <c r="B2806">
        <v>3156</v>
      </c>
      <c r="C2806" t="s">
        <v>939</v>
      </c>
      <c r="D2806" s="2" t="s">
        <v>177</v>
      </c>
      <c r="F2806" s="47" t="s">
        <v>185</v>
      </c>
      <c r="H2806" s="47" t="s">
        <v>47</v>
      </c>
      <c r="I2806" s="47" t="s">
        <v>30</v>
      </c>
      <c r="J2806" s="47" t="s">
        <v>35</v>
      </c>
    </row>
    <row r="2807" spans="2:10" ht="15" customHeight="1">
      <c r="B2807">
        <v>3157</v>
      </c>
      <c r="C2807" t="s">
        <v>939</v>
      </c>
      <c r="D2807" s="2" t="s">
        <v>177</v>
      </c>
      <c r="F2807" s="47" t="s">
        <v>185</v>
      </c>
      <c r="H2807" s="47" t="s">
        <v>47</v>
      </c>
      <c r="I2807" s="47" t="s">
        <v>30</v>
      </c>
      <c r="J2807" s="47" t="s">
        <v>35</v>
      </c>
    </row>
    <row r="2808" spans="2:10" ht="15" customHeight="1">
      <c r="B2808">
        <v>3158</v>
      </c>
      <c r="C2808" t="s">
        <v>939</v>
      </c>
      <c r="D2808" s="2" t="s">
        <v>177</v>
      </c>
      <c r="F2808" s="47" t="s">
        <v>185</v>
      </c>
      <c r="H2808" s="47" t="s">
        <v>47</v>
      </c>
      <c r="I2808" s="47" t="s">
        <v>30</v>
      </c>
      <c r="J2808" s="47" t="s">
        <v>35</v>
      </c>
    </row>
    <row r="2809" spans="2:10" ht="15" customHeight="1">
      <c r="B2809">
        <v>3159</v>
      </c>
      <c r="C2809" t="s">
        <v>939</v>
      </c>
      <c r="D2809" s="2" t="s">
        <v>177</v>
      </c>
      <c r="F2809" s="47" t="s">
        <v>185</v>
      </c>
      <c r="H2809" s="47" t="s">
        <v>47</v>
      </c>
      <c r="I2809" s="47" t="s">
        <v>30</v>
      </c>
      <c r="J2809" s="47" t="s">
        <v>35</v>
      </c>
    </row>
    <row r="2810" spans="2:10" ht="15" customHeight="1">
      <c r="B2810">
        <v>3160</v>
      </c>
      <c r="C2810" t="s">
        <v>939</v>
      </c>
      <c r="D2810" s="2" t="s">
        <v>177</v>
      </c>
      <c r="F2810" s="47" t="s">
        <v>185</v>
      </c>
      <c r="H2810" s="47" t="s">
        <v>47</v>
      </c>
      <c r="I2810" s="47" t="s">
        <v>30</v>
      </c>
      <c r="J2810" s="47" t="s">
        <v>35</v>
      </c>
    </row>
    <row r="2811" spans="2:10" ht="15" customHeight="1">
      <c r="B2811">
        <v>3161</v>
      </c>
      <c r="C2811" t="s">
        <v>939</v>
      </c>
      <c r="D2811" s="2" t="s">
        <v>177</v>
      </c>
      <c r="F2811" s="47" t="s">
        <v>185</v>
      </c>
      <c r="H2811" s="47" t="s">
        <v>47</v>
      </c>
      <c r="I2811" s="47" t="s">
        <v>30</v>
      </c>
      <c r="J2811" s="47" t="s">
        <v>35</v>
      </c>
    </row>
    <row r="2812" spans="2:10" ht="15" customHeight="1">
      <c r="B2812">
        <v>3162</v>
      </c>
      <c r="C2812" t="s">
        <v>939</v>
      </c>
      <c r="D2812" s="2" t="s">
        <v>177</v>
      </c>
      <c r="F2812" s="47" t="s">
        <v>185</v>
      </c>
      <c r="H2812" s="47" t="s">
        <v>47</v>
      </c>
      <c r="I2812" s="47" t="s">
        <v>30</v>
      </c>
      <c r="J2812" s="47" t="s">
        <v>35</v>
      </c>
    </row>
    <row r="2813" spans="2:10" ht="15" customHeight="1">
      <c r="B2813">
        <v>3163</v>
      </c>
      <c r="C2813" t="s">
        <v>939</v>
      </c>
      <c r="D2813" s="2" t="s">
        <v>177</v>
      </c>
      <c r="F2813" s="47" t="s">
        <v>185</v>
      </c>
      <c r="H2813" s="47" t="s">
        <v>47</v>
      </c>
      <c r="I2813" s="47" t="s">
        <v>30</v>
      </c>
      <c r="J2813" s="47" t="s">
        <v>35</v>
      </c>
    </row>
    <row r="2814" spans="2:10" ht="15" customHeight="1">
      <c r="B2814">
        <v>3164</v>
      </c>
      <c r="C2814" t="s">
        <v>939</v>
      </c>
      <c r="D2814" s="2" t="s">
        <v>177</v>
      </c>
      <c r="F2814" s="47" t="s">
        <v>185</v>
      </c>
      <c r="H2814" s="47" t="s">
        <v>47</v>
      </c>
      <c r="I2814" s="47" t="s">
        <v>30</v>
      </c>
      <c r="J2814" s="47" t="s">
        <v>35</v>
      </c>
    </row>
    <row r="2815" spans="2:10" ht="15" customHeight="1">
      <c r="B2815">
        <v>3165</v>
      </c>
      <c r="C2815" t="s">
        <v>939</v>
      </c>
      <c r="D2815" s="2" t="s">
        <v>177</v>
      </c>
      <c r="F2815" s="47" t="s">
        <v>185</v>
      </c>
      <c r="H2815" s="47" t="s">
        <v>47</v>
      </c>
      <c r="I2815" s="47" t="s">
        <v>30</v>
      </c>
      <c r="J2815" s="47" t="s">
        <v>35</v>
      </c>
    </row>
    <row r="2816" spans="2:10" ht="15" customHeight="1">
      <c r="B2816">
        <v>3166</v>
      </c>
      <c r="C2816" t="s">
        <v>939</v>
      </c>
      <c r="D2816" s="2" t="s">
        <v>177</v>
      </c>
      <c r="F2816" s="47" t="s">
        <v>185</v>
      </c>
      <c r="H2816" s="47" t="s">
        <v>47</v>
      </c>
      <c r="I2816" s="47" t="s">
        <v>30</v>
      </c>
      <c r="J2816" s="47" t="s">
        <v>35</v>
      </c>
    </row>
    <row r="2817" spans="2:13" ht="15" customHeight="1">
      <c r="B2817">
        <v>3167</v>
      </c>
      <c r="C2817" t="s">
        <v>939</v>
      </c>
      <c r="D2817" s="2" t="s">
        <v>177</v>
      </c>
      <c r="F2817" s="47" t="s">
        <v>185</v>
      </c>
      <c r="H2817" s="47" t="s">
        <v>47</v>
      </c>
      <c r="I2817" s="47" t="s">
        <v>30</v>
      </c>
      <c r="J2817" s="47" t="s">
        <v>35</v>
      </c>
    </row>
    <row r="2818" spans="2:13" ht="15" customHeight="1">
      <c r="B2818">
        <v>3168</v>
      </c>
      <c r="C2818" t="s">
        <v>939</v>
      </c>
      <c r="D2818" s="2" t="s">
        <v>177</v>
      </c>
      <c r="F2818" s="47" t="s">
        <v>185</v>
      </c>
      <c r="H2818" s="47" t="s">
        <v>47</v>
      </c>
      <c r="I2818" s="47" t="s">
        <v>30</v>
      </c>
      <c r="J2818" s="47" t="s">
        <v>35</v>
      </c>
    </row>
    <row r="2819" spans="2:13" ht="15" customHeight="1">
      <c r="B2819">
        <v>3169</v>
      </c>
      <c r="C2819" t="s">
        <v>939</v>
      </c>
      <c r="D2819" s="2" t="s">
        <v>177</v>
      </c>
      <c r="F2819" s="47" t="s">
        <v>185</v>
      </c>
      <c r="H2819" s="47" t="s">
        <v>47</v>
      </c>
      <c r="I2819" s="47" t="s">
        <v>30</v>
      </c>
      <c r="J2819" s="47" t="s">
        <v>35</v>
      </c>
    </row>
    <row r="2820" spans="2:13" ht="15" customHeight="1">
      <c r="B2820">
        <v>3170</v>
      </c>
      <c r="C2820" t="s">
        <v>939</v>
      </c>
      <c r="D2820" s="2" t="s">
        <v>177</v>
      </c>
      <c r="F2820" s="47" t="s">
        <v>185</v>
      </c>
      <c r="H2820" s="47" t="s">
        <v>47</v>
      </c>
      <c r="I2820" s="47" t="s">
        <v>30</v>
      </c>
      <c r="J2820" s="47" t="s">
        <v>35</v>
      </c>
    </row>
    <row r="2821" spans="2:13" ht="15" customHeight="1">
      <c r="B2821">
        <v>3171</v>
      </c>
      <c r="C2821" t="s">
        <v>939</v>
      </c>
      <c r="D2821" s="2" t="s">
        <v>177</v>
      </c>
      <c r="F2821" s="47" t="s">
        <v>185</v>
      </c>
      <c r="H2821" s="47" t="s">
        <v>47</v>
      </c>
      <c r="I2821" s="47" t="s">
        <v>30</v>
      </c>
      <c r="J2821" s="47" t="s">
        <v>35</v>
      </c>
    </row>
    <row r="2822" spans="2:13" ht="15" customHeight="1">
      <c r="B2822">
        <v>3172</v>
      </c>
      <c r="C2822" t="s">
        <v>939</v>
      </c>
      <c r="D2822" s="2" t="s">
        <v>177</v>
      </c>
      <c r="F2822" s="47" t="s">
        <v>185</v>
      </c>
      <c r="H2822" s="47" t="s">
        <v>47</v>
      </c>
      <c r="I2822" s="47" t="s">
        <v>30</v>
      </c>
      <c r="J2822" s="47" t="s">
        <v>35</v>
      </c>
    </row>
    <row r="2823" spans="2:13" ht="15" customHeight="1">
      <c r="B2823">
        <v>3173</v>
      </c>
      <c r="C2823" t="s">
        <v>939</v>
      </c>
      <c r="D2823" s="2" t="s">
        <v>177</v>
      </c>
      <c r="F2823" s="47" t="s">
        <v>185</v>
      </c>
      <c r="H2823" s="47" t="s">
        <v>47</v>
      </c>
      <c r="I2823" s="47" t="s">
        <v>30</v>
      </c>
      <c r="J2823" s="47" t="s">
        <v>35</v>
      </c>
    </row>
    <row r="2824" spans="2:13" ht="15" customHeight="1">
      <c r="B2824">
        <v>3174</v>
      </c>
      <c r="C2824" t="s">
        <v>939</v>
      </c>
      <c r="D2824" s="2" t="s">
        <v>177</v>
      </c>
      <c r="F2824" s="47" t="s">
        <v>185</v>
      </c>
      <c r="H2824" s="47" t="s">
        <v>47</v>
      </c>
      <c r="I2824" s="47" t="s">
        <v>30</v>
      </c>
      <c r="J2824" s="47" t="s">
        <v>35</v>
      </c>
    </row>
    <row r="2825" spans="2:13" ht="15" customHeight="1">
      <c r="B2825" s="47">
        <v>3180</v>
      </c>
      <c r="C2825" t="s">
        <v>939</v>
      </c>
      <c r="F2825" s="47" t="s">
        <v>1259</v>
      </c>
      <c r="G2825" s="47">
        <v>1</v>
      </c>
      <c r="L2825" s="47" t="s">
        <v>314</v>
      </c>
      <c r="M2825" s="47" t="s">
        <v>1279</v>
      </c>
    </row>
    <row r="2826" spans="2:13" ht="15" customHeight="1">
      <c r="B2826" s="47">
        <v>3181</v>
      </c>
      <c r="C2826" t="s">
        <v>939</v>
      </c>
      <c r="F2826" s="47" t="s">
        <v>1259</v>
      </c>
      <c r="G2826" s="47">
        <v>1</v>
      </c>
      <c r="L2826" s="47" t="s">
        <v>314</v>
      </c>
      <c r="M2826" s="47" t="s">
        <v>1279</v>
      </c>
    </row>
    <row r="2827" spans="2:13" ht="15" customHeight="1">
      <c r="B2827" s="47">
        <v>3182</v>
      </c>
      <c r="C2827" t="s">
        <v>939</v>
      </c>
      <c r="F2827" s="47" t="s">
        <v>1259</v>
      </c>
      <c r="G2827" s="47">
        <v>1</v>
      </c>
      <c r="L2827" s="47" t="s">
        <v>314</v>
      </c>
      <c r="M2827" s="47" t="s">
        <v>1279</v>
      </c>
    </row>
    <row r="2828" spans="2:13" ht="15" customHeight="1">
      <c r="B2828" s="47">
        <v>3183</v>
      </c>
      <c r="C2828" t="s">
        <v>939</v>
      </c>
      <c r="F2828" s="47" t="s">
        <v>1259</v>
      </c>
      <c r="G2828" s="47">
        <v>1</v>
      </c>
      <c r="L2828" s="47" t="s">
        <v>314</v>
      </c>
      <c r="M2828" s="47" t="s">
        <v>1279</v>
      </c>
    </row>
    <row r="2829" spans="2:13" ht="15" customHeight="1">
      <c r="B2829" s="47">
        <v>3184</v>
      </c>
      <c r="C2829" t="s">
        <v>939</v>
      </c>
      <c r="F2829" s="47" t="s">
        <v>1235</v>
      </c>
      <c r="G2829" s="47">
        <v>1</v>
      </c>
      <c r="L2829" s="47" t="s">
        <v>314</v>
      </c>
      <c r="M2829" s="47" t="s">
        <v>1279</v>
      </c>
    </row>
    <row r="2830" spans="2:13" ht="15" customHeight="1">
      <c r="B2830" s="47">
        <v>3185</v>
      </c>
      <c r="C2830" t="s">
        <v>939</v>
      </c>
      <c r="F2830" s="47" t="s">
        <v>1069</v>
      </c>
      <c r="G2830" s="47">
        <v>1</v>
      </c>
      <c r="L2830" s="47" t="s">
        <v>314</v>
      </c>
      <c r="M2830" s="47" t="s">
        <v>1279</v>
      </c>
    </row>
    <row r="2831" spans="2:13" ht="15" customHeight="1">
      <c r="B2831" s="47">
        <v>3186</v>
      </c>
      <c r="C2831" t="s">
        <v>939</v>
      </c>
      <c r="F2831" s="47" t="s">
        <v>1069</v>
      </c>
      <c r="G2831" s="47">
        <v>1</v>
      </c>
      <c r="L2831" s="47" t="s">
        <v>314</v>
      </c>
      <c r="M2831" s="47" t="s">
        <v>1279</v>
      </c>
    </row>
    <row r="2832" spans="2:13" ht="15" customHeight="1">
      <c r="B2832" s="47">
        <v>3187</v>
      </c>
      <c r="C2832" t="s">
        <v>939</v>
      </c>
      <c r="F2832" s="47" t="s">
        <v>1069</v>
      </c>
      <c r="G2832" s="47">
        <v>1</v>
      </c>
      <c r="L2832" s="47" t="s">
        <v>314</v>
      </c>
      <c r="M2832" s="47" t="s">
        <v>1279</v>
      </c>
    </row>
    <row r="2833" spans="2:13" ht="15" customHeight="1">
      <c r="B2833" s="47">
        <v>3188</v>
      </c>
      <c r="C2833" t="s">
        <v>939</v>
      </c>
      <c r="F2833" s="47" t="s">
        <v>1069</v>
      </c>
      <c r="G2833" s="47">
        <v>1</v>
      </c>
      <c r="L2833" s="47" t="s">
        <v>314</v>
      </c>
      <c r="M2833" s="47" t="s">
        <v>1279</v>
      </c>
    </row>
    <row r="2834" spans="2:13" ht="15" customHeight="1">
      <c r="B2834" s="47">
        <v>3189</v>
      </c>
      <c r="C2834" t="s">
        <v>939</v>
      </c>
      <c r="F2834" s="47" t="s">
        <v>1267</v>
      </c>
      <c r="G2834" s="47">
        <v>1</v>
      </c>
      <c r="L2834" s="47" t="s">
        <v>314</v>
      </c>
      <c r="M2834" s="47" t="s">
        <v>1279</v>
      </c>
    </row>
    <row r="2835" spans="2:13" ht="15" customHeight="1">
      <c r="B2835" s="47">
        <v>3190</v>
      </c>
      <c r="C2835" t="s">
        <v>939</v>
      </c>
      <c r="F2835" s="47" t="s">
        <v>1267</v>
      </c>
      <c r="G2835" s="47">
        <v>1</v>
      </c>
      <c r="L2835" s="47" t="s">
        <v>314</v>
      </c>
      <c r="M2835" s="47" t="s">
        <v>1279</v>
      </c>
    </row>
    <row r="2836" spans="2:13" ht="15" customHeight="1">
      <c r="B2836" s="47">
        <v>3191</v>
      </c>
      <c r="C2836" t="s">
        <v>939</v>
      </c>
      <c r="F2836" s="47" t="s">
        <v>1267</v>
      </c>
      <c r="G2836" s="47">
        <v>1</v>
      </c>
      <c r="L2836" s="47" t="s">
        <v>314</v>
      </c>
      <c r="M2836" s="47" t="s">
        <v>1279</v>
      </c>
    </row>
    <row r="2837" spans="2:13" ht="15" customHeight="1">
      <c r="B2837" s="47">
        <v>3192</v>
      </c>
      <c r="C2837" t="s">
        <v>939</v>
      </c>
      <c r="F2837" s="47" t="s">
        <v>1267</v>
      </c>
      <c r="G2837" s="47">
        <v>1</v>
      </c>
      <c r="L2837" s="47" t="s">
        <v>314</v>
      </c>
      <c r="M2837" s="47" t="s">
        <v>1279</v>
      </c>
    </row>
    <row r="2838" spans="2:13" ht="15" customHeight="1">
      <c r="B2838" s="47">
        <v>3193</v>
      </c>
      <c r="C2838" t="s">
        <v>939</v>
      </c>
      <c r="F2838" s="47" t="s">
        <v>1267</v>
      </c>
      <c r="G2838" s="47">
        <v>1</v>
      </c>
      <c r="L2838" s="47" t="s">
        <v>314</v>
      </c>
      <c r="M2838" s="47" t="s">
        <v>1279</v>
      </c>
    </row>
    <row r="2839" spans="2:13" ht="15" customHeight="1">
      <c r="B2839" s="47">
        <v>3194</v>
      </c>
      <c r="C2839" t="s">
        <v>939</v>
      </c>
      <c r="F2839" s="47" t="s">
        <v>1248</v>
      </c>
      <c r="G2839" s="47">
        <v>1</v>
      </c>
      <c r="L2839" s="47" t="s">
        <v>314</v>
      </c>
      <c r="M2839" s="47" t="s">
        <v>1279</v>
      </c>
    </row>
    <row r="2840" spans="2:13" ht="15" customHeight="1">
      <c r="B2840" s="47">
        <v>3195</v>
      </c>
      <c r="C2840" t="s">
        <v>939</v>
      </c>
      <c r="F2840" s="47" t="s">
        <v>1268</v>
      </c>
      <c r="G2840" s="47">
        <v>1</v>
      </c>
      <c r="L2840" s="47" t="s">
        <v>314</v>
      </c>
      <c r="M2840" s="47" t="s">
        <v>1279</v>
      </c>
    </row>
    <row r="2841" spans="2:13" ht="15" customHeight="1">
      <c r="B2841" s="47">
        <v>3196</v>
      </c>
      <c r="C2841" t="s">
        <v>939</v>
      </c>
      <c r="F2841" s="47" t="s">
        <v>1230</v>
      </c>
      <c r="G2841" s="47">
        <v>1</v>
      </c>
      <c r="L2841" s="47" t="s">
        <v>314</v>
      </c>
      <c r="M2841" s="47" t="s">
        <v>1279</v>
      </c>
    </row>
    <row r="2842" spans="2:13" ht="15" customHeight="1">
      <c r="B2842" s="47">
        <v>3197</v>
      </c>
      <c r="C2842" t="s">
        <v>939</v>
      </c>
      <c r="F2842" s="47" t="s">
        <v>1268</v>
      </c>
      <c r="G2842" s="47">
        <v>1</v>
      </c>
      <c r="L2842" s="47" t="s">
        <v>314</v>
      </c>
      <c r="M2842" s="47" t="s">
        <v>1279</v>
      </c>
    </row>
    <row r="2843" spans="2:13" ht="15" customHeight="1">
      <c r="B2843" s="47">
        <v>3198</v>
      </c>
      <c r="C2843" t="s">
        <v>939</v>
      </c>
      <c r="F2843" s="47" t="s">
        <v>980</v>
      </c>
      <c r="G2843" s="47">
        <v>1</v>
      </c>
      <c r="L2843" s="47" t="s">
        <v>314</v>
      </c>
      <c r="M2843" s="47" t="s">
        <v>1279</v>
      </c>
    </row>
    <row r="2844" spans="2:13" ht="15" customHeight="1">
      <c r="B2844" s="47">
        <v>3199</v>
      </c>
      <c r="C2844" t="s">
        <v>939</v>
      </c>
      <c r="F2844" s="47" t="s">
        <v>980</v>
      </c>
      <c r="G2844" s="47">
        <v>1</v>
      </c>
      <c r="L2844" s="47" t="s">
        <v>314</v>
      </c>
      <c r="M2844" s="47" t="s">
        <v>1279</v>
      </c>
    </row>
    <row r="2845" spans="2:13" ht="15" customHeight="1">
      <c r="B2845" s="47">
        <v>3200</v>
      </c>
      <c r="C2845" t="s">
        <v>939</v>
      </c>
      <c r="F2845" s="47" t="s">
        <v>1267</v>
      </c>
      <c r="G2845" s="47">
        <v>1</v>
      </c>
      <c r="L2845" s="47" t="s">
        <v>314</v>
      </c>
      <c r="M2845" s="47" t="s">
        <v>1279</v>
      </c>
    </row>
    <row r="2846" spans="2:13" ht="15" customHeight="1">
      <c r="B2846" s="47">
        <v>3201</v>
      </c>
      <c r="C2846" t="s">
        <v>939</v>
      </c>
      <c r="F2846" s="47" t="s">
        <v>1230</v>
      </c>
      <c r="G2846" s="47">
        <v>1</v>
      </c>
      <c r="L2846" s="47" t="s">
        <v>314</v>
      </c>
      <c r="M2846" s="47" t="s">
        <v>1279</v>
      </c>
    </row>
    <row r="2847" spans="2:13" ht="15" customHeight="1">
      <c r="B2847" s="47">
        <v>3202</v>
      </c>
      <c r="C2847" t="s">
        <v>939</v>
      </c>
      <c r="F2847" s="47" t="s">
        <v>1269</v>
      </c>
      <c r="G2847" s="47">
        <v>1</v>
      </c>
      <c r="L2847" s="47" t="s">
        <v>314</v>
      </c>
      <c r="M2847" s="47" t="s">
        <v>1279</v>
      </c>
    </row>
    <row r="2848" spans="2:13" ht="15" customHeight="1">
      <c r="B2848" s="47">
        <v>3203</v>
      </c>
      <c r="C2848" t="s">
        <v>939</v>
      </c>
      <c r="F2848" s="47" t="s">
        <v>1235</v>
      </c>
      <c r="G2848" s="47">
        <v>1</v>
      </c>
      <c r="L2848" s="47" t="s">
        <v>314</v>
      </c>
      <c r="M2848" s="47" t="s">
        <v>1279</v>
      </c>
    </row>
    <row r="2849" spans="2:13" ht="15" customHeight="1">
      <c r="B2849" s="47">
        <v>3204</v>
      </c>
      <c r="C2849" t="s">
        <v>939</v>
      </c>
      <c r="F2849" s="47" t="s">
        <v>1268</v>
      </c>
      <c r="G2849" s="47">
        <v>1</v>
      </c>
      <c r="L2849" s="47" t="s">
        <v>314</v>
      </c>
      <c r="M2849" s="47" t="s">
        <v>1279</v>
      </c>
    </row>
    <row r="2850" spans="2:13" ht="15" customHeight="1">
      <c r="B2850" s="47">
        <v>3205</v>
      </c>
      <c r="C2850" t="s">
        <v>939</v>
      </c>
      <c r="F2850" s="47" t="s">
        <v>1248</v>
      </c>
      <c r="G2850" s="47">
        <v>1</v>
      </c>
      <c r="L2850" s="47" t="s">
        <v>314</v>
      </c>
      <c r="M2850" s="47" t="s">
        <v>1279</v>
      </c>
    </row>
    <row r="2851" spans="2:13" ht="15" customHeight="1">
      <c r="B2851" s="47">
        <v>3206</v>
      </c>
      <c r="C2851" t="s">
        <v>939</v>
      </c>
      <c r="F2851" s="47" t="s">
        <v>1234</v>
      </c>
      <c r="G2851" s="47">
        <v>1</v>
      </c>
      <c r="L2851" s="47" t="s">
        <v>314</v>
      </c>
      <c r="M2851" s="47" t="s">
        <v>1279</v>
      </c>
    </row>
    <row r="2852" spans="2:13" ht="15" customHeight="1">
      <c r="B2852" s="47">
        <v>3207</v>
      </c>
      <c r="C2852" t="s">
        <v>939</v>
      </c>
      <c r="F2852" s="47" t="s">
        <v>1234</v>
      </c>
      <c r="G2852" s="47">
        <v>1</v>
      </c>
      <c r="L2852" s="47" t="s">
        <v>314</v>
      </c>
      <c r="M2852" s="47" t="s">
        <v>1279</v>
      </c>
    </row>
    <row r="2853" spans="2:13" ht="15" customHeight="1">
      <c r="B2853" s="47">
        <v>3208</v>
      </c>
      <c r="C2853" t="s">
        <v>939</v>
      </c>
      <c r="F2853" s="47" t="s">
        <v>1226</v>
      </c>
      <c r="G2853" s="47">
        <v>1</v>
      </c>
      <c r="L2853" s="47" t="s">
        <v>314</v>
      </c>
      <c r="M2853" s="47" t="s">
        <v>1279</v>
      </c>
    </row>
    <row r="2854" spans="2:13" ht="15" customHeight="1">
      <c r="B2854" s="47">
        <v>3209</v>
      </c>
      <c r="C2854" t="s">
        <v>939</v>
      </c>
      <c r="F2854" s="47" t="s">
        <v>1270</v>
      </c>
      <c r="G2854" s="47">
        <v>1</v>
      </c>
      <c r="L2854" s="47" t="s">
        <v>314</v>
      </c>
      <c r="M2854" s="47" t="s">
        <v>1279</v>
      </c>
    </row>
    <row r="2855" spans="2:13" ht="15" customHeight="1">
      <c r="B2855" s="47">
        <v>3210</v>
      </c>
      <c r="C2855" t="s">
        <v>939</v>
      </c>
      <c r="F2855" s="47" t="s">
        <v>1270</v>
      </c>
      <c r="G2855" s="47">
        <v>1</v>
      </c>
      <c r="L2855" s="47" t="s">
        <v>314</v>
      </c>
      <c r="M2855" s="47" t="s">
        <v>1279</v>
      </c>
    </row>
    <row r="2856" spans="2:13" ht="15" customHeight="1">
      <c r="B2856" s="47">
        <v>3211</v>
      </c>
      <c r="C2856" t="s">
        <v>939</v>
      </c>
      <c r="F2856" s="47" t="s">
        <v>1270</v>
      </c>
      <c r="G2856" s="47">
        <v>1</v>
      </c>
      <c r="L2856" s="47" t="s">
        <v>314</v>
      </c>
      <c r="M2856" s="47" t="s">
        <v>1279</v>
      </c>
    </row>
    <row r="2857" spans="2:13" ht="15" customHeight="1">
      <c r="B2857" s="47">
        <v>3212</v>
      </c>
      <c r="C2857" t="s">
        <v>939</v>
      </c>
      <c r="F2857" s="47" t="s">
        <v>1270</v>
      </c>
      <c r="G2857" s="47">
        <v>1</v>
      </c>
      <c r="L2857" s="47" t="s">
        <v>314</v>
      </c>
      <c r="M2857" s="47" t="s">
        <v>1279</v>
      </c>
    </row>
    <row r="2858" spans="2:13" ht="15" customHeight="1">
      <c r="B2858" s="47">
        <v>3213</v>
      </c>
      <c r="C2858" t="s">
        <v>939</v>
      </c>
      <c r="F2858" s="47" t="s">
        <v>1270</v>
      </c>
      <c r="G2858" s="47">
        <v>1</v>
      </c>
      <c r="L2858" s="47" t="s">
        <v>314</v>
      </c>
      <c r="M2858" s="47" t="s">
        <v>1279</v>
      </c>
    </row>
    <row r="2859" spans="2:13" ht="15" customHeight="1">
      <c r="B2859" s="47">
        <v>3214</v>
      </c>
      <c r="C2859" t="s">
        <v>939</v>
      </c>
      <c r="F2859" s="47" t="s">
        <v>1271</v>
      </c>
      <c r="G2859" s="47">
        <v>1</v>
      </c>
      <c r="L2859" s="47" t="s">
        <v>314</v>
      </c>
      <c r="M2859" s="47" t="s">
        <v>1279</v>
      </c>
    </row>
    <row r="2860" spans="2:13" ht="15" customHeight="1">
      <c r="B2860" s="47">
        <v>3215</v>
      </c>
      <c r="C2860" t="s">
        <v>939</v>
      </c>
      <c r="F2860" s="47" t="s">
        <v>1272</v>
      </c>
      <c r="G2860" s="47">
        <v>1</v>
      </c>
      <c r="L2860" s="47" t="s">
        <v>314</v>
      </c>
      <c r="M2860" s="47" t="s">
        <v>1279</v>
      </c>
    </row>
    <row r="2861" spans="2:13" ht="15" customHeight="1">
      <c r="B2861" s="47">
        <v>3216</v>
      </c>
      <c r="C2861" t="s">
        <v>939</v>
      </c>
      <c r="F2861" s="47" t="s">
        <v>1272</v>
      </c>
      <c r="G2861" s="47">
        <v>1</v>
      </c>
      <c r="L2861" s="47" t="s">
        <v>314</v>
      </c>
      <c r="M2861" s="47" t="s">
        <v>1279</v>
      </c>
    </row>
    <row r="2862" spans="2:13" ht="15" customHeight="1">
      <c r="B2862" s="47">
        <v>3217</v>
      </c>
      <c r="C2862" t="s">
        <v>939</v>
      </c>
      <c r="F2862" s="47" t="s">
        <v>1272</v>
      </c>
      <c r="G2862" s="47">
        <v>1</v>
      </c>
      <c r="L2862" s="47" t="s">
        <v>314</v>
      </c>
      <c r="M2862" s="47" t="s">
        <v>1279</v>
      </c>
    </row>
    <row r="2863" spans="2:13" ht="15" customHeight="1">
      <c r="B2863" s="47">
        <v>3218</v>
      </c>
      <c r="C2863" t="s">
        <v>939</v>
      </c>
      <c r="F2863" s="47" t="s">
        <v>1272</v>
      </c>
      <c r="G2863" s="47">
        <v>1</v>
      </c>
      <c r="L2863" s="47" t="s">
        <v>314</v>
      </c>
      <c r="M2863" s="47" t="s">
        <v>1279</v>
      </c>
    </row>
    <row r="2864" spans="2:13" ht="15" customHeight="1">
      <c r="B2864" s="47">
        <v>3219</v>
      </c>
      <c r="C2864" t="s">
        <v>939</v>
      </c>
      <c r="F2864" s="47" t="s">
        <v>1272</v>
      </c>
      <c r="G2864" s="47">
        <v>1</v>
      </c>
      <c r="L2864" s="47" t="s">
        <v>314</v>
      </c>
      <c r="M2864" s="47" t="s">
        <v>1279</v>
      </c>
    </row>
    <row r="2865" spans="2:13" ht="15" customHeight="1">
      <c r="B2865" s="47">
        <v>3220</v>
      </c>
      <c r="C2865" t="s">
        <v>939</v>
      </c>
      <c r="F2865" s="47" t="s">
        <v>1266</v>
      </c>
      <c r="G2865" s="47">
        <v>1</v>
      </c>
      <c r="L2865" s="47" t="s">
        <v>314</v>
      </c>
      <c r="M2865" s="47" t="s">
        <v>1279</v>
      </c>
    </row>
    <row r="2866" spans="2:13" ht="15" customHeight="1">
      <c r="B2866" s="47">
        <v>3221</v>
      </c>
      <c r="C2866" t="s">
        <v>939</v>
      </c>
      <c r="F2866" s="47" t="s">
        <v>1266</v>
      </c>
      <c r="G2866" s="47">
        <v>1</v>
      </c>
      <c r="L2866" s="47" t="s">
        <v>314</v>
      </c>
      <c r="M2866" s="47" t="s">
        <v>1279</v>
      </c>
    </row>
    <row r="2867" spans="2:13" ht="15" customHeight="1">
      <c r="B2867" s="47">
        <v>3222</v>
      </c>
      <c r="C2867" t="s">
        <v>939</v>
      </c>
      <c r="F2867" s="47" t="s">
        <v>1266</v>
      </c>
      <c r="G2867" s="47">
        <v>1</v>
      </c>
      <c r="L2867" s="47" t="s">
        <v>314</v>
      </c>
      <c r="M2867" s="47" t="s">
        <v>1279</v>
      </c>
    </row>
    <row r="2868" spans="2:13" ht="15" customHeight="1">
      <c r="B2868" s="47">
        <v>3223</v>
      </c>
      <c r="C2868" t="s">
        <v>939</v>
      </c>
      <c r="F2868" s="47" t="s">
        <v>1259</v>
      </c>
      <c r="G2868" s="47">
        <v>1</v>
      </c>
      <c r="L2868" s="47" t="s">
        <v>1276</v>
      </c>
      <c r="M2868" s="47" t="s">
        <v>1279</v>
      </c>
    </row>
    <row r="2869" spans="2:13" ht="15" customHeight="1">
      <c r="B2869" s="47">
        <v>3224</v>
      </c>
      <c r="C2869" t="s">
        <v>939</v>
      </c>
      <c r="F2869" s="47" t="s">
        <v>1259</v>
      </c>
      <c r="G2869" s="47">
        <v>1</v>
      </c>
      <c r="L2869" s="47" t="s">
        <v>1276</v>
      </c>
      <c r="M2869" s="47" t="s">
        <v>1279</v>
      </c>
    </row>
    <row r="2870" spans="2:13" ht="15" customHeight="1">
      <c r="B2870" s="47">
        <v>3225</v>
      </c>
      <c r="C2870" t="s">
        <v>939</v>
      </c>
      <c r="F2870" s="47" t="s">
        <v>1259</v>
      </c>
      <c r="G2870" s="47">
        <v>1</v>
      </c>
      <c r="L2870" s="47" t="s">
        <v>1276</v>
      </c>
      <c r="M2870" s="47" t="s">
        <v>1279</v>
      </c>
    </row>
    <row r="2871" spans="2:13" ht="15" customHeight="1">
      <c r="B2871" s="47">
        <v>3226</v>
      </c>
      <c r="C2871" t="s">
        <v>939</v>
      </c>
      <c r="F2871" s="47" t="s">
        <v>1235</v>
      </c>
      <c r="G2871" s="47">
        <v>1</v>
      </c>
      <c r="L2871" s="47" t="s">
        <v>1276</v>
      </c>
      <c r="M2871" s="47" t="s">
        <v>1279</v>
      </c>
    </row>
    <row r="2872" spans="2:13" ht="15" customHeight="1">
      <c r="B2872" s="47">
        <v>3227</v>
      </c>
      <c r="C2872" t="s">
        <v>939</v>
      </c>
      <c r="F2872" s="47" t="s">
        <v>1069</v>
      </c>
      <c r="G2872" s="47">
        <v>1</v>
      </c>
      <c r="L2872" s="47" t="s">
        <v>1276</v>
      </c>
      <c r="M2872" s="47" t="s">
        <v>1279</v>
      </c>
    </row>
    <row r="2873" spans="2:13" ht="15" customHeight="1">
      <c r="B2873" s="47">
        <v>3228</v>
      </c>
      <c r="C2873" t="s">
        <v>939</v>
      </c>
      <c r="F2873" s="47" t="s">
        <v>1069</v>
      </c>
      <c r="G2873" s="47">
        <v>1</v>
      </c>
      <c r="L2873" s="47" t="s">
        <v>1276</v>
      </c>
      <c r="M2873" s="47" t="s">
        <v>1279</v>
      </c>
    </row>
    <row r="2874" spans="2:13" ht="15" customHeight="1">
      <c r="B2874" s="47">
        <v>3229</v>
      </c>
      <c r="C2874" t="s">
        <v>939</v>
      </c>
      <c r="F2874" s="47" t="s">
        <v>1069</v>
      </c>
      <c r="G2874" s="47">
        <v>1</v>
      </c>
      <c r="L2874" s="47" t="s">
        <v>1276</v>
      </c>
      <c r="M2874" s="47" t="s">
        <v>1279</v>
      </c>
    </row>
    <row r="2875" spans="2:13" ht="15" customHeight="1">
      <c r="B2875" s="47">
        <v>3230</v>
      </c>
      <c r="C2875" t="s">
        <v>939</v>
      </c>
      <c r="F2875" s="47" t="s">
        <v>1267</v>
      </c>
      <c r="G2875" s="47">
        <v>1</v>
      </c>
      <c r="L2875" s="47" t="s">
        <v>1276</v>
      </c>
      <c r="M2875" s="47" t="s">
        <v>1279</v>
      </c>
    </row>
    <row r="2876" spans="2:13" ht="15" customHeight="1">
      <c r="B2876" s="47">
        <v>3231</v>
      </c>
      <c r="C2876" t="s">
        <v>939</v>
      </c>
      <c r="F2876" s="47" t="s">
        <v>1267</v>
      </c>
      <c r="G2876" s="47">
        <v>1</v>
      </c>
      <c r="L2876" s="47" t="s">
        <v>1276</v>
      </c>
      <c r="M2876" s="47" t="s">
        <v>1279</v>
      </c>
    </row>
    <row r="2877" spans="2:13" ht="15" customHeight="1">
      <c r="B2877" s="47">
        <v>3232</v>
      </c>
      <c r="C2877" t="s">
        <v>939</v>
      </c>
      <c r="F2877" s="47" t="s">
        <v>1267</v>
      </c>
      <c r="G2877" s="47">
        <v>1</v>
      </c>
      <c r="L2877" s="47" t="s">
        <v>1276</v>
      </c>
      <c r="M2877" s="47" t="s">
        <v>1279</v>
      </c>
    </row>
    <row r="2878" spans="2:13" ht="15" customHeight="1">
      <c r="B2878" s="47">
        <v>3233</v>
      </c>
      <c r="C2878" t="s">
        <v>939</v>
      </c>
      <c r="F2878" s="47" t="s">
        <v>1267</v>
      </c>
      <c r="G2878" s="47">
        <v>1</v>
      </c>
      <c r="L2878" s="47" t="s">
        <v>1276</v>
      </c>
      <c r="M2878" s="47" t="s">
        <v>1279</v>
      </c>
    </row>
    <row r="2879" spans="2:13" ht="15" customHeight="1">
      <c r="B2879" s="47">
        <v>3234</v>
      </c>
      <c r="C2879" t="s">
        <v>939</v>
      </c>
      <c r="F2879" s="47" t="s">
        <v>1267</v>
      </c>
      <c r="G2879" s="47">
        <v>1</v>
      </c>
      <c r="L2879" s="47" t="s">
        <v>1276</v>
      </c>
      <c r="M2879" s="47" t="s">
        <v>1279</v>
      </c>
    </row>
    <row r="2880" spans="2:13" ht="15" customHeight="1">
      <c r="B2880" s="47">
        <v>3235</v>
      </c>
      <c r="C2880" t="s">
        <v>939</v>
      </c>
      <c r="F2880" s="47" t="s">
        <v>1248</v>
      </c>
      <c r="G2880" s="47">
        <v>1</v>
      </c>
      <c r="L2880" s="47" t="s">
        <v>1276</v>
      </c>
      <c r="M2880" s="47" t="s">
        <v>1279</v>
      </c>
    </row>
    <row r="2881" spans="2:13" ht="15" customHeight="1">
      <c r="B2881" s="47">
        <v>3236</v>
      </c>
      <c r="C2881" t="s">
        <v>939</v>
      </c>
      <c r="F2881" s="47" t="s">
        <v>1268</v>
      </c>
      <c r="G2881" s="47">
        <v>1</v>
      </c>
      <c r="L2881" s="47" t="s">
        <v>1276</v>
      </c>
      <c r="M2881" s="47" t="s">
        <v>1279</v>
      </c>
    </row>
    <row r="2882" spans="2:13" ht="15" customHeight="1">
      <c r="B2882" s="47">
        <v>3237</v>
      </c>
      <c r="C2882" t="s">
        <v>939</v>
      </c>
      <c r="F2882" s="47" t="s">
        <v>1230</v>
      </c>
      <c r="G2882" s="47">
        <v>1</v>
      </c>
      <c r="L2882" s="47" t="s">
        <v>1276</v>
      </c>
      <c r="M2882" s="47" t="s">
        <v>1279</v>
      </c>
    </row>
    <row r="2883" spans="2:13" ht="15" customHeight="1">
      <c r="B2883" s="47">
        <v>3238</v>
      </c>
      <c r="C2883" t="s">
        <v>939</v>
      </c>
      <c r="F2883" s="47" t="s">
        <v>1268</v>
      </c>
      <c r="G2883" s="47">
        <v>1</v>
      </c>
      <c r="L2883" s="47" t="s">
        <v>1276</v>
      </c>
      <c r="M2883" s="47" t="s">
        <v>1279</v>
      </c>
    </row>
    <row r="2884" spans="2:13" ht="15" customHeight="1">
      <c r="B2884" s="47">
        <v>3239</v>
      </c>
      <c r="C2884" t="s">
        <v>939</v>
      </c>
      <c r="F2884" s="47" t="s">
        <v>980</v>
      </c>
      <c r="G2884" s="47">
        <v>1</v>
      </c>
      <c r="L2884" s="47" t="s">
        <v>1276</v>
      </c>
      <c r="M2884" s="47" t="s">
        <v>1279</v>
      </c>
    </row>
    <row r="2885" spans="2:13" ht="15" customHeight="1">
      <c r="B2885" s="47">
        <v>3240</v>
      </c>
      <c r="C2885" t="s">
        <v>939</v>
      </c>
      <c r="F2885" s="47" t="s">
        <v>980</v>
      </c>
      <c r="G2885" s="47">
        <v>1</v>
      </c>
      <c r="L2885" s="47" t="s">
        <v>1276</v>
      </c>
      <c r="M2885" s="47" t="s">
        <v>1279</v>
      </c>
    </row>
    <row r="2886" spans="2:13" ht="15" customHeight="1">
      <c r="B2886" s="47">
        <v>3241</v>
      </c>
      <c r="C2886" t="s">
        <v>939</v>
      </c>
      <c r="F2886" s="47" t="s">
        <v>1267</v>
      </c>
      <c r="G2886" s="47">
        <v>1</v>
      </c>
      <c r="L2886" s="47" t="s">
        <v>1276</v>
      </c>
      <c r="M2886" s="47" t="s">
        <v>1279</v>
      </c>
    </row>
    <row r="2887" spans="2:13" ht="15" customHeight="1">
      <c r="B2887" s="47">
        <v>3242</v>
      </c>
      <c r="C2887" t="s">
        <v>939</v>
      </c>
      <c r="F2887" s="47" t="s">
        <v>1269</v>
      </c>
      <c r="G2887" s="47">
        <v>1</v>
      </c>
      <c r="L2887" s="47" t="s">
        <v>1276</v>
      </c>
      <c r="M2887" s="47" t="s">
        <v>1279</v>
      </c>
    </row>
    <row r="2888" spans="2:13" ht="15" customHeight="1">
      <c r="B2888" s="47">
        <v>3243</v>
      </c>
      <c r="C2888" t="s">
        <v>939</v>
      </c>
      <c r="F2888" s="47" t="s">
        <v>1235</v>
      </c>
      <c r="G2888" s="47">
        <v>1</v>
      </c>
      <c r="L2888" s="47" t="s">
        <v>1276</v>
      </c>
      <c r="M2888" s="47" t="s">
        <v>1279</v>
      </c>
    </row>
    <row r="2889" spans="2:13" ht="15" customHeight="1">
      <c r="B2889" s="47">
        <v>3244</v>
      </c>
      <c r="C2889" t="s">
        <v>939</v>
      </c>
      <c r="F2889" s="47" t="s">
        <v>1268</v>
      </c>
      <c r="G2889" s="47">
        <v>1</v>
      </c>
      <c r="L2889" s="47" t="s">
        <v>1276</v>
      </c>
      <c r="M2889" s="47" t="s">
        <v>1279</v>
      </c>
    </row>
    <row r="2890" spans="2:13" ht="15" customHeight="1">
      <c r="B2890" s="47">
        <v>3245</v>
      </c>
      <c r="C2890" t="s">
        <v>939</v>
      </c>
      <c r="F2890" s="47" t="s">
        <v>1248</v>
      </c>
      <c r="G2890" s="47">
        <v>1</v>
      </c>
      <c r="L2890" s="47" t="s">
        <v>1276</v>
      </c>
      <c r="M2890" s="47" t="s">
        <v>1279</v>
      </c>
    </row>
    <row r="2891" spans="2:13" ht="15" customHeight="1">
      <c r="B2891" s="47">
        <v>3246</v>
      </c>
      <c r="C2891" t="s">
        <v>939</v>
      </c>
      <c r="F2891" s="47" t="s">
        <v>1234</v>
      </c>
      <c r="G2891" s="47">
        <v>1</v>
      </c>
      <c r="L2891" s="47" t="s">
        <v>1276</v>
      </c>
      <c r="M2891" s="47" t="s">
        <v>1279</v>
      </c>
    </row>
    <row r="2892" spans="2:13" ht="15" customHeight="1">
      <c r="B2892" s="47">
        <v>3247</v>
      </c>
      <c r="C2892" t="s">
        <v>939</v>
      </c>
      <c r="F2892" s="47" t="s">
        <v>1234</v>
      </c>
      <c r="G2892" s="47">
        <v>1</v>
      </c>
      <c r="L2892" s="47" t="s">
        <v>1276</v>
      </c>
      <c r="M2892" s="47" t="s">
        <v>1279</v>
      </c>
    </row>
    <row r="2893" spans="2:13" ht="15" customHeight="1">
      <c r="B2893" s="47">
        <v>3248</v>
      </c>
      <c r="C2893" t="s">
        <v>939</v>
      </c>
      <c r="F2893" s="47" t="s">
        <v>1226</v>
      </c>
      <c r="G2893" s="47">
        <v>1</v>
      </c>
      <c r="L2893" s="47" t="s">
        <v>1276</v>
      </c>
      <c r="M2893" s="47" t="s">
        <v>1279</v>
      </c>
    </row>
    <row r="2894" spans="2:13" ht="15" customHeight="1">
      <c r="B2894" s="47">
        <v>3249</v>
      </c>
      <c r="C2894" t="s">
        <v>939</v>
      </c>
      <c r="F2894" s="47" t="s">
        <v>1270</v>
      </c>
      <c r="G2894" s="47">
        <v>1</v>
      </c>
      <c r="L2894" s="47" t="s">
        <v>1276</v>
      </c>
      <c r="M2894" s="47" t="s">
        <v>1279</v>
      </c>
    </row>
    <row r="2895" spans="2:13" ht="15" customHeight="1">
      <c r="B2895" s="47">
        <v>3250</v>
      </c>
      <c r="C2895" t="s">
        <v>939</v>
      </c>
      <c r="F2895" s="47" t="s">
        <v>1270</v>
      </c>
      <c r="G2895" s="47">
        <v>1</v>
      </c>
      <c r="L2895" s="47" t="s">
        <v>1276</v>
      </c>
      <c r="M2895" s="47" t="s">
        <v>1279</v>
      </c>
    </row>
    <row r="2896" spans="2:13" ht="15" customHeight="1">
      <c r="B2896" s="47">
        <v>3251</v>
      </c>
      <c r="C2896" t="s">
        <v>939</v>
      </c>
      <c r="F2896" s="47" t="s">
        <v>1270</v>
      </c>
      <c r="G2896" s="47">
        <v>1</v>
      </c>
      <c r="L2896" s="47" t="s">
        <v>1276</v>
      </c>
      <c r="M2896" s="47" t="s">
        <v>1279</v>
      </c>
    </row>
    <row r="2897" spans="2:13" ht="15" customHeight="1">
      <c r="B2897" s="47">
        <v>3252</v>
      </c>
      <c r="C2897" t="s">
        <v>939</v>
      </c>
      <c r="F2897" s="47" t="s">
        <v>1270</v>
      </c>
      <c r="G2897" s="47">
        <v>1</v>
      </c>
      <c r="L2897" s="47" t="s">
        <v>1276</v>
      </c>
      <c r="M2897" s="47" t="s">
        <v>1279</v>
      </c>
    </row>
    <row r="2898" spans="2:13" ht="15" customHeight="1">
      <c r="B2898" s="47">
        <v>3253</v>
      </c>
      <c r="C2898" t="s">
        <v>939</v>
      </c>
      <c r="F2898" s="47" t="s">
        <v>1270</v>
      </c>
      <c r="G2898" s="47">
        <v>1</v>
      </c>
      <c r="L2898" s="47" t="s">
        <v>1276</v>
      </c>
      <c r="M2898" s="47" t="s">
        <v>1279</v>
      </c>
    </row>
    <row r="2899" spans="2:13" ht="15" customHeight="1">
      <c r="B2899" s="47">
        <v>3254</v>
      </c>
      <c r="C2899" t="s">
        <v>939</v>
      </c>
      <c r="F2899" s="47" t="s">
        <v>1271</v>
      </c>
      <c r="G2899" s="47">
        <v>1</v>
      </c>
      <c r="L2899" s="47" t="s">
        <v>1276</v>
      </c>
      <c r="M2899" s="47" t="s">
        <v>1279</v>
      </c>
    </row>
    <row r="2900" spans="2:13" ht="15" customHeight="1">
      <c r="B2900" s="47">
        <v>3255</v>
      </c>
      <c r="C2900" t="s">
        <v>939</v>
      </c>
      <c r="F2900" s="47" t="s">
        <v>1272</v>
      </c>
      <c r="G2900" s="47">
        <v>1</v>
      </c>
      <c r="L2900" s="47" t="s">
        <v>1276</v>
      </c>
      <c r="M2900" s="47" t="s">
        <v>1279</v>
      </c>
    </row>
    <row r="2901" spans="2:13" ht="15" customHeight="1">
      <c r="B2901" s="47">
        <v>3256</v>
      </c>
      <c r="C2901" t="s">
        <v>939</v>
      </c>
      <c r="F2901" s="47" t="s">
        <v>1272</v>
      </c>
      <c r="G2901" s="47">
        <v>1</v>
      </c>
      <c r="L2901" s="47" t="s">
        <v>1276</v>
      </c>
      <c r="M2901" s="47" t="s">
        <v>1279</v>
      </c>
    </row>
    <row r="2902" spans="2:13" ht="15" customHeight="1">
      <c r="B2902" s="47">
        <v>3257</v>
      </c>
      <c r="C2902" t="s">
        <v>939</v>
      </c>
      <c r="F2902" s="47" t="s">
        <v>1272</v>
      </c>
      <c r="G2902" s="47">
        <v>1</v>
      </c>
      <c r="L2902" s="47" t="s">
        <v>1276</v>
      </c>
      <c r="M2902" s="47" t="s">
        <v>1279</v>
      </c>
    </row>
    <row r="2903" spans="2:13" ht="15" customHeight="1">
      <c r="B2903" s="47">
        <v>3259</v>
      </c>
      <c r="C2903" t="s">
        <v>939</v>
      </c>
      <c r="F2903" s="47" t="s">
        <v>1266</v>
      </c>
      <c r="G2903" s="47">
        <v>1</v>
      </c>
      <c r="L2903" s="47" t="s">
        <v>1276</v>
      </c>
      <c r="M2903" s="47" t="s">
        <v>1279</v>
      </c>
    </row>
    <row r="2904" spans="2:13" ht="15" customHeight="1">
      <c r="B2904" s="47">
        <v>3260</v>
      </c>
      <c r="C2904" t="s">
        <v>939</v>
      </c>
      <c r="F2904" s="47" t="s">
        <v>1266</v>
      </c>
      <c r="G2904" s="47">
        <v>1</v>
      </c>
      <c r="L2904" s="47" t="s">
        <v>1276</v>
      </c>
      <c r="M2904" s="47" t="s">
        <v>1279</v>
      </c>
    </row>
    <row r="2905" spans="2:13" ht="15" customHeight="1">
      <c r="B2905" s="47">
        <v>3261</v>
      </c>
      <c r="C2905" t="s">
        <v>939</v>
      </c>
      <c r="F2905" s="47" t="s">
        <v>1266</v>
      </c>
      <c r="G2905" s="47">
        <v>1</v>
      </c>
      <c r="L2905" s="47" t="s">
        <v>1276</v>
      </c>
      <c r="M2905" s="47" t="s">
        <v>1279</v>
      </c>
    </row>
    <row r="2906" spans="2:13" ht="15" customHeight="1">
      <c r="B2906" s="47">
        <v>3262</v>
      </c>
      <c r="C2906" t="s">
        <v>939</v>
      </c>
      <c r="F2906" s="47" t="s">
        <v>1259</v>
      </c>
      <c r="G2906" s="47">
        <v>1</v>
      </c>
      <c r="L2906" s="47" t="s">
        <v>1277</v>
      </c>
      <c r="M2906" s="47" t="s">
        <v>1280</v>
      </c>
    </row>
    <row r="2907" spans="2:13" ht="15" customHeight="1">
      <c r="B2907" s="47">
        <v>3263</v>
      </c>
      <c r="C2907" t="s">
        <v>939</v>
      </c>
      <c r="F2907" s="47" t="s">
        <v>1259</v>
      </c>
      <c r="G2907" s="47">
        <v>1</v>
      </c>
      <c r="L2907" s="47" t="s">
        <v>1277</v>
      </c>
      <c r="M2907" s="47" t="s">
        <v>1280</v>
      </c>
    </row>
    <row r="2908" spans="2:13" ht="15" customHeight="1">
      <c r="B2908" s="47">
        <v>3264</v>
      </c>
      <c r="C2908" t="s">
        <v>939</v>
      </c>
      <c r="F2908" s="47" t="s">
        <v>1259</v>
      </c>
      <c r="G2908" s="47">
        <v>1</v>
      </c>
      <c r="L2908" s="47" t="s">
        <v>1277</v>
      </c>
      <c r="M2908" s="47" t="s">
        <v>1280</v>
      </c>
    </row>
    <row r="2909" spans="2:13" ht="15" customHeight="1">
      <c r="B2909" s="47">
        <v>3265</v>
      </c>
      <c r="C2909" t="s">
        <v>939</v>
      </c>
      <c r="F2909" s="47" t="s">
        <v>1259</v>
      </c>
      <c r="G2909" s="47">
        <v>1</v>
      </c>
      <c r="L2909" s="47" t="s">
        <v>1277</v>
      </c>
      <c r="M2909" s="47" t="s">
        <v>1280</v>
      </c>
    </row>
    <row r="2910" spans="2:13" ht="15" customHeight="1">
      <c r="B2910" s="47">
        <v>3266</v>
      </c>
      <c r="C2910" t="s">
        <v>939</v>
      </c>
      <c r="F2910" s="47" t="s">
        <v>1069</v>
      </c>
      <c r="G2910" s="47">
        <v>1</v>
      </c>
      <c r="L2910" s="47" t="s">
        <v>1277</v>
      </c>
      <c r="M2910" s="47" t="s">
        <v>1280</v>
      </c>
    </row>
    <row r="2911" spans="2:13" ht="15" customHeight="1">
      <c r="B2911" s="47">
        <v>3267</v>
      </c>
      <c r="C2911" t="s">
        <v>939</v>
      </c>
      <c r="F2911" s="47" t="s">
        <v>1069</v>
      </c>
      <c r="G2911" s="47">
        <v>1</v>
      </c>
      <c r="L2911" s="47" t="s">
        <v>1277</v>
      </c>
      <c r="M2911" s="47" t="s">
        <v>1280</v>
      </c>
    </row>
    <row r="2912" spans="2:13" ht="15" customHeight="1">
      <c r="B2912" s="47">
        <v>3268</v>
      </c>
      <c r="C2912" t="s">
        <v>939</v>
      </c>
      <c r="F2912" s="47" t="s">
        <v>1069</v>
      </c>
      <c r="G2912" s="47">
        <v>1</v>
      </c>
      <c r="L2912" s="47" t="s">
        <v>1277</v>
      </c>
      <c r="M2912" s="47" t="s">
        <v>1280</v>
      </c>
    </row>
    <row r="2913" spans="2:13" ht="15" customHeight="1">
      <c r="B2913" s="47">
        <v>3269</v>
      </c>
      <c r="C2913" t="s">
        <v>939</v>
      </c>
      <c r="F2913" s="47" t="s">
        <v>1069</v>
      </c>
      <c r="G2913" s="47">
        <v>1</v>
      </c>
      <c r="L2913" s="47" t="s">
        <v>1277</v>
      </c>
      <c r="M2913" s="47" t="s">
        <v>1280</v>
      </c>
    </row>
    <row r="2914" spans="2:13" ht="15" customHeight="1">
      <c r="B2914" s="47">
        <v>3270</v>
      </c>
      <c r="C2914" t="s">
        <v>939</v>
      </c>
      <c r="F2914" s="47" t="s">
        <v>1267</v>
      </c>
      <c r="G2914" s="47">
        <v>1</v>
      </c>
      <c r="L2914" s="47" t="s">
        <v>1277</v>
      </c>
      <c r="M2914" s="47" t="s">
        <v>1280</v>
      </c>
    </row>
    <row r="2915" spans="2:13" ht="15" customHeight="1">
      <c r="B2915" s="47">
        <v>3271</v>
      </c>
      <c r="C2915" t="s">
        <v>939</v>
      </c>
      <c r="F2915" s="47" t="s">
        <v>1267</v>
      </c>
      <c r="G2915" s="47">
        <v>1</v>
      </c>
      <c r="L2915" s="47" t="s">
        <v>1277</v>
      </c>
      <c r="M2915" s="47" t="s">
        <v>1280</v>
      </c>
    </row>
    <row r="2916" spans="2:13" ht="15" customHeight="1">
      <c r="B2916" s="47">
        <v>3272</v>
      </c>
      <c r="C2916" t="s">
        <v>939</v>
      </c>
      <c r="F2916" s="47" t="s">
        <v>1267</v>
      </c>
      <c r="G2916" s="47">
        <v>1</v>
      </c>
      <c r="L2916" s="47" t="s">
        <v>1277</v>
      </c>
      <c r="M2916" s="47" t="s">
        <v>1280</v>
      </c>
    </row>
    <row r="2917" spans="2:13" ht="15" customHeight="1">
      <c r="B2917" s="47">
        <v>3273</v>
      </c>
      <c r="C2917" t="s">
        <v>939</v>
      </c>
      <c r="F2917" s="47" t="s">
        <v>1267</v>
      </c>
      <c r="G2917" s="47">
        <v>1</v>
      </c>
      <c r="L2917" s="47" t="s">
        <v>1277</v>
      </c>
      <c r="M2917" s="47" t="s">
        <v>1280</v>
      </c>
    </row>
    <row r="2918" spans="2:13" ht="15" customHeight="1">
      <c r="B2918" s="47">
        <v>3274</v>
      </c>
      <c r="C2918" t="s">
        <v>939</v>
      </c>
      <c r="F2918" s="47" t="s">
        <v>1267</v>
      </c>
      <c r="G2918" s="47">
        <v>1</v>
      </c>
      <c r="L2918" s="47" t="s">
        <v>1277</v>
      </c>
      <c r="M2918" s="47" t="s">
        <v>1280</v>
      </c>
    </row>
    <row r="2919" spans="2:13" ht="15" customHeight="1">
      <c r="B2919" s="47">
        <v>3275</v>
      </c>
      <c r="C2919" t="s">
        <v>939</v>
      </c>
      <c r="F2919" s="47" t="s">
        <v>1248</v>
      </c>
      <c r="G2919" s="47">
        <v>1</v>
      </c>
      <c r="L2919" s="47" t="s">
        <v>1277</v>
      </c>
      <c r="M2919" s="47" t="s">
        <v>1280</v>
      </c>
    </row>
    <row r="2920" spans="2:13" ht="15" customHeight="1">
      <c r="B2920" s="47">
        <v>3276</v>
      </c>
      <c r="C2920" t="s">
        <v>939</v>
      </c>
      <c r="F2920" s="47" t="s">
        <v>1268</v>
      </c>
      <c r="G2920" s="47">
        <v>1</v>
      </c>
      <c r="L2920" s="47" t="s">
        <v>1277</v>
      </c>
      <c r="M2920" s="47" t="s">
        <v>1280</v>
      </c>
    </row>
    <row r="2921" spans="2:13" ht="15" customHeight="1">
      <c r="B2921" s="47">
        <v>3277</v>
      </c>
      <c r="C2921" t="s">
        <v>939</v>
      </c>
      <c r="F2921" s="47" t="s">
        <v>1230</v>
      </c>
      <c r="G2921" s="47">
        <v>1</v>
      </c>
      <c r="L2921" s="47" t="s">
        <v>1277</v>
      </c>
      <c r="M2921" s="47" t="s">
        <v>1280</v>
      </c>
    </row>
    <row r="2922" spans="2:13" ht="15" customHeight="1">
      <c r="B2922" s="47">
        <v>3278</v>
      </c>
      <c r="C2922" t="s">
        <v>939</v>
      </c>
      <c r="F2922" s="47" t="s">
        <v>1268</v>
      </c>
      <c r="G2922" s="47">
        <v>1</v>
      </c>
      <c r="L2922" s="47" t="s">
        <v>1277</v>
      </c>
      <c r="M2922" s="47" t="s">
        <v>1280</v>
      </c>
    </row>
    <row r="2923" spans="2:13" ht="15" customHeight="1">
      <c r="B2923" s="47">
        <v>3279</v>
      </c>
      <c r="C2923" t="s">
        <v>939</v>
      </c>
      <c r="F2923" s="47" t="s">
        <v>980</v>
      </c>
      <c r="G2923" s="47">
        <v>1</v>
      </c>
      <c r="L2923" s="47" t="s">
        <v>1277</v>
      </c>
      <c r="M2923" s="47" t="s">
        <v>1280</v>
      </c>
    </row>
    <row r="2924" spans="2:13" ht="15" customHeight="1">
      <c r="B2924" s="47">
        <v>3280</v>
      </c>
      <c r="C2924" t="s">
        <v>939</v>
      </c>
      <c r="F2924" s="47" t="s">
        <v>980</v>
      </c>
      <c r="G2924" s="47">
        <v>1</v>
      </c>
      <c r="L2924" s="47" t="s">
        <v>1277</v>
      </c>
      <c r="M2924" s="47" t="s">
        <v>1280</v>
      </c>
    </row>
    <row r="2925" spans="2:13" ht="15" customHeight="1">
      <c r="B2925" s="47">
        <v>3281</v>
      </c>
      <c r="C2925" t="s">
        <v>939</v>
      </c>
      <c r="F2925" s="47" t="s">
        <v>1267</v>
      </c>
      <c r="G2925" s="47">
        <v>1</v>
      </c>
      <c r="L2925" s="47" t="s">
        <v>1277</v>
      </c>
      <c r="M2925" s="47" t="s">
        <v>1280</v>
      </c>
    </row>
    <row r="2926" spans="2:13" ht="15" customHeight="1">
      <c r="B2926" s="47">
        <v>3282</v>
      </c>
      <c r="C2926" t="s">
        <v>939</v>
      </c>
      <c r="F2926" s="47" t="s">
        <v>1230</v>
      </c>
      <c r="G2926" s="47">
        <v>1</v>
      </c>
      <c r="L2926" s="47" t="s">
        <v>1277</v>
      </c>
      <c r="M2926" s="47" t="s">
        <v>1280</v>
      </c>
    </row>
    <row r="2927" spans="2:13" ht="15" customHeight="1">
      <c r="B2927" s="47">
        <v>3283</v>
      </c>
      <c r="C2927" t="s">
        <v>939</v>
      </c>
      <c r="F2927" s="47" t="s">
        <v>1269</v>
      </c>
      <c r="G2927" s="47">
        <v>1</v>
      </c>
      <c r="L2927" s="47" t="s">
        <v>1277</v>
      </c>
      <c r="M2927" s="47" t="s">
        <v>1280</v>
      </c>
    </row>
    <row r="2928" spans="2:13" ht="15" customHeight="1">
      <c r="B2928" s="47">
        <v>3284</v>
      </c>
      <c r="C2928" t="s">
        <v>939</v>
      </c>
      <c r="F2928" s="47" t="s">
        <v>1268</v>
      </c>
      <c r="G2928" s="47">
        <v>1</v>
      </c>
      <c r="L2928" s="47" t="s">
        <v>1277</v>
      </c>
      <c r="M2928" s="47" t="s">
        <v>1280</v>
      </c>
    </row>
    <row r="2929" spans="2:13" ht="15" customHeight="1">
      <c r="B2929" s="47">
        <v>3285</v>
      </c>
      <c r="C2929" t="s">
        <v>939</v>
      </c>
      <c r="F2929" s="47" t="s">
        <v>1248</v>
      </c>
      <c r="G2929" s="47">
        <v>1</v>
      </c>
      <c r="L2929" s="47" t="s">
        <v>1277</v>
      </c>
      <c r="M2929" s="47" t="s">
        <v>1280</v>
      </c>
    </row>
    <row r="2930" spans="2:13" ht="15" customHeight="1">
      <c r="B2930" s="47">
        <v>3286</v>
      </c>
      <c r="C2930" t="s">
        <v>939</v>
      </c>
      <c r="F2930" s="47" t="s">
        <v>1234</v>
      </c>
      <c r="G2930" s="47">
        <v>1</v>
      </c>
      <c r="L2930" s="47" t="s">
        <v>1277</v>
      </c>
      <c r="M2930" s="47" t="s">
        <v>1280</v>
      </c>
    </row>
    <row r="2931" spans="2:13" ht="15" customHeight="1">
      <c r="B2931" s="47">
        <v>3287</v>
      </c>
      <c r="C2931" t="s">
        <v>939</v>
      </c>
      <c r="F2931" s="47" t="s">
        <v>1234</v>
      </c>
      <c r="G2931" s="47">
        <v>1</v>
      </c>
      <c r="L2931" s="47" t="s">
        <v>1277</v>
      </c>
      <c r="M2931" s="47" t="s">
        <v>1280</v>
      </c>
    </row>
    <row r="2932" spans="2:13" ht="15" customHeight="1">
      <c r="B2932" s="47">
        <v>3288</v>
      </c>
      <c r="C2932" t="s">
        <v>939</v>
      </c>
      <c r="F2932" s="47" t="s">
        <v>1226</v>
      </c>
      <c r="G2932" s="47">
        <v>1</v>
      </c>
      <c r="L2932" s="47" t="s">
        <v>1277</v>
      </c>
      <c r="M2932" s="47" t="s">
        <v>1280</v>
      </c>
    </row>
    <row r="2933" spans="2:13" ht="15" customHeight="1">
      <c r="B2933" s="47">
        <v>3291</v>
      </c>
      <c r="C2933" t="s">
        <v>939</v>
      </c>
      <c r="F2933" s="47" t="s">
        <v>1267</v>
      </c>
      <c r="G2933" s="47">
        <v>1</v>
      </c>
      <c r="L2933" s="47" t="s">
        <v>1278</v>
      </c>
      <c r="M2933" s="47" t="s">
        <v>1280</v>
      </c>
    </row>
    <row r="2934" spans="2:13" ht="15" customHeight="1">
      <c r="B2934" s="47">
        <v>3292</v>
      </c>
      <c r="C2934" t="s">
        <v>939</v>
      </c>
      <c r="F2934" s="47" t="s">
        <v>1268</v>
      </c>
      <c r="G2934" s="47">
        <v>1</v>
      </c>
      <c r="L2934" s="47" t="s">
        <v>1278</v>
      </c>
      <c r="M2934" s="47" t="s">
        <v>1280</v>
      </c>
    </row>
    <row r="2935" spans="2:13" ht="15" customHeight="1">
      <c r="B2935" s="47">
        <v>3293</v>
      </c>
      <c r="C2935" t="s">
        <v>939</v>
      </c>
      <c r="F2935" s="47" t="s">
        <v>1269</v>
      </c>
      <c r="G2935" s="47">
        <v>1</v>
      </c>
      <c r="L2935" s="47" t="s">
        <v>1278</v>
      </c>
      <c r="M2935" s="47" t="s">
        <v>1280</v>
      </c>
    </row>
    <row r="2936" spans="2:13" ht="15" customHeight="1">
      <c r="B2936" s="47">
        <v>3294</v>
      </c>
      <c r="C2936" t="s">
        <v>939</v>
      </c>
      <c r="F2936" s="47" t="s">
        <v>1270</v>
      </c>
      <c r="G2936" s="47">
        <v>1</v>
      </c>
      <c r="L2936" s="47" t="s">
        <v>1278</v>
      </c>
      <c r="M2936" s="47" t="s">
        <v>1280</v>
      </c>
    </row>
    <row r="2937" spans="2:13" ht="15" customHeight="1">
      <c r="B2937" s="47">
        <v>3295</v>
      </c>
      <c r="C2937" t="s">
        <v>939</v>
      </c>
      <c r="F2937" s="47" t="s">
        <v>1271</v>
      </c>
      <c r="G2937" s="47">
        <v>1</v>
      </c>
      <c r="L2937" s="47" t="s">
        <v>1278</v>
      </c>
      <c r="M2937" s="47" t="s">
        <v>1280</v>
      </c>
    </row>
    <row r="2938" spans="2:13" ht="15" customHeight="1">
      <c r="B2938" s="47">
        <v>3296</v>
      </c>
      <c r="C2938" t="s">
        <v>939</v>
      </c>
      <c r="F2938" s="47" t="s">
        <v>1272</v>
      </c>
      <c r="G2938" s="47">
        <v>1</v>
      </c>
      <c r="L2938" s="47" t="s">
        <v>1278</v>
      </c>
      <c r="M2938" s="47" t="s">
        <v>1280</v>
      </c>
    </row>
    <row r="2939" spans="2:13" ht="15" customHeight="1">
      <c r="B2939" s="47">
        <v>3297</v>
      </c>
      <c r="C2939" t="s">
        <v>939</v>
      </c>
      <c r="F2939" s="47" t="s">
        <v>1266</v>
      </c>
      <c r="G2939" s="47">
        <v>1</v>
      </c>
      <c r="L2939" s="47" t="s">
        <v>1278</v>
      </c>
      <c r="M2939" s="47" t="s">
        <v>1280</v>
      </c>
    </row>
    <row r="2940" spans="2:13" ht="15" customHeight="1">
      <c r="B2940" s="47">
        <v>3298</v>
      </c>
      <c r="C2940" t="s">
        <v>939</v>
      </c>
      <c r="F2940" s="47" t="s">
        <v>526</v>
      </c>
      <c r="G2940" s="47">
        <v>1</v>
      </c>
      <c r="L2940" s="47" t="s">
        <v>314</v>
      </c>
      <c r="M2940" s="47" t="s">
        <v>1279</v>
      </c>
    </row>
    <row r="2941" spans="2:13" ht="15" customHeight="1">
      <c r="B2941" s="47">
        <v>3299</v>
      </c>
      <c r="C2941" t="s">
        <v>939</v>
      </c>
      <c r="F2941" s="47" t="s">
        <v>526</v>
      </c>
      <c r="G2941" s="47">
        <v>1</v>
      </c>
      <c r="L2941" s="47" t="s">
        <v>314</v>
      </c>
      <c r="M2941" s="47" t="s">
        <v>1279</v>
      </c>
    </row>
    <row r="2942" spans="2:13" ht="15" customHeight="1">
      <c r="B2942" s="47">
        <v>3300</v>
      </c>
      <c r="C2942" t="s">
        <v>939</v>
      </c>
      <c r="F2942" s="47" t="s">
        <v>526</v>
      </c>
      <c r="G2942" s="47">
        <v>1</v>
      </c>
      <c r="L2942" s="47" t="s">
        <v>314</v>
      </c>
      <c r="M2942" s="47" t="s">
        <v>1279</v>
      </c>
    </row>
    <row r="2943" spans="2:13" ht="15" customHeight="1">
      <c r="B2943" s="47">
        <v>3301</v>
      </c>
      <c r="C2943" t="s">
        <v>939</v>
      </c>
      <c r="F2943" s="47" t="s">
        <v>526</v>
      </c>
      <c r="G2943" s="47">
        <v>1</v>
      </c>
      <c r="L2943" s="47" t="s">
        <v>1276</v>
      </c>
      <c r="M2943" s="47" t="s">
        <v>1279</v>
      </c>
    </row>
    <row r="2944" spans="2:13" ht="15" customHeight="1">
      <c r="B2944" s="47">
        <v>3302</v>
      </c>
      <c r="C2944" t="s">
        <v>939</v>
      </c>
      <c r="F2944" s="47" t="s">
        <v>526</v>
      </c>
      <c r="G2944" s="47">
        <v>1</v>
      </c>
      <c r="L2944" s="47" t="s">
        <v>1276</v>
      </c>
      <c r="M2944" s="47" t="s">
        <v>1279</v>
      </c>
    </row>
    <row r="2945" spans="2:16" ht="15" customHeight="1">
      <c r="B2945" s="47">
        <v>3303</v>
      </c>
      <c r="C2945" t="s">
        <v>939</v>
      </c>
      <c r="F2945" s="47" t="s">
        <v>526</v>
      </c>
      <c r="G2945" s="47">
        <v>1</v>
      </c>
      <c r="L2945" s="47" t="s">
        <v>1276</v>
      </c>
      <c r="M2945" s="47" t="s">
        <v>1279</v>
      </c>
    </row>
    <row r="2946" spans="2:16" ht="15" customHeight="1">
      <c r="B2946" s="47">
        <v>4000</v>
      </c>
      <c r="C2946" s="47" t="s">
        <v>945</v>
      </c>
      <c r="D2946" s="47" t="s">
        <v>224</v>
      </c>
      <c r="E2946" s="47" t="s">
        <v>225</v>
      </c>
      <c r="H2946" s="47" t="s">
        <v>43</v>
      </c>
      <c r="I2946" s="47" t="s">
        <v>50</v>
      </c>
      <c r="L2946" s="47" t="s">
        <v>536</v>
      </c>
      <c r="M2946" s="47" t="s">
        <v>417</v>
      </c>
      <c r="N2946" s="47" t="s">
        <v>1210</v>
      </c>
      <c r="O2946" s="47" t="s">
        <v>30</v>
      </c>
      <c r="P2946" s="47" t="s">
        <v>43</v>
      </c>
    </row>
    <row r="2947" spans="2:16" ht="15" customHeight="1">
      <c r="B2947" s="47">
        <v>4001</v>
      </c>
      <c r="C2947" s="47" t="s">
        <v>945</v>
      </c>
      <c r="D2947" s="47" t="s">
        <v>224</v>
      </c>
      <c r="E2947" s="47" t="s">
        <v>225</v>
      </c>
      <c r="H2947" s="47" t="s">
        <v>43</v>
      </c>
      <c r="I2947" s="47" t="s">
        <v>50</v>
      </c>
      <c r="L2947" s="47" t="s">
        <v>536</v>
      </c>
      <c r="M2947" s="47" t="s">
        <v>417</v>
      </c>
      <c r="N2947" s="47" t="s">
        <v>1210</v>
      </c>
      <c r="O2947" s="47" t="s">
        <v>30</v>
      </c>
      <c r="P2947" s="47" t="s">
        <v>43</v>
      </c>
    </row>
    <row r="2948" spans="2:16" ht="15" customHeight="1">
      <c r="B2948" s="47">
        <v>4002</v>
      </c>
      <c r="C2948" s="47" t="s">
        <v>945</v>
      </c>
      <c r="D2948" s="47" t="s">
        <v>224</v>
      </c>
      <c r="E2948" s="47" t="s">
        <v>227</v>
      </c>
      <c r="H2948" s="47" t="s">
        <v>43</v>
      </c>
      <c r="I2948" s="47" t="s">
        <v>50</v>
      </c>
      <c r="L2948" s="47" t="s">
        <v>536</v>
      </c>
      <c r="M2948" s="47" t="s">
        <v>417</v>
      </c>
      <c r="N2948" s="47" t="s">
        <v>1210</v>
      </c>
      <c r="O2948" s="47" t="s">
        <v>30</v>
      </c>
      <c r="P2948" s="47" t="s">
        <v>43</v>
      </c>
    </row>
    <row r="2949" spans="2:16" ht="15" customHeight="1">
      <c r="B2949" s="47">
        <v>4003</v>
      </c>
      <c r="C2949" s="47" t="s">
        <v>945</v>
      </c>
      <c r="D2949" s="47" t="s">
        <v>224</v>
      </c>
      <c r="E2949" s="47" t="s">
        <v>227</v>
      </c>
      <c r="H2949" s="47" t="s">
        <v>43</v>
      </c>
      <c r="I2949" s="47" t="s">
        <v>50</v>
      </c>
      <c r="L2949" s="47" t="s">
        <v>536</v>
      </c>
      <c r="M2949" s="47" t="s">
        <v>417</v>
      </c>
      <c r="N2949" s="47" t="s">
        <v>1210</v>
      </c>
      <c r="O2949" s="47" t="s">
        <v>30</v>
      </c>
      <c r="P2949" s="47" t="s">
        <v>43</v>
      </c>
    </row>
    <row r="2950" spans="2:16" ht="15" customHeight="1">
      <c r="B2950" s="47">
        <v>4004</v>
      </c>
      <c r="C2950" s="47" t="s">
        <v>945</v>
      </c>
      <c r="D2950" s="47" t="s">
        <v>224</v>
      </c>
      <c r="E2950" s="47" t="s">
        <v>267</v>
      </c>
      <c r="H2950" s="47" t="s">
        <v>43</v>
      </c>
      <c r="I2950" s="47" t="s">
        <v>50</v>
      </c>
      <c r="L2950" s="47" t="s">
        <v>536</v>
      </c>
      <c r="M2950" s="47" t="s">
        <v>371</v>
      </c>
      <c r="N2950" s="47" t="s">
        <v>1210</v>
      </c>
      <c r="O2950" s="47" t="s">
        <v>30</v>
      </c>
      <c r="P2950" s="47" t="s">
        <v>43</v>
      </c>
    </row>
    <row r="2951" spans="2:16" ht="15" customHeight="1">
      <c r="B2951" s="47">
        <v>4005</v>
      </c>
      <c r="C2951" s="47" t="s">
        <v>945</v>
      </c>
      <c r="D2951" s="47" t="s">
        <v>224</v>
      </c>
      <c r="E2951" s="16" t="s">
        <v>1103</v>
      </c>
      <c r="H2951" s="47" t="s">
        <v>43</v>
      </c>
      <c r="I2951" s="47" t="s">
        <v>50</v>
      </c>
      <c r="L2951" s="47" t="s">
        <v>536</v>
      </c>
      <c r="M2951" s="47" t="s">
        <v>371</v>
      </c>
      <c r="N2951" s="47" t="s">
        <v>1210</v>
      </c>
      <c r="O2951" s="47" t="s">
        <v>30</v>
      </c>
      <c r="P2951" s="47" t="s">
        <v>43</v>
      </c>
    </row>
    <row r="2952" spans="2:16" ht="15" customHeight="1">
      <c r="B2952" s="47">
        <v>4006</v>
      </c>
      <c r="C2952" s="47" t="s">
        <v>945</v>
      </c>
      <c r="D2952" s="47" t="s">
        <v>224</v>
      </c>
      <c r="E2952" s="47" t="s">
        <v>228</v>
      </c>
      <c r="H2952" s="47" t="s">
        <v>43</v>
      </c>
      <c r="I2952" s="47" t="s">
        <v>50</v>
      </c>
      <c r="M2952" s="47" t="s">
        <v>371</v>
      </c>
      <c r="N2952" s="47" t="s">
        <v>1210</v>
      </c>
      <c r="O2952" s="47" t="s">
        <v>30</v>
      </c>
      <c r="P2952" s="47" t="s">
        <v>43</v>
      </c>
    </row>
    <row r="2953" spans="2:16" ht="15" customHeight="1">
      <c r="B2953" s="47">
        <v>4007</v>
      </c>
      <c r="C2953" s="47" t="s">
        <v>945</v>
      </c>
      <c r="D2953" s="47" t="s">
        <v>224</v>
      </c>
      <c r="E2953" s="47" t="s">
        <v>522</v>
      </c>
      <c r="H2953" s="47" t="s">
        <v>43</v>
      </c>
      <c r="I2953" s="47" t="s">
        <v>50</v>
      </c>
      <c r="L2953" s="47" t="s">
        <v>1149</v>
      </c>
      <c r="M2953" s="47" t="s">
        <v>292</v>
      </c>
      <c r="N2953" s="47" t="s">
        <v>1210</v>
      </c>
      <c r="O2953" s="47" t="s">
        <v>30</v>
      </c>
      <c r="P2953" s="47" t="s">
        <v>43</v>
      </c>
    </row>
    <row r="2954" spans="2:16" ht="15" customHeight="1">
      <c r="B2954" s="47">
        <v>4008</v>
      </c>
      <c r="C2954" s="47" t="s">
        <v>945</v>
      </c>
      <c r="D2954" s="47" t="s">
        <v>224</v>
      </c>
      <c r="E2954" s="47" t="s">
        <v>1097</v>
      </c>
      <c r="H2954" s="47" t="s">
        <v>43</v>
      </c>
      <c r="I2954" s="47" t="s">
        <v>50</v>
      </c>
      <c r="L2954" s="47" t="s">
        <v>531</v>
      </c>
      <c r="M2954" s="47" t="s">
        <v>292</v>
      </c>
      <c r="N2954" s="47" t="s">
        <v>1210</v>
      </c>
      <c r="O2954" s="47" t="s">
        <v>30</v>
      </c>
      <c r="P2954" s="47" t="s">
        <v>43</v>
      </c>
    </row>
    <row r="2955" spans="2:16" ht="15" customHeight="1">
      <c r="B2955" s="47">
        <v>4009</v>
      </c>
      <c r="C2955" s="47" t="s">
        <v>945</v>
      </c>
      <c r="D2955" s="47" t="s">
        <v>224</v>
      </c>
      <c r="E2955" s="47" t="s">
        <v>225</v>
      </c>
      <c r="H2955" s="47" t="s">
        <v>43</v>
      </c>
      <c r="I2955" s="47" t="s">
        <v>50</v>
      </c>
      <c r="L2955" s="47" t="s">
        <v>536</v>
      </c>
      <c r="M2955" s="47" t="s">
        <v>417</v>
      </c>
      <c r="N2955" s="47" t="s">
        <v>1150</v>
      </c>
      <c r="O2955" s="47" t="s">
        <v>30</v>
      </c>
      <c r="P2955" s="47" t="s">
        <v>43</v>
      </c>
    </row>
    <row r="2956" spans="2:16" ht="15" customHeight="1">
      <c r="B2956" s="47">
        <v>4010</v>
      </c>
      <c r="C2956" s="47" t="s">
        <v>945</v>
      </c>
      <c r="D2956" s="47" t="s">
        <v>224</v>
      </c>
      <c r="E2956" s="47" t="s">
        <v>225</v>
      </c>
      <c r="H2956" s="47" t="s">
        <v>43</v>
      </c>
      <c r="I2956" s="47" t="s">
        <v>50</v>
      </c>
      <c r="L2956" s="47" t="s">
        <v>536</v>
      </c>
      <c r="M2956" s="47" t="s">
        <v>417</v>
      </c>
      <c r="N2956" s="47" t="s">
        <v>1150</v>
      </c>
      <c r="O2956" s="47" t="s">
        <v>30</v>
      </c>
      <c r="P2956" s="47" t="s">
        <v>43</v>
      </c>
    </row>
    <row r="2957" spans="2:16" ht="15" customHeight="1">
      <c r="B2957" s="47">
        <v>4011</v>
      </c>
      <c r="C2957" s="47" t="s">
        <v>945</v>
      </c>
      <c r="D2957" s="47" t="s">
        <v>224</v>
      </c>
      <c r="E2957" s="47" t="s">
        <v>227</v>
      </c>
      <c r="H2957" s="47" t="s">
        <v>43</v>
      </c>
      <c r="I2957" s="47" t="s">
        <v>50</v>
      </c>
      <c r="L2957" s="47" t="s">
        <v>536</v>
      </c>
      <c r="M2957" s="47" t="s">
        <v>417</v>
      </c>
      <c r="N2957" s="47" t="s">
        <v>1150</v>
      </c>
      <c r="O2957" s="47" t="s">
        <v>30</v>
      </c>
      <c r="P2957" s="47" t="s">
        <v>43</v>
      </c>
    </row>
    <row r="2958" spans="2:16" ht="15" customHeight="1">
      <c r="B2958" s="47">
        <v>4012</v>
      </c>
      <c r="C2958" s="47" t="s">
        <v>945</v>
      </c>
      <c r="D2958" s="47" t="s">
        <v>224</v>
      </c>
      <c r="E2958" s="47" t="s">
        <v>227</v>
      </c>
      <c r="H2958" s="47" t="s">
        <v>43</v>
      </c>
      <c r="I2958" s="47" t="s">
        <v>50</v>
      </c>
      <c r="L2958" s="47" t="s">
        <v>536</v>
      </c>
      <c r="M2958" s="47" t="s">
        <v>417</v>
      </c>
      <c r="N2958" s="47" t="s">
        <v>1150</v>
      </c>
      <c r="O2958" s="47" t="s">
        <v>30</v>
      </c>
      <c r="P2958" s="47" t="s">
        <v>43</v>
      </c>
    </row>
    <row r="2959" spans="2:16" ht="15" customHeight="1">
      <c r="B2959" s="47">
        <v>4013</v>
      </c>
      <c r="C2959" s="47" t="s">
        <v>945</v>
      </c>
      <c r="D2959" s="47" t="s">
        <v>224</v>
      </c>
      <c r="E2959" s="47" t="s">
        <v>267</v>
      </c>
      <c r="H2959" s="47" t="s">
        <v>43</v>
      </c>
      <c r="I2959" s="47" t="s">
        <v>50</v>
      </c>
      <c r="L2959" s="47" t="s">
        <v>536</v>
      </c>
      <c r="M2959" s="47" t="s">
        <v>371</v>
      </c>
      <c r="N2959" s="47" t="s">
        <v>1150</v>
      </c>
      <c r="O2959" s="47" t="s">
        <v>30</v>
      </c>
      <c r="P2959" s="47" t="s">
        <v>43</v>
      </c>
    </row>
    <row r="2960" spans="2:16" ht="15" customHeight="1">
      <c r="B2960" s="47">
        <v>4014</v>
      </c>
      <c r="C2960" s="47" t="s">
        <v>945</v>
      </c>
      <c r="D2960" s="47" t="s">
        <v>224</v>
      </c>
      <c r="E2960" s="16" t="s">
        <v>1103</v>
      </c>
      <c r="H2960" s="47" t="s">
        <v>43</v>
      </c>
      <c r="I2960" s="47" t="s">
        <v>50</v>
      </c>
      <c r="L2960" s="47" t="s">
        <v>536</v>
      </c>
      <c r="M2960" s="47" t="s">
        <v>371</v>
      </c>
      <c r="N2960" s="47" t="s">
        <v>1150</v>
      </c>
      <c r="O2960" s="47" t="s">
        <v>30</v>
      </c>
      <c r="P2960" s="47" t="s">
        <v>43</v>
      </c>
    </row>
    <row r="2961" spans="2:16" ht="15" customHeight="1">
      <c r="B2961" s="47">
        <v>4015</v>
      </c>
      <c r="C2961" s="47" t="s">
        <v>945</v>
      </c>
      <c r="D2961" s="47" t="s">
        <v>224</v>
      </c>
      <c r="E2961" s="47" t="s">
        <v>228</v>
      </c>
      <c r="H2961" s="47" t="s">
        <v>43</v>
      </c>
      <c r="I2961" s="47" t="s">
        <v>50</v>
      </c>
      <c r="M2961" s="47" t="s">
        <v>371</v>
      </c>
      <c r="N2961" s="47" t="s">
        <v>1150</v>
      </c>
      <c r="O2961" s="47" t="s">
        <v>30</v>
      </c>
      <c r="P2961" s="47" t="s">
        <v>43</v>
      </c>
    </row>
    <row r="2962" spans="2:16" ht="15" customHeight="1">
      <c r="B2962" s="47">
        <v>4016</v>
      </c>
      <c r="C2962" s="47" t="s">
        <v>945</v>
      </c>
      <c r="D2962" s="47" t="s">
        <v>224</v>
      </c>
      <c r="E2962" s="47" t="s">
        <v>522</v>
      </c>
      <c r="H2962" s="47" t="s">
        <v>43</v>
      </c>
      <c r="I2962" s="47" t="s">
        <v>50</v>
      </c>
      <c r="L2962" s="47" t="s">
        <v>1149</v>
      </c>
      <c r="M2962" s="47" t="s">
        <v>292</v>
      </c>
      <c r="N2962" s="47" t="s">
        <v>1150</v>
      </c>
      <c r="O2962" s="47" t="s">
        <v>30</v>
      </c>
      <c r="P2962" s="47" t="s">
        <v>43</v>
      </c>
    </row>
    <row r="2963" spans="2:16" ht="15" customHeight="1">
      <c r="B2963" s="47">
        <v>4017</v>
      </c>
      <c r="C2963" s="47" t="s">
        <v>945</v>
      </c>
      <c r="D2963" s="47" t="s">
        <v>224</v>
      </c>
      <c r="E2963" s="47" t="s">
        <v>1097</v>
      </c>
      <c r="H2963" s="47" t="s">
        <v>43</v>
      </c>
      <c r="I2963" s="47" t="s">
        <v>50</v>
      </c>
      <c r="L2963" s="47" t="s">
        <v>531</v>
      </c>
      <c r="M2963" s="47" t="s">
        <v>292</v>
      </c>
      <c r="N2963" s="47" t="s">
        <v>1150</v>
      </c>
      <c r="O2963" s="47" t="s">
        <v>30</v>
      </c>
      <c r="P2963" s="47" t="s">
        <v>43</v>
      </c>
    </row>
    <row r="2964" spans="2:16" ht="15" customHeight="1">
      <c r="B2964" s="47">
        <v>4018</v>
      </c>
      <c r="C2964" s="47" t="s">
        <v>945</v>
      </c>
      <c r="D2964" s="47" t="s">
        <v>224</v>
      </c>
      <c r="E2964" s="47" t="s">
        <v>225</v>
      </c>
      <c r="H2964" s="47" t="s">
        <v>43</v>
      </c>
      <c r="I2964" s="47" t="s">
        <v>50</v>
      </c>
      <c r="L2964" s="47" t="s">
        <v>536</v>
      </c>
      <c r="M2964" s="47" t="s">
        <v>417</v>
      </c>
      <c r="N2964" s="47" t="s">
        <v>1209</v>
      </c>
      <c r="O2964" s="47" t="s">
        <v>30</v>
      </c>
      <c r="P2964" s="47" t="s">
        <v>43</v>
      </c>
    </row>
    <row r="2965" spans="2:16" ht="15" customHeight="1">
      <c r="B2965" s="47">
        <v>4019</v>
      </c>
      <c r="C2965" s="47" t="s">
        <v>945</v>
      </c>
      <c r="D2965" s="47" t="s">
        <v>224</v>
      </c>
      <c r="E2965" s="47" t="s">
        <v>225</v>
      </c>
      <c r="H2965" s="47" t="s">
        <v>43</v>
      </c>
      <c r="I2965" s="47" t="s">
        <v>50</v>
      </c>
      <c r="L2965" s="47" t="s">
        <v>536</v>
      </c>
      <c r="M2965" s="47" t="s">
        <v>417</v>
      </c>
      <c r="N2965" s="47" t="s">
        <v>1209</v>
      </c>
      <c r="O2965" s="47" t="s">
        <v>30</v>
      </c>
      <c r="P2965" s="47" t="s">
        <v>43</v>
      </c>
    </row>
    <row r="2966" spans="2:16" ht="15" customHeight="1">
      <c r="B2966" s="47">
        <v>4020</v>
      </c>
      <c r="C2966" s="47" t="s">
        <v>945</v>
      </c>
      <c r="D2966" s="47" t="s">
        <v>224</v>
      </c>
      <c r="E2966" s="47" t="s">
        <v>227</v>
      </c>
      <c r="H2966" s="47" t="s">
        <v>43</v>
      </c>
      <c r="I2966" s="47" t="s">
        <v>50</v>
      </c>
      <c r="L2966" s="47" t="s">
        <v>536</v>
      </c>
      <c r="M2966" s="47" t="s">
        <v>417</v>
      </c>
      <c r="N2966" s="47" t="s">
        <v>1209</v>
      </c>
      <c r="O2966" s="47" t="s">
        <v>30</v>
      </c>
      <c r="P2966" s="47" t="s">
        <v>43</v>
      </c>
    </row>
    <row r="2967" spans="2:16" ht="15" customHeight="1">
      <c r="B2967" s="47">
        <v>4021</v>
      </c>
      <c r="C2967" s="47" t="s">
        <v>945</v>
      </c>
      <c r="D2967" s="47" t="s">
        <v>224</v>
      </c>
      <c r="E2967" s="47" t="s">
        <v>227</v>
      </c>
      <c r="H2967" s="47" t="s">
        <v>43</v>
      </c>
      <c r="I2967" s="47" t="s">
        <v>50</v>
      </c>
      <c r="L2967" s="47" t="s">
        <v>536</v>
      </c>
      <c r="M2967" s="47" t="s">
        <v>417</v>
      </c>
      <c r="N2967" s="47" t="s">
        <v>1209</v>
      </c>
      <c r="O2967" s="47" t="s">
        <v>30</v>
      </c>
      <c r="P2967" s="47" t="s">
        <v>43</v>
      </c>
    </row>
    <row r="2968" spans="2:16" ht="15" customHeight="1">
      <c r="B2968" s="47">
        <v>4022</v>
      </c>
      <c r="C2968" s="47" t="s">
        <v>945</v>
      </c>
      <c r="D2968" s="47" t="s">
        <v>224</v>
      </c>
      <c r="E2968" s="47" t="s">
        <v>267</v>
      </c>
      <c r="H2968" s="47" t="s">
        <v>43</v>
      </c>
      <c r="I2968" s="47" t="s">
        <v>50</v>
      </c>
      <c r="L2968" s="47" t="s">
        <v>536</v>
      </c>
      <c r="M2968" s="47" t="s">
        <v>371</v>
      </c>
      <c r="N2968" s="47" t="s">
        <v>1209</v>
      </c>
      <c r="O2968" s="47" t="s">
        <v>30</v>
      </c>
      <c r="P2968" s="47" t="s">
        <v>43</v>
      </c>
    </row>
    <row r="2969" spans="2:16" ht="15" customHeight="1">
      <c r="B2969" s="47">
        <v>4023</v>
      </c>
      <c r="C2969" s="47" t="s">
        <v>945</v>
      </c>
      <c r="D2969" s="47" t="s">
        <v>224</v>
      </c>
      <c r="E2969" s="16" t="s">
        <v>1103</v>
      </c>
      <c r="H2969" s="47" t="s">
        <v>43</v>
      </c>
      <c r="I2969" s="47" t="s">
        <v>50</v>
      </c>
      <c r="L2969" s="47" t="s">
        <v>536</v>
      </c>
      <c r="M2969" s="47" t="s">
        <v>371</v>
      </c>
      <c r="N2969" s="47" t="s">
        <v>1209</v>
      </c>
      <c r="O2969" s="47" t="s">
        <v>30</v>
      </c>
      <c r="P2969" s="47" t="s">
        <v>43</v>
      </c>
    </row>
    <row r="2970" spans="2:16" ht="15" customHeight="1">
      <c r="B2970" s="47">
        <v>4024</v>
      </c>
      <c r="C2970" s="47" t="s">
        <v>945</v>
      </c>
      <c r="D2970" s="47" t="s">
        <v>224</v>
      </c>
      <c r="E2970" s="47" t="s">
        <v>228</v>
      </c>
      <c r="H2970" s="47" t="s">
        <v>43</v>
      </c>
      <c r="I2970" s="47" t="s">
        <v>50</v>
      </c>
      <c r="M2970" s="47" t="s">
        <v>371</v>
      </c>
      <c r="N2970" s="47" t="s">
        <v>1209</v>
      </c>
      <c r="O2970" s="47" t="s">
        <v>30</v>
      </c>
      <c r="P2970" s="47" t="s">
        <v>43</v>
      </c>
    </row>
    <row r="2971" spans="2:16" ht="15" customHeight="1">
      <c r="B2971" s="47">
        <v>4025</v>
      </c>
      <c r="C2971" s="47" t="s">
        <v>945</v>
      </c>
      <c r="D2971" s="47" t="s">
        <v>224</v>
      </c>
      <c r="E2971" s="47" t="s">
        <v>522</v>
      </c>
      <c r="H2971" s="47" t="s">
        <v>43</v>
      </c>
      <c r="I2971" s="47" t="s">
        <v>50</v>
      </c>
      <c r="L2971" s="47" t="s">
        <v>1149</v>
      </c>
      <c r="M2971" s="47" t="s">
        <v>292</v>
      </c>
      <c r="N2971" s="47" t="s">
        <v>1209</v>
      </c>
      <c r="O2971" s="47" t="s">
        <v>30</v>
      </c>
      <c r="P2971" s="47" t="s">
        <v>43</v>
      </c>
    </row>
    <row r="2972" spans="2:16" ht="15" customHeight="1">
      <c r="B2972" s="47">
        <v>4026</v>
      </c>
      <c r="C2972" s="47" t="s">
        <v>945</v>
      </c>
      <c r="D2972" s="47" t="s">
        <v>224</v>
      </c>
      <c r="E2972" s="47" t="s">
        <v>1097</v>
      </c>
      <c r="H2972" s="47" t="s">
        <v>43</v>
      </c>
      <c r="I2972" s="47" t="s">
        <v>50</v>
      </c>
      <c r="L2972" s="47" t="s">
        <v>531</v>
      </c>
      <c r="M2972" s="47" t="s">
        <v>292</v>
      </c>
      <c r="N2972" s="47" t="s">
        <v>1209</v>
      </c>
      <c r="O2972" s="47" t="s">
        <v>30</v>
      </c>
      <c r="P2972" s="47" t="s">
        <v>43</v>
      </c>
    </row>
    <row r="2973" spans="2:16" ht="15" customHeight="1">
      <c r="B2973" s="47">
        <v>4027</v>
      </c>
      <c r="C2973" s="47" t="s">
        <v>945</v>
      </c>
      <c r="D2973" s="47" t="s">
        <v>224</v>
      </c>
      <c r="E2973" s="47" t="s">
        <v>519</v>
      </c>
      <c r="H2973" s="47" t="s">
        <v>43</v>
      </c>
      <c r="I2973" s="47" t="s">
        <v>50</v>
      </c>
      <c r="L2973" s="47" t="s">
        <v>1147</v>
      </c>
      <c r="M2973" s="47" t="s">
        <v>404</v>
      </c>
      <c r="N2973" s="47" t="s">
        <v>1210</v>
      </c>
      <c r="O2973" s="47" t="s">
        <v>30</v>
      </c>
      <c r="P2973" s="47" t="s">
        <v>43</v>
      </c>
    </row>
    <row r="2974" spans="2:16" ht="15" customHeight="1">
      <c r="B2974" s="47">
        <v>4028</v>
      </c>
      <c r="C2974" s="47" t="s">
        <v>945</v>
      </c>
      <c r="D2974" s="47" t="s">
        <v>224</v>
      </c>
      <c r="E2974" s="47" t="s">
        <v>519</v>
      </c>
      <c r="H2974" s="47" t="s">
        <v>43</v>
      </c>
      <c r="I2974" s="47" t="s">
        <v>50</v>
      </c>
      <c r="L2974" s="47" t="s">
        <v>1147</v>
      </c>
      <c r="M2974" s="47" t="s">
        <v>404</v>
      </c>
      <c r="N2974" s="47" t="s">
        <v>1150</v>
      </c>
      <c r="O2974" s="47" t="s">
        <v>30</v>
      </c>
      <c r="P2974" s="47" t="s">
        <v>43</v>
      </c>
    </row>
    <row r="2975" spans="2:16" ht="15" customHeight="1">
      <c r="B2975" s="47">
        <v>4029</v>
      </c>
      <c r="C2975" s="47" t="s">
        <v>945</v>
      </c>
      <c r="D2975" s="47" t="s">
        <v>224</v>
      </c>
      <c r="E2975" s="47" t="s">
        <v>519</v>
      </c>
      <c r="H2975" s="47" t="s">
        <v>43</v>
      </c>
      <c r="I2975" s="47" t="s">
        <v>50</v>
      </c>
      <c r="L2975" s="47" t="s">
        <v>1147</v>
      </c>
      <c r="M2975" s="47" t="s">
        <v>404</v>
      </c>
      <c r="N2975" s="47" t="s">
        <v>1209</v>
      </c>
      <c r="O2975" s="47" t="s">
        <v>30</v>
      </c>
      <c r="P2975" s="47" t="s">
        <v>43</v>
      </c>
    </row>
    <row r="2976" spans="2:16" ht="15" customHeight="1">
      <c r="B2976" s="47">
        <v>4030</v>
      </c>
      <c r="C2976" s="47" t="s">
        <v>1139</v>
      </c>
      <c r="D2976" s="47" t="s">
        <v>224</v>
      </c>
      <c r="E2976" s="42" t="s">
        <v>225</v>
      </c>
      <c r="H2976" s="47" t="s">
        <v>43</v>
      </c>
      <c r="I2976" s="47" t="s">
        <v>50</v>
      </c>
      <c r="L2976" s="47" t="s">
        <v>536</v>
      </c>
      <c r="M2976" s="47" t="s">
        <v>417</v>
      </c>
      <c r="N2976" s="47" t="s">
        <v>1142</v>
      </c>
      <c r="O2976" s="47" t="s">
        <v>30</v>
      </c>
      <c r="P2976" s="47" t="s">
        <v>43</v>
      </c>
    </row>
    <row r="2977" spans="2:16" ht="15" customHeight="1">
      <c r="B2977" s="47">
        <v>4031</v>
      </c>
      <c r="C2977" s="47" t="s">
        <v>1139</v>
      </c>
      <c r="D2977" s="47" t="s">
        <v>224</v>
      </c>
      <c r="E2977" s="42" t="s">
        <v>225</v>
      </c>
      <c r="H2977" s="47" t="s">
        <v>43</v>
      </c>
      <c r="I2977" s="47" t="s">
        <v>50</v>
      </c>
      <c r="L2977" s="47" t="s">
        <v>536</v>
      </c>
      <c r="M2977" s="47" t="s">
        <v>417</v>
      </c>
      <c r="N2977" s="47" t="s">
        <v>1142</v>
      </c>
      <c r="O2977" s="47" t="s">
        <v>30</v>
      </c>
      <c r="P2977" s="47" t="s">
        <v>43</v>
      </c>
    </row>
    <row r="2978" spans="2:16" ht="15" customHeight="1">
      <c r="B2978" s="47">
        <v>4032</v>
      </c>
      <c r="C2978" s="47" t="s">
        <v>1139</v>
      </c>
      <c r="D2978" s="47" t="s">
        <v>224</v>
      </c>
      <c r="E2978" s="42" t="s">
        <v>227</v>
      </c>
      <c r="H2978" s="47" t="s">
        <v>43</v>
      </c>
      <c r="I2978" s="47" t="s">
        <v>50</v>
      </c>
      <c r="L2978" s="47" t="s">
        <v>536</v>
      </c>
      <c r="M2978" s="47" t="s">
        <v>417</v>
      </c>
      <c r="N2978" s="47" t="s">
        <v>1142</v>
      </c>
      <c r="O2978" s="47" t="s">
        <v>30</v>
      </c>
      <c r="P2978" s="47" t="s">
        <v>43</v>
      </c>
    </row>
    <row r="2979" spans="2:16" ht="15" customHeight="1">
      <c r="B2979" s="47">
        <v>4033</v>
      </c>
      <c r="C2979" s="47" t="s">
        <v>1139</v>
      </c>
      <c r="D2979" s="47" t="s">
        <v>224</v>
      </c>
      <c r="E2979" s="42" t="s">
        <v>227</v>
      </c>
      <c r="H2979" s="47" t="s">
        <v>43</v>
      </c>
      <c r="I2979" s="47" t="s">
        <v>50</v>
      </c>
      <c r="L2979" s="47" t="s">
        <v>536</v>
      </c>
      <c r="M2979" s="47" t="s">
        <v>417</v>
      </c>
      <c r="N2979" s="47" t="s">
        <v>1142</v>
      </c>
      <c r="O2979" s="47" t="s">
        <v>30</v>
      </c>
      <c r="P2979" s="47" t="s">
        <v>43</v>
      </c>
    </row>
    <row r="2980" spans="2:16" ht="15" customHeight="1">
      <c r="B2980" s="47">
        <v>4034</v>
      </c>
      <c r="C2980" s="47" t="s">
        <v>1139</v>
      </c>
      <c r="D2980" s="47" t="s">
        <v>224</v>
      </c>
      <c r="E2980" s="47" t="s">
        <v>228</v>
      </c>
      <c r="H2980" s="47" t="s">
        <v>43</v>
      </c>
      <c r="I2980" s="47" t="s">
        <v>50</v>
      </c>
      <c r="M2980" s="47" t="s">
        <v>371</v>
      </c>
      <c r="N2980" s="47" t="s">
        <v>1142</v>
      </c>
      <c r="O2980" s="47" t="s">
        <v>30</v>
      </c>
      <c r="P2980" s="47" t="s">
        <v>43</v>
      </c>
    </row>
    <row r="2981" spans="2:16" ht="15" customHeight="1">
      <c r="B2981" s="47">
        <v>4035</v>
      </c>
      <c r="C2981" s="47" t="s">
        <v>1139</v>
      </c>
      <c r="D2981" s="47" t="s">
        <v>224</v>
      </c>
      <c r="E2981" s="47" t="s">
        <v>1213</v>
      </c>
      <c r="H2981" s="47" t="s">
        <v>43</v>
      </c>
      <c r="I2981" s="47" t="s">
        <v>50</v>
      </c>
      <c r="M2981" s="47" t="s">
        <v>1214</v>
      </c>
      <c r="N2981" s="47" t="s">
        <v>1142</v>
      </c>
      <c r="O2981" s="47" t="s">
        <v>30</v>
      </c>
      <c r="P2981" s="47" t="s">
        <v>43</v>
      </c>
    </row>
    <row r="2982" spans="2:16" ht="15" customHeight="1">
      <c r="B2982" s="47">
        <v>4036</v>
      </c>
      <c r="C2982" s="47" t="s">
        <v>1140</v>
      </c>
      <c r="D2982" s="47" t="s">
        <v>224</v>
      </c>
      <c r="E2982" s="42" t="s">
        <v>225</v>
      </c>
      <c r="H2982" s="47" t="s">
        <v>43</v>
      </c>
      <c r="I2982" s="47" t="s">
        <v>50</v>
      </c>
      <c r="L2982" s="47" t="s">
        <v>536</v>
      </c>
      <c r="M2982" s="47" t="s">
        <v>417</v>
      </c>
      <c r="N2982" s="47" t="s">
        <v>1142</v>
      </c>
      <c r="O2982" s="47" t="s">
        <v>30</v>
      </c>
      <c r="P2982" s="47" t="s">
        <v>43</v>
      </c>
    </row>
    <row r="2983" spans="2:16" ht="15" customHeight="1">
      <c r="B2983" s="47">
        <v>4037</v>
      </c>
      <c r="C2983" s="47" t="s">
        <v>1140</v>
      </c>
      <c r="D2983" s="47" t="s">
        <v>224</v>
      </c>
      <c r="E2983" s="42" t="s">
        <v>225</v>
      </c>
      <c r="H2983" s="47" t="s">
        <v>43</v>
      </c>
      <c r="I2983" s="47" t="s">
        <v>50</v>
      </c>
      <c r="L2983" s="47" t="s">
        <v>536</v>
      </c>
      <c r="M2983" s="47" t="s">
        <v>417</v>
      </c>
      <c r="N2983" s="47" t="s">
        <v>1142</v>
      </c>
      <c r="O2983" s="47" t="s">
        <v>30</v>
      </c>
      <c r="P2983" s="47" t="s">
        <v>43</v>
      </c>
    </row>
    <row r="2984" spans="2:16" ht="15" customHeight="1">
      <c r="B2984" s="47">
        <v>4038</v>
      </c>
      <c r="C2984" s="47" t="s">
        <v>1140</v>
      </c>
      <c r="D2984" s="47" t="s">
        <v>224</v>
      </c>
      <c r="E2984" s="42" t="s">
        <v>227</v>
      </c>
      <c r="H2984" s="47" t="s">
        <v>43</v>
      </c>
      <c r="I2984" s="47" t="s">
        <v>50</v>
      </c>
      <c r="L2984" s="47" t="s">
        <v>536</v>
      </c>
      <c r="M2984" s="47" t="s">
        <v>417</v>
      </c>
      <c r="N2984" s="47" t="s">
        <v>1142</v>
      </c>
      <c r="O2984" s="47" t="s">
        <v>30</v>
      </c>
      <c r="P2984" s="47" t="s">
        <v>43</v>
      </c>
    </row>
    <row r="2985" spans="2:16" ht="15" customHeight="1">
      <c r="B2985" s="47">
        <v>4039</v>
      </c>
      <c r="C2985" s="47" t="s">
        <v>1140</v>
      </c>
      <c r="D2985" s="47" t="s">
        <v>224</v>
      </c>
      <c r="E2985" s="42" t="s">
        <v>227</v>
      </c>
      <c r="H2985" s="47" t="s">
        <v>43</v>
      </c>
      <c r="I2985" s="47" t="s">
        <v>50</v>
      </c>
      <c r="L2985" s="47" t="s">
        <v>536</v>
      </c>
      <c r="M2985" s="47" t="s">
        <v>417</v>
      </c>
      <c r="N2985" s="47" t="s">
        <v>1142</v>
      </c>
      <c r="O2985" s="47" t="s">
        <v>30</v>
      </c>
      <c r="P2985" s="47" t="s">
        <v>43</v>
      </c>
    </row>
    <row r="2986" spans="2:16" ht="15" customHeight="1">
      <c r="B2986" s="47">
        <v>4040</v>
      </c>
      <c r="C2986" s="47" t="s">
        <v>1140</v>
      </c>
      <c r="D2986" s="47" t="s">
        <v>224</v>
      </c>
      <c r="E2986" s="47" t="s">
        <v>228</v>
      </c>
      <c r="H2986" s="47" t="s">
        <v>43</v>
      </c>
      <c r="I2986" s="47" t="s">
        <v>50</v>
      </c>
      <c r="M2986" s="47" t="s">
        <v>371</v>
      </c>
      <c r="N2986" s="47" t="s">
        <v>1142</v>
      </c>
      <c r="O2986" s="47" t="s">
        <v>30</v>
      </c>
      <c r="P2986" s="47" t="s">
        <v>43</v>
      </c>
    </row>
    <row r="2987" spans="2:16" ht="15" customHeight="1">
      <c r="B2987" s="47">
        <v>4041</v>
      </c>
      <c r="C2987" s="47" t="s">
        <v>1140</v>
      </c>
      <c r="D2987" s="47" t="s">
        <v>224</v>
      </c>
      <c r="E2987" s="47" t="s">
        <v>1213</v>
      </c>
      <c r="H2987" s="47" t="s">
        <v>43</v>
      </c>
      <c r="I2987" s="47" t="s">
        <v>50</v>
      </c>
      <c r="M2987" s="47" t="s">
        <v>1214</v>
      </c>
      <c r="N2987" s="47" t="s">
        <v>1142</v>
      </c>
      <c r="O2987" s="47" t="s">
        <v>30</v>
      </c>
      <c r="P2987" s="47" t="s">
        <v>43</v>
      </c>
    </row>
    <row r="2988" spans="2:16" ht="15" customHeight="1">
      <c r="B2988" s="47">
        <v>4042</v>
      </c>
      <c r="C2988" s="47" t="s">
        <v>1141</v>
      </c>
      <c r="D2988" s="47" t="s">
        <v>224</v>
      </c>
      <c r="E2988" s="42" t="s">
        <v>225</v>
      </c>
      <c r="H2988" s="47" t="s">
        <v>43</v>
      </c>
      <c r="I2988" s="47" t="s">
        <v>50</v>
      </c>
      <c r="L2988" s="47" t="s">
        <v>536</v>
      </c>
      <c r="M2988" s="47" t="s">
        <v>417</v>
      </c>
      <c r="N2988" s="47" t="s">
        <v>1142</v>
      </c>
      <c r="O2988" s="47" t="s">
        <v>30</v>
      </c>
      <c r="P2988" s="47" t="s">
        <v>43</v>
      </c>
    </row>
    <row r="2989" spans="2:16" ht="15" customHeight="1">
      <c r="B2989" s="47">
        <v>4043</v>
      </c>
      <c r="C2989" s="47" t="s">
        <v>1141</v>
      </c>
      <c r="D2989" s="47" t="s">
        <v>224</v>
      </c>
      <c r="E2989" s="42" t="s">
        <v>225</v>
      </c>
      <c r="H2989" s="47" t="s">
        <v>43</v>
      </c>
      <c r="I2989" s="47" t="s">
        <v>50</v>
      </c>
      <c r="L2989" s="47" t="s">
        <v>536</v>
      </c>
      <c r="M2989" s="47" t="s">
        <v>417</v>
      </c>
      <c r="N2989" s="47" t="s">
        <v>1142</v>
      </c>
      <c r="O2989" s="47" t="s">
        <v>30</v>
      </c>
      <c r="P2989" s="47" t="s">
        <v>43</v>
      </c>
    </row>
    <row r="2990" spans="2:16" ht="15" customHeight="1">
      <c r="B2990" s="47">
        <v>4044</v>
      </c>
      <c r="C2990" s="47" t="s">
        <v>1141</v>
      </c>
      <c r="D2990" s="47" t="s">
        <v>224</v>
      </c>
      <c r="E2990" s="42" t="s">
        <v>227</v>
      </c>
      <c r="H2990" s="47" t="s">
        <v>43</v>
      </c>
      <c r="I2990" s="47" t="s">
        <v>50</v>
      </c>
      <c r="L2990" s="47" t="s">
        <v>536</v>
      </c>
      <c r="M2990" s="47" t="s">
        <v>417</v>
      </c>
      <c r="N2990" s="47" t="s">
        <v>1142</v>
      </c>
      <c r="O2990" s="47" t="s">
        <v>30</v>
      </c>
      <c r="P2990" s="47" t="s">
        <v>43</v>
      </c>
    </row>
    <row r="2991" spans="2:16" ht="15" customHeight="1">
      <c r="B2991" s="47">
        <v>4045</v>
      </c>
      <c r="C2991" s="47" t="s">
        <v>1141</v>
      </c>
      <c r="D2991" s="47" t="s">
        <v>224</v>
      </c>
      <c r="E2991" s="42" t="s">
        <v>227</v>
      </c>
      <c r="H2991" s="47" t="s">
        <v>43</v>
      </c>
      <c r="I2991" s="47" t="s">
        <v>50</v>
      </c>
      <c r="L2991" s="47" t="s">
        <v>536</v>
      </c>
      <c r="M2991" s="47" t="s">
        <v>417</v>
      </c>
      <c r="N2991" s="47" t="s">
        <v>1142</v>
      </c>
      <c r="O2991" s="47" t="s">
        <v>30</v>
      </c>
      <c r="P2991" s="47" t="s">
        <v>43</v>
      </c>
    </row>
    <row r="2992" spans="2:16" ht="15" customHeight="1">
      <c r="B2992" s="47">
        <v>4046</v>
      </c>
      <c r="C2992" s="42" t="s">
        <v>1141</v>
      </c>
      <c r="D2992" s="47" t="s">
        <v>224</v>
      </c>
      <c r="E2992" s="47" t="s">
        <v>228</v>
      </c>
      <c r="H2992" s="47" t="s">
        <v>43</v>
      </c>
      <c r="I2992" s="47" t="s">
        <v>50</v>
      </c>
      <c r="M2992" s="47" t="s">
        <v>371</v>
      </c>
      <c r="N2992" s="47" t="s">
        <v>1142</v>
      </c>
      <c r="O2992" s="47" t="s">
        <v>30</v>
      </c>
      <c r="P2992" s="47" t="s">
        <v>43</v>
      </c>
    </row>
    <row r="2993" spans="1:16" ht="15" customHeight="1">
      <c r="B2993" s="47">
        <v>4047</v>
      </c>
      <c r="C2993" s="42" t="s">
        <v>1141</v>
      </c>
      <c r="D2993" s="47" t="s">
        <v>224</v>
      </c>
      <c r="E2993" s="47" t="s">
        <v>1213</v>
      </c>
      <c r="H2993" s="47" t="s">
        <v>43</v>
      </c>
      <c r="I2993" s="47" t="s">
        <v>50</v>
      </c>
      <c r="M2993" s="47" t="s">
        <v>1214</v>
      </c>
      <c r="N2993" s="47" t="s">
        <v>1142</v>
      </c>
      <c r="O2993" s="47" t="s">
        <v>30</v>
      </c>
      <c r="P2993" s="47" t="s">
        <v>43</v>
      </c>
    </row>
    <row r="2994" spans="1:16" ht="15" customHeight="1">
      <c r="B2994" s="47">
        <v>4048</v>
      </c>
      <c r="C2994" s="47" t="s">
        <v>1215</v>
      </c>
      <c r="D2994" s="47" t="s">
        <v>224</v>
      </c>
      <c r="E2994" s="42" t="s">
        <v>225</v>
      </c>
      <c r="H2994" s="47" t="s">
        <v>43</v>
      </c>
      <c r="I2994" s="47" t="s">
        <v>50</v>
      </c>
      <c r="L2994" s="47" t="s">
        <v>536</v>
      </c>
      <c r="M2994" s="47" t="s">
        <v>417</v>
      </c>
      <c r="N2994" s="47" t="s">
        <v>1142</v>
      </c>
      <c r="O2994" s="47" t="s">
        <v>30</v>
      </c>
      <c r="P2994" s="47" t="s">
        <v>43</v>
      </c>
    </row>
    <row r="2995" spans="1:16" ht="15" customHeight="1">
      <c r="B2995" s="47">
        <v>4049</v>
      </c>
      <c r="C2995" s="47" t="s">
        <v>1215</v>
      </c>
      <c r="D2995" s="47" t="s">
        <v>224</v>
      </c>
      <c r="E2995" s="42" t="s">
        <v>225</v>
      </c>
      <c r="H2995" s="47" t="s">
        <v>43</v>
      </c>
      <c r="I2995" s="47" t="s">
        <v>50</v>
      </c>
      <c r="L2995" s="47" t="s">
        <v>536</v>
      </c>
      <c r="M2995" s="47" t="s">
        <v>417</v>
      </c>
      <c r="N2995" s="47" t="s">
        <v>1142</v>
      </c>
      <c r="O2995" s="47" t="s">
        <v>30</v>
      </c>
      <c r="P2995" s="47" t="s">
        <v>43</v>
      </c>
    </row>
    <row r="2996" spans="1:16" ht="15" customHeight="1">
      <c r="B2996" s="47">
        <v>4050</v>
      </c>
      <c r="C2996" s="47" t="s">
        <v>1215</v>
      </c>
      <c r="D2996" s="47" t="s">
        <v>224</v>
      </c>
      <c r="E2996" s="42" t="s">
        <v>227</v>
      </c>
      <c r="H2996" s="47" t="s">
        <v>43</v>
      </c>
      <c r="I2996" s="47" t="s">
        <v>50</v>
      </c>
      <c r="L2996" s="47" t="s">
        <v>536</v>
      </c>
      <c r="M2996" s="47" t="s">
        <v>417</v>
      </c>
      <c r="N2996" s="47" t="s">
        <v>1142</v>
      </c>
      <c r="O2996" s="47" t="s">
        <v>30</v>
      </c>
      <c r="P2996" s="47" t="s">
        <v>43</v>
      </c>
    </row>
    <row r="2997" spans="1:16" ht="15" customHeight="1">
      <c r="B2997" s="47">
        <v>4051</v>
      </c>
      <c r="C2997" s="47" t="s">
        <v>1215</v>
      </c>
      <c r="D2997" s="47" t="s">
        <v>224</v>
      </c>
      <c r="E2997" s="42" t="s">
        <v>227</v>
      </c>
      <c r="H2997" s="47" t="s">
        <v>43</v>
      </c>
      <c r="I2997" s="47" t="s">
        <v>50</v>
      </c>
      <c r="L2997" s="47" t="s">
        <v>536</v>
      </c>
      <c r="M2997" s="47" t="s">
        <v>417</v>
      </c>
      <c r="N2997" s="47" t="s">
        <v>1142</v>
      </c>
      <c r="O2997" s="47" t="s">
        <v>30</v>
      </c>
      <c r="P2997" s="47" t="s">
        <v>43</v>
      </c>
    </row>
    <row r="2998" spans="1:16" ht="15" customHeight="1">
      <c r="B2998" s="47">
        <v>4052</v>
      </c>
      <c r="C2998" s="47" t="s">
        <v>1215</v>
      </c>
      <c r="D2998" s="47" t="s">
        <v>224</v>
      </c>
      <c r="E2998" s="47" t="s">
        <v>228</v>
      </c>
      <c r="H2998" s="47" t="s">
        <v>43</v>
      </c>
      <c r="I2998" s="47" t="s">
        <v>50</v>
      </c>
      <c r="M2998" s="47" t="s">
        <v>371</v>
      </c>
      <c r="N2998" s="47" t="s">
        <v>1142</v>
      </c>
      <c r="O2998" s="47" t="s">
        <v>30</v>
      </c>
      <c r="P2998" s="47" t="s">
        <v>43</v>
      </c>
    </row>
    <row r="2999" spans="1:16" ht="15" customHeight="1">
      <c r="B2999" s="47">
        <v>4053</v>
      </c>
      <c r="C2999" s="47" t="s">
        <v>1215</v>
      </c>
      <c r="D2999" s="47" t="s">
        <v>224</v>
      </c>
      <c r="E2999" s="47" t="s">
        <v>1213</v>
      </c>
      <c r="H2999" s="47" t="s">
        <v>43</v>
      </c>
      <c r="I2999" s="47" t="s">
        <v>50</v>
      </c>
      <c r="M2999" s="47" t="s">
        <v>1214</v>
      </c>
      <c r="N2999" s="47" t="s">
        <v>1142</v>
      </c>
      <c r="O2999" s="47" t="s">
        <v>30</v>
      </c>
      <c r="P2999" s="47" t="s">
        <v>43</v>
      </c>
    </row>
    <row r="3000" spans="1:16" ht="15" customHeight="1">
      <c r="A3000" s="47">
        <v>25</v>
      </c>
      <c r="B3000" s="2">
        <v>4054</v>
      </c>
      <c r="C3000" t="s">
        <v>61</v>
      </c>
      <c r="D3000" s="47" t="s">
        <v>1134</v>
      </c>
      <c r="E3000" s="2" t="s">
        <v>1125</v>
      </c>
      <c r="F3000" t="s">
        <v>185</v>
      </c>
      <c r="G3000"/>
      <c r="H3000" t="s">
        <v>47</v>
      </c>
      <c r="I3000" t="s">
        <v>30</v>
      </c>
      <c r="J3000" t="s">
        <v>35</v>
      </c>
      <c r="K3000"/>
      <c r="L3000" s="47" t="s">
        <v>180</v>
      </c>
      <c r="M3000" s="47" t="s">
        <v>1135</v>
      </c>
    </row>
    <row r="3001" spans="1:16" ht="15" customHeight="1">
      <c r="A3001" s="47">
        <v>25</v>
      </c>
      <c r="B3001" s="2">
        <v>4055</v>
      </c>
      <c r="C3001" t="s">
        <v>61</v>
      </c>
      <c r="D3001" s="47" t="s">
        <v>1130</v>
      </c>
      <c r="E3001" s="47" t="s">
        <v>1128</v>
      </c>
      <c r="F3001" t="s">
        <v>185</v>
      </c>
      <c r="H3001" t="s">
        <v>47</v>
      </c>
      <c r="I3001" t="s">
        <v>30</v>
      </c>
      <c r="J3001" t="s">
        <v>35</v>
      </c>
      <c r="K3001"/>
      <c r="L3001" s="47" t="s">
        <v>180</v>
      </c>
      <c r="M3001" s="47" t="s">
        <v>197</v>
      </c>
    </row>
    <row r="3002" spans="1:16" ht="15" customHeight="1">
      <c r="A3002" s="47">
        <v>25</v>
      </c>
      <c r="B3002" s="2">
        <v>4056</v>
      </c>
      <c r="C3002" t="s">
        <v>61</v>
      </c>
      <c r="D3002" s="47" t="s">
        <v>1131</v>
      </c>
      <c r="E3002" s="47" t="s">
        <v>1129</v>
      </c>
      <c r="F3002" t="s">
        <v>185</v>
      </c>
      <c r="H3002" t="s">
        <v>47</v>
      </c>
      <c r="I3002" t="s">
        <v>30</v>
      </c>
      <c r="J3002" t="s">
        <v>35</v>
      </c>
      <c r="K3002"/>
      <c r="L3002" s="47" t="s">
        <v>239</v>
      </c>
      <c r="M3002" s="47" t="s">
        <v>1135</v>
      </c>
    </row>
    <row r="3003" spans="1:16" ht="15" customHeight="1">
      <c r="A3003" s="47">
        <v>25</v>
      </c>
      <c r="B3003" s="2">
        <v>4057</v>
      </c>
      <c r="C3003" t="s">
        <v>61</v>
      </c>
      <c r="D3003" s="47" t="s">
        <v>1132</v>
      </c>
      <c r="E3003" s="47" t="s">
        <v>1129</v>
      </c>
      <c r="F3003" t="s">
        <v>185</v>
      </c>
      <c r="H3003" t="s">
        <v>47</v>
      </c>
      <c r="I3003" t="s">
        <v>30</v>
      </c>
      <c r="J3003" t="s">
        <v>35</v>
      </c>
      <c r="K3003"/>
      <c r="L3003" s="47" t="s">
        <v>239</v>
      </c>
      <c r="M3003" s="47" t="s">
        <v>1135</v>
      </c>
    </row>
    <row r="3004" spans="1:16" ht="15" customHeight="1">
      <c r="A3004" s="47">
        <v>25</v>
      </c>
      <c r="B3004" s="2">
        <v>4058</v>
      </c>
      <c r="C3004" t="s">
        <v>61</v>
      </c>
      <c r="D3004" s="2" t="s">
        <v>1127</v>
      </c>
      <c r="E3004" s="47" t="s">
        <v>1126</v>
      </c>
      <c r="F3004" t="s">
        <v>185</v>
      </c>
      <c r="H3004" t="s">
        <v>47</v>
      </c>
      <c r="I3004" t="s">
        <v>30</v>
      </c>
      <c r="J3004" t="s">
        <v>35</v>
      </c>
      <c r="K3004"/>
      <c r="L3004" s="47" t="s">
        <v>314</v>
      </c>
      <c r="M3004" s="47" t="s">
        <v>1136</v>
      </c>
    </row>
    <row r="3005" spans="1:16" ht="15" customHeight="1">
      <c r="A3005" s="47">
        <v>26</v>
      </c>
      <c r="B3005" s="2">
        <v>4059</v>
      </c>
      <c r="C3005" t="s">
        <v>61</v>
      </c>
      <c r="D3005" s="47" t="s">
        <v>1134</v>
      </c>
      <c r="E3005" s="2" t="s">
        <v>1125</v>
      </c>
      <c r="F3005" t="s">
        <v>185</v>
      </c>
      <c r="G3005"/>
      <c r="H3005" t="s">
        <v>47</v>
      </c>
      <c r="I3005" t="s">
        <v>30</v>
      </c>
      <c r="J3005" t="s">
        <v>35</v>
      </c>
      <c r="K3005"/>
      <c r="L3005" s="47" t="s">
        <v>180</v>
      </c>
      <c r="M3005" s="47" t="s">
        <v>1135</v>
      </c>
    </row>
    <row r="3006" spans="1:16" ht="15" customHeight="1">
      <c r="A3006" s="47">
        <v>26</v>
      </c>
      <c r="B3006" s="2">
        <v>4060</v>
      </c>
      <c r="C3006" t="s">
        <v>61</v>
      </c>
      <c r="D3006" s="47" t="s">
        <v>1130</v>
      </c>
      <c r="E3006" s="47" t="s">
        <v>1128</v>
      </c>
      <c r="F3006" t="s">
        <v>185</v>
      </c>
      <c r="H3006" t="s">
        <v>47</v>
      </c>
      <c r="I3006" t="s">
        <v>30</v>
      </c>
      <c r="J3006" t="s">
        <v>35</v>
      </c>
      <c r="K3006"/>
      <c r="L3006" s="47" t="s">
        <v>180</v>
      </c>
      <c r="M3006" s="47" t="s">
        <v>197</v>
      </c>
    </row>
    <row r="3007" spans="1:16" ht="15" customHeight="1">
      <c r="A3007" s="47">
        <v>26</v>
      </c>
      <c r="B3007" s="2">
        <v>4061</v>
      </c>
      <c r="C3007" t="s">
        <v>61</v>
      </c>
      <c r="D3007" s="47" t="s">
        <v>1131</v>
      </c>
      <c r="E3007" s="47" t="s">
        <v>1129</v>
      </c>
      <c r="F3007" t="s">
        <v>185</v>
      </c>
      <c r="H3007" t="s">
        <v>47</v>
      </c>
      <c r="I3007" t="s">
        <v>30</v>
      </c>
      <c r="J3007" t="s">
        <v>35</v>
      </c>
      <c r="K3007"/>
      <c r="L3007" s="47" t="s">
        <v>239</v>
      </c>
      <c r="M3007" s="47" t="s">
        <v>1135</v>
      </c>
    </row>
    <row r="3008" spans="1:16" ht="15" customHeight="1">
      <c r="A3008" s="47">
        <v>26</v>
      </c>
      <c r="B3008" s="2">
        <v>4062</v>
      </c>
      <c r="C3008" t="s">
        <v>61</v>
      </c>
      <c r="D3008" s="47" t="s">
        <v>1132</v>
      </c>
      <c r="E3008" s="47" t="s">
        <v>1129</v>
      </c>
      <c r="F3008" t="s">
        <v>185</v>
      </c>
      <c r="H3008" t="s">
        <v>47</v>
      </c>
      <c r="I3008" t="s">
        <v>30</v>
      </c>
      <c r="J3008" t="s">
        <v>35</v>
      </c>
      <c r="K3008"/>
      <c r="L3008" s="47" t="s">
        <v>239</v>
      </c>
      <c r="M3008" s="47" t="s">
        <v>1135</v>
      </c>
    </row>
    <row r="3009" spans="1:13" ht="15" customHeight="1">
      <c r="A3009" s="47">
        <v>26</v>
      </c>
      <c r="B3009" s="2">
        <v>4063</v>
      </c>
      <c r="C3009" t="s">
        <v>61</v>
      </c>
      <c r="D3009" s="2" t="s">
        <v>1127</v>
      </c>
      <c r="E3009" s="47" t="s">
        <v>1126</v>
      </c>
      <c r="F3009" t="s">
        <v>185</v>
      </c>
      <c r="H3009" t="s">
        <v>47</v>
      </c>
      <c r="I3009" t="s">
        <v>30</v>
      </c>
      <c r="J3009" t="s">
        <v>35</v>
      </c>
      <c r="K3009"/>
      <c r="L3009" s="47" t="s">
        <v>314</v>
      </c>
      <c r="M3009" s="47" t="s">
        <v>1136</v>
      </c>
    </row>
    <row r="3010" spans="1:13" ht="15" customHeight="1">
      <c r="A3010" s="47">
        <v>27</v>
      </c>
      <c r="B3010" s="2">
        <v>4064</v>
      </c>
      <c r="C3010" t="s">
        <v>61</v>
      </c>
      <c r="D3010" s="47" t="s">
        <v>1134</v>
      </c>
      <c r="E3010" s="2" t="s">
        <v>1125</v>
      </c>
      <c r="F3010" t="s">
        <v>185</v>
      </c>
      <c r="G3010"/>
      <c r="H3010" t="s">
        <v>47</v>
      </c>
      <c r="I3010" t="s">
        <v>30</v>
      </c>
      <c r="J3010" t="s">
        <v>35</v>
      </c>
      <c r="K3010"/>
      <c r="L3010" s="47" t="s">
        <v>180</v>
      </c>
      <c r="M3010" s="47" t="s">
        <v>1135</v>
      </c>
    </row>
    <row r="3011" spans="1:13" ht="15" customHeight="1">
      <c r="A3011" s="47">
        <v>27</v>
      </c>
      <c r="B3011" s="2">
        <v>4065</v>
      </c>
      <c r="C3011" t="s">
        <v>61</v>
      </c>
      <c r="D3011" s="47" t="s">
        <v>1130</v>
      </c>
      <c r="E3011" s="47" t="s">
        <v>1128</v>
      </c>
      <c r="F3011" t="s">
        <v>185</v>
      </c>
      <c r="H3011" t="s">
        <v>47</v>
      </c>
      <c r="I3011" t="s">
        <v>30</v>
      </c>
      <c r="J3011" t="s">
        <v>35</v>
      </c>
      <c r="K3011"/>
      <c r="L3011" s="47" t="s">
        <v>180</v>
      </c>
      <c r="M3011" s="47" t="s">
        <v>197</v>
      </c>
    </row>
    <row r="3012" spans="1:13" ht="15" customHeight="1">
      <c r="A3012" s="47">
        <v>27</v>
      </c>
      <c r="B3012" s="2">
        <v>4066</v>
      </c>
      <c r="C3012" t="s">
        <v>61</v>
      </c>
      <c r="D3012" s="47" t="s">
        <v>1131</v>
      </c>
      <c r="E3012" s="47" t="s">
        <v>1129</v>
      </c>
      <c r="F3012" t="s">
        <v>185</v>
      </c>
      <c r="H3012" t="s">
        <v>47</v>
      </c>
      <c r="I3012" t="s">
        <v>30</v>
      </c>
      <c r="J3012" t="s">
        <v>35</v>
      </c>
      <c r="K3012"/>
      <c r="L3012" s="47" t="s">
        <v>239</v>
      </c>
      <c r="M3012" s="47" t="s">
        <v>1135</v>
      </c>
    </row>
    <row r="3013" spans="1:13" ht="15" customHeight="1">
      <c r="A3013" s="47">
        <v>27</v>
      </c>
      <c r="B3013" s="2">
        <v>4067</v>
      </c>
      <c r="C3013" t="s">
        <v>61</v>
      </c>
      <c r="D3013" s="47" t="s">
        <v>1132</v>
      </c>
      <c r="E3013" s="47" t="s">
        <v>1129</v>
      </c>
      <c r="F3013" t="s">
        <v>185</v>
      </c>
      <c r="H3013" t="s">
        <v>47</v>
      </c>
      <c r="I3013" t="s">
        <v>30</v>
      </c>
      <c r="J3013" t="s">
        <v>35</v>
      </c>
      <c r="K3013"/>
      <c r="L3013" s="47" t="s">
        <v>239</v>
      </c>
      <c r="M3013" s="47" t="s">
        <v>1135</v>
      </c>
    </row>
    <row r="3014" spans="1:13" ht="15" customHeight="1">
      <c r="A3014" s="47">
        <v>27</v>
      </c>
      <c r="B3014" s="2">
        <v>4068</v>
      </c>
      <c r="C3014" t="s">
        <v>61</v>
      </c>
      <c r="D3014" s="2" t="s">
        <v>1127</v>
      </c>
      <c r="E3014" s="47" t="s">
        <v>1126</v>
      </c>
      <c r="F3014" t="s">
        <v>185</v>
      </c>
      <c r="H3014" t="s">
        <v>47</v>
      </c>
      <c r="I3014" t="s">
        <v>30</v>
      </c>
      <c r="J3014" t="s">
        <v>35</v>
      </c>
      <c r="K3014"/>
      <c r="L3014" s="47" t="s">
        <v>314</v>
      </c>
      <c r="M3014" s="47" t="s">
        <v>1136</v>
      </c>
    </row>
    <row r="3015" spans="1:13" ht="15" customHeight="1">
      <c r="A3015" s="47">
        <v>28</v>
      </c>
      <c r="B3015" s="2">
        <v>4069</v>
      </c>
      <c r="C3015" t="s">
        <v>61</v>
      </c>
      <c r="D3015" s="47" t="s">
        <v>1134</v>
      </c>
      <c r="E3015" s="2" t="s">
        <v>1125</v>
      </c>
      <c r="F3015" t="s">
        <v>185</v>
      </c>
      <c r="G3015"/>
      <c r="H3015" t="s">
        <v>47</v>
      </c>
      <c r="I3015" t="s">
        <v>30</v>
      </c>
      <c r="J3015" t="s">
        <v>35</v>
      </c>
      <c r="K3015"/>
      <c r="L3015" s="47" t="s">
        <v>180</v>
      </c>
      <c r="M3015" s="47" t="s">
        <v>1135</v>
      </c>
    </row>
    <row r="3016" spans="1:13" ht="15" customHeight="1">
      <c r="A3016" s="47">
        <v>28</v>
      </c>
      <c r="B3016" s="2">
        <v>4070</v>
      </c>
      <c r="C3016" t="s">
        <v>61</v>
      </c>
      <c r="D3016" s="47" t="s">
        <v>1130</v>
      </c>
      <c r="E3016" s="47" t="s">
        <v>1128</v>
      </c>
      <c r="F3016" t="s">
        <v>185</v>
      </c>
      <c r="H3016" t="s">
        <v>47</v>
      </c>
      <c r="I3016" t="s">
        <v>30</v>
      </c>
      <c r="J3016" t="s">
        <v>35</v>
      </c>
      <c r="K3016"/>
      <c r="L3016" s="47" t="s">
        <v>180</v>
      </c>
      <c r="M3016" s="47" t="s">
        <v>197</v>
      </c>
    </row>
    <row r="3017" spans="1:13" ht="15" customHeight="1">
      <c r="A3017" s="47">
        <v>28</v>
      </c>
      <c r="B3017" s="2">
        <v>4071</v>
      </c>
      <c r="C3017" t="s">
        <v>61</v>
      </c>
      <c r="D3017" s="47" t="s">
        <v>1131</v>
      </c>
      <c r="E3017" s="47" t="s">
        <v>1129</v>
      </c>
      <c r="F3017" t="s">
        <v>185</v>
      </c>
      <c r="H3017" t="s">
        <v>47</v>
      </c>
      <c r="I3017" t="s">
        <v>30</v>
      </c>
      <c r="J3017" t="s">
        <v>35</v>
      </c>
      <c r="K3017"/>
      <c r="L3017" s="47" t="s">
        <v>239</v>
      </c>
      <c r="M3017" s="47" t="s">
        <v>1135</v>
      </c>
    </row>
    <row r="3018" spans="1:13" ht="15" customHeight="1">
      <c r="A3018" s="47">
        <v>28</v>
      </c>
      <c r="B3018" s="2">
        <v>4072</v>
      </c>
      <c r="C3018" t="s">
        <v>61</v>
      </c>
      <c r="D3018" s="47" t="s">
        <v>1132</v>
      </c>
      <c r="E3018" s="47" t="s">
        <v>1129</v>
      </c>
      <c r="F3018" t="s">
        <v>185</v>
      </c>
      <c r="H3018" t="s">
        <v>47</v>
      </c>
      <c r="I3018" t="s">
        <v>30</v>
      </c>
      <c r="J3018" t="s">
        <v>35</v>
      </c>
      <c r="K3018"/>
      <c r="L3018" s="47" t="s">
        <v>239</v>
      </c>
      <c r="M3018" s="47" t="s">
        <v>1135</v>
      </c>
    </row>
    <row r="3019" spans="1:13" ht="15" customHeight="1">
      <c r="A3019" s="47">
        <v>28</v>
      </c>
      <c r="B3019" s="2">
        <v>4073</v>
      </c>
      <c r="C3019" t="s">
        <v>61</v>
      </c>
      <c r="D3019" s="2" t="s">
        <v>1127</v>
      </c>
      <c r="E3019" s="47" t="s">
        <v>1126</v>
      </c>
      <c r="F3019" t="s">
        <v>185</v>
      </c>
      <c r="H3019" t="s">
        <v>47</v>
      </c>
      <c r="I3019" t="s">
        <v>30</v>
      </c>
      <c r="J3019" t="s">
        <v>35</v>
      </c>
      <c r="K3019"/>
      <c r="L3019" s="47" t="s">
        <v>314</v>
      </c>
      <c r="M3019" s="47" t="s">
        <v>1136</v>
      </c>
    </row>
    <row r="3020" spans="1:13" ht="15" customHeight="1">
      <c r="A3020" s="47">
        <v>29</v>
      </c>
      <c r="B3020" s="2">
        <v>4074</v>
      </c>
      <c r="C3020" t="s">
        <v>61</v>
      </c>
      <c r="D3020" s="47" t="s">
        <v>1134</v>
      </c>
      <c r="E3020" s="2" t="s">
        <v>1125</v>
      </c>
      <c r="F3020" t="s">
        <v>185</v>
      </c>
      <c r="G3020"/>
      <c r="H3020" t="s">
        <v>47</v>
      </c>
      <c r="I3020" t="s">
        <v>30</v>
      </c>
      <c r="J3020" t="s">
        <v>35</v>
      </c>
      <c r="K3020"/>
      <c r="L3020" s="47" t="s">
        <v>180</v>
      </c>
      <c r="M3020" s="47" t="s">
        <v>1135</v>
      </c>
    </row>
    <row r="3021" spans="1:13" ht="15" customHeight="1">
      <c r="A3021" s="47">
        <v>29</v>
      </c>
      <c r="B3021" s="2">
        <v>4075</v>
      </c>
      <c r="C3021" t="s">
        <v>61</v>
      </c>
      <c r="D3021" s="47" t="s">
        <v>1130</v>
      </c>
      <c r="E3021" s="47" t="s">
        <v>1128</v>
      </c>
      <c r="F3021" t="s">
        <v>185</v>
      </c>
      <c r="H3021" t="s">
        <v>47</v>
      </c>
      <c r="I3021" t="s">
        <v>30</v>
      </c>
      <c r="J3021" t="s">
        <v>35</v>
      </c>
      <c r="K3021"/>
      <c r="L3021" s="47" t="s">
        <v>180</v>
      </c>
      <c r="M3021" s="47" t="s">
        <v>197</v>
      </c>
    </row>
    <row r="3022" spans="1:13" ht="15" customHeight="1">
      <c r="A3022" s="47">
        <v>29</v>
      </c>
      <c r="B3022" s="2">
        <v>4076</v>
      </c>
      <c r="C3022" t="s">
        <v>61</v>
      </c>
      <c r="D3022" s="47" t="s">
        <v>1131</v>
      </c>
      <c r="E3022" s="47" t="s">
        <v>1129</v>
      </c>
      <c r="F3022" t="s">
        <v>185</v>
      </c>
      <c r="H3022" t="s">
        <v>47</v>
      </c>
      <c r="I3022" t="s">
        <v>30</v>
      </c>
      <c r="J3022" t="s">
        <v>35</v>
      </c>
      <c r="K3022"/>
      <c r="L3022" s="47" t="s">
        <v>239</v>
      </c>
      <c r="M3022" s="47" t="s">
        <v>1135</v>
      </c>
    </row>
    <row r="3023" spans="1:13" ht="15" customHeight="1">
      <c r="A3023" s="47">
        <v>29</v>
      </c>
      <c r="B3023" s="2">
        <v>4077</v>
      </c>
      <c r="C3023" t="s">
        <v>61</v>
      </c>
      <c r="D3023" s="47" t="s">
        <v>1132</v>
      </c>
      <c r="E3023" s="47" t="s">
        <v>1129</v>
      </c>
      <c r="F3023" t="s">
        <v>185</v>
      </c>
      <c r="H3023" t="s">
        <v>47</v>
      </c>
      <c r="I3023" t="s">
        <v>30</v>
      </c>
      <c r="J3023" t="s">
        <v>35</v>
      </c>
      <c r="K3023"/>
      <c r="L3023" s="47" t="s">
        <v>239</v>
      </c>
      <c r="M3023" s="47" t="s">
        <v>1135</v>
      </c>
    </row>
    <row r="3024" spans="1:13" ht="15" customHeight="1">
      <c r="A3024" s="47">
        <v>29</v>
      </c>
      <c r="B3024" s="2">
        <v>4078</v>
      </c>
      <c r="C3024" t="s">
        <v>61</v>
      </c>
      <c r="D3024" s="2" t="s">
        <v>1127</v>
      </c>
      <c r="E3024" s="47" t="s">
        <v>1126</v>
      </c>
      <c r="F3024" t="s">
        <v>185</v>
      </c>
      <c r="H3024" t="s">
        <v>47</v>
      </c>
      <c r="I3024" t="s">
        <v>30</v>
      </c>
      <c r="J3024" t="s">
        <v>35</v>
      </c>
      <c r="K3024"/>
      <c r="L3024" s="47" t="s">
        <v>314</v>
      </c>
      <c r="M3024" s="47" t="s">
        <v>1136</v>
      </c>
    </row>
    <row r="3025" spans="1:13" ht="15" customHeight="1">
      <c r="A3025" s="47">
        <v>30</v>
      </c>
      <c r="B3025" s="2">
        <v>4079</v>
      </c>
      <c r="C3025" t="s">
        <v>61</v>
      </c>
      <c r="D3025" s="47" t="s">
        <v>1134</v>
      </c>
      <c r="E3025" s="2" t="s">
        <v>1125</v>
      </c>
      <c r="F3025" t="s">
        <v>185</v>
      </c>
      <c r="G3025"/>
      <c r="H3025" t="s">
        <v>47</v>
      </c>
      <c r="I3025" t="s">
        <v>30</v>
      </c>
      <c r="J3025" t="s">
        <v>35</v>
      </c>
      <c r="K3025"/>
      <c r="L3025" s="47" t="s">
        <v>180</v>
      </c>
      <c r="M3025" s="47" t="s">
        <v>1135</v>
      </c>
    </row>
    <row r="3026" spans="1:13" ht="15" customHeight="1">
      <c r="A3026" s="47">
        <v>30</v>
      </c>
      <c r="B3026" s="2">
        <v>4080</v>
      </c>
      <c r="C3026" t="s">
        <v>61</v>
      </c>
      <c r="D3026" s="47" t="s">
        <v>1130</v>
      </c>
      <c r="E3026" s="47" t="s">
        <v>1128</v>
      </c>
      <c r="F3026" t="s">
        <v>185</v>
      </c>
      <c r="H3026" t="s">
        <v>47</v>
      </c>
      <c r="I3026" t="s">
        <v>30</v>
      </c>
      <c r="J3026" t="s">
        <v>35</v>
      </c>
      <c r="K3026"/>
      <c r="L3026" s="47" t="s">
        <v>180</v>
      </c>
      <c r="M3026" s="47" t="s">
        <v>197</v>
      </c>
    </row>
    <row r="3027" spans="1:13" ht="15" customHeight="1">
      <c r="A3027" s="47">
        <v>30</v>
      </c>
      <c r="B3027" s="2">
        <v>4081</v>
      </c>
      <c r="C3027" t="s">
        <v>61</v>
      </c>
      <c r="D3027" s="47" t="s">
        <v>1131</v>
      </c>
      <c r="E3027" s="47" t="s">
        <v>1129</v>
      </c>
      <c r="F3027" t="s">
        <v>185</v>
      </c>
      <c r="H3027" t="s">
        <v>47</v>
      </c>
      <c r="I3027" t="s">
        <v>30</v>
      </c>
      <c r="J3027" t="s">
        <v>35</v>
      </c>
      <c r="K3027"/>
      <c r="L3027" s="47" t="s">
        <v>239</v>
      </c>
      <c r="M3027" s="47" t="s">
        <v>1135</v>
      </c>
    </row>
    <row r="3028" spans="1:13" ht="15" customHeight="1">
      <c r="A3028" s="47">
        <v>30</v>
      </c>
      <c r="B3028" s="2">
        <v>4082</v>
      </c>
      <c r="C3028" t="s">
        <v>61</v>
      </c>
      <c r="D3028" s="47" t="s">
        <v>1132</v>
      </c>
      <c r="E3028" s="47" t="s">
        <v>1129</v>
      </c>
      <c r="F3028" t="s">
        <v>185</v>
      </c>
      <c r="H3028" t="s">
        <v>47</v>
      </c>
      <c r="I3028" t="s">
        <v>30</v>
      </c>
      <c r="J3028" t="s">
        <v>35</v>
      </c>
      <c r="K3028"/>
      <c r="L3028" s="47" t="s">
        <v>239</v>
      </c>
      <c r="M3028" s="47" t="s">
        <v>1135</v>
      </c>
    </row>
    <row r="3029" spans="1:13" ht="15" customHeight="1">
      <c r="A3029" s="47">
        <v>30</v>
      </c>
      <c r="B3029" s="2">
        <v>4083</v>
      </c>
      <c r="C3029" t="s">
        <v>61</v>
      </c>
      <c r="D3029" s="2" t="s">
        <v>1127</v>
      </c>
      <c r="E3029" s="47" t="s">
        <v>1126</v>
      </c>
      <c r="F3029" t="s">
        <v>185</v>
      </c>
      <c r="H3029" t="s">
        <v>47</v>
      </c>
      <c r="I3029" t="s">
        <v>30</v>
      </c>
      <c r="J3029" t="s">
        <v>35</v>
      </c>
      <c r="K3029"/>
      <c r="L3029" s="47" t="s">
        <v>314</v>
      </c>
      <c r="M3029" s="47" t="s">
        <v>1136</v>
      </c>
    </row>
    <row r="3030" spans="1:13" ht="15" customHeight="1">
      <c r="A3030" s="47">
        <v>31</v>
      </c>
      <c r="B3030" s="2">
        <v>4084</v>
      </c>
      <c r="C3030" t="s">
        <v>61</v>
      </c>
      <c r="D3030" s="47" t="s">
        <v>1134</v>
      </c>
      <c r="E3030" s="2" t="s">
        <v>1125</v>
      </c>
      <c r="F3030" t="s">
        <v>185</v>
      </c>
      <c r="G3030"/>
      <c r="H3030" t="s">
        <v>47</v>
      </c>
      <c r="I3030" t="s">
        <v>30</v>
      </c>
      <c r="J3030" t="s">
        <v>35</v>
      </c>
      <c r="K3030"/>
      <c r="L3030" s="47" t="s">
        <v>180</v>
      </c>
      <c r="M3030" s="47" t="s">
        <v>1135</v>
      </c>
    </row>
    <row r="3031" spans="1:13" ht="15" customHeight="1">
      <c r="A3031" s="47">
        <v>31</v>
      </c>
      <c r="B3031" s="2">
        <v>4085</v>
      </c>
      <c r="C3031" t="s">
        <v>61</v>
      </c>
      <c r="D3031" s="47" t="s">
        <v>1130</v>
      </c>
      <c r="E3031" s="47" t="s">
        <v>1128</v>
      </c>
      <c r="F3031" t="s">
        <v>185</v>
      </c>
      <c r="H3031" t="s">
        <v>47</v>
      </c>
      <c r="I3031" t="s">
        <v>30</v>
      </c>
      <c r="J3031" t="s">
        <v>35</v>
      </c>
      <c r="K3031"/>
      <c r="L3031" s="47" t="s">
        <v>180</v>
      </c>
      <c r="M3031" s="47" t="s">
        <v>197</v>
      </c>
    </row>
    <row r="3032" spans="1:13" ht="15" customHeight="1">
      <c r="A3032" s="47">
        <v>31</v>
      </c>
      <c r="B3032" s="2">
        <v>4086</v>
      </c>
      <c r="C3032" t="s">
        <v>61</v>
      </c>
      <c r="D3032" s="47" t="s">
        <v>1131</v>
      </c>
      <c r="E3032" s="47" t="s">
        <v>1129</v>
      </c>
      <c r="F3032" t="s">
        <v>185</v>
      </c>
      <c r="H3032" t="s">
        <v>47</v>
      </c>
      <c r="I3032" t="s">
        <v>30</v>
      </c>
      <c r="J3032" t="s">
        <v>35</v>
      </c>
      <c r="K3032"/>
      <c r="L3032" s="47" t="s">
        <v>239</v>
      </c>
      <c r="M3032" s="47" t="s">
        <v>1135</v>
      </c>
    </row>
    <row r="3033" spans="1:13" ht="15" customHeight="1">
      <c r="A3033" s="47">
        <v>31</v>
      </c>
      <c r="B3033" s="2">
        <v>4087</v>
      </c>
      <c r="C3033" t="s">
        <v>61</v>
      </c>
      <c r="D3033" s="47" t="s">
        <v>1132</v>
      </c>
      <c r="E3033" s="47" t="s">
        <v>1129</v>
      </c>
      <c r="F3033" t="s">
        <v>185</v>
      </c>
      <c r="H3033" t="s">
        <v>47</v>
      </c>
      <c r="I3033" t="s">
        <v>30</v>
      </c>
      <c r="J3033" t="s">
        <v>35</v>
      </c>
      <c r="K3033"/>
      <c r="L3033" s="47" t="s">
        <v>239</v>
      </c>
      <c r="M3033" s="47" t="s">
        <v>1135</v>
      </c>
    </row>
    <row r="3034" spans="1:13" ht="15" customHeight="1">
      <c r="A3034" s="47">
        <v>31</v>
      </c>
      <c r="B3034" s="2">
        <v>4088</v>
      </c>
      <c r="C3034" t="s">
        <v>61</v>
      </c>
      <c r="D3034" s="2" t="s">
        <v>1127</v>
      </c>
      <c r="E3034" s="47" t="s">
        <v>1126</v>
      </c>
      <c r="F3034" t="s">
        <v>185</v>
      </c>
      <c r="H3034" t="s">
        <v>47</v>
      </c>
      <c r="I3034" t="s">
        <v>30</v>
      </c>
      <c r="J3034" t="s">
        <v>35</v>
      </c>
      <c r="K3034"/>
      <c r="L3034" s="47" t="s">
        <v>314</v>
      </c>
      <c r="M3034" s="47" t="s">
        <v>1136</v>
      </c>
    </row>
    <row r="3035" spans="1:13" ht="15" customHeight="1">
      <c r="A3035" s="47">
        <v>32</v>
      </c>
      <c r="B3035" s="2">
        <v>4089</v>
      </c>
      <c r="C3035" t="s">
        <v>61</v>
      </c>
      <c r="D3035" s="47" t="s">
        <v>1134</v>
      </c>
      <c r="E3035" s="2" t="s">
        <v>1125</v>
      </c>
      <c r="F3035" t="s">
        <v>185</v>
      </c>
      <c r="G3035"/>
      <c r="H3035" t="s">
        <v>47</v>
      </c>
      <c r="I3035" t="s">
        <v>30</v>
      </c>
      <c r="J3035" t="s">
        <v>35</v>
      </c>
      <c r="K3035"/>
      <c r="L3035" s="47" t="s">
        <v>180</v>
      </c>
      <c r="M3035" s="47" t="s">
        <v>1135</v>
      </c>
    </row>
    <row r="3036" spans="1:13" ht="15" customHeight="1">
      <c r="A3036" s="47">
        <v>32</v>
      </c>
      <c r="B3036" s="2">
        <v>4090</v>
      </c>
      <c r="C3036" t="s">
        <v>61</v>
      </c>
      <c r="D3036" s="47" t="s">
        <v>1130</v>
      </c>
      <c r="E3036" s="47" t="s">
        <v>1128</v>
      </c>
      <c r="F3036" t="s">
        <v>185</v>
      </c>
      <c r="H3036" t="s">
        <v>47</v>
      </c>
      <c r="I3036" t="s">
        <v>30</v>
      </c>
      <c r="J3036" t="s">
        <v>35</v>
      </c>
      <c r="K3036"/>
      <c r="L3036" s="47" t="s">
        <v>180</v>
      </c>
      <c r="M3036" s="47" t="s">
        <v>197</v>
      </c>
    </row>
    <row r="3037" spans="1:13" ht="15" customHeight="1">
      <c r="A3037" s="47">
        <v>32</v>
      </c>
      <c r="B3037" s="2">
        <v>4091</v>
      </c>
      <c r="C3037" t="s">
        <v>61</v>
      </c>
      <c r="D3037" s="47" t="s">
        <v>1131</v>
      </c>
      <c r="E3037" s="47" t="s">
        <v>1129</v>
      </c>
      <c r="F3037" t="s">
        <v>185</v>
      </c>
      <c r="H3037" t="s">
        <v>47</v>
      </c>
      <c r="I3037" t="s">
        <v>30</v>
      </c>
      <c r="J3037" t="s">
        <v>35</v>
      </c>
      <c r="K3037"/>
      <c r="L3037" s="47" t="s">
        <v>239</v>
      </c>
      <c r="M3037" s="47" t="s">
        <v>1135</v>
      </c>
    </row>
    <row r="3038" spans="1:13" ht="15" customHeight="1">
      <c r="A3038" s="47">
        <v>32</v>
      </c>
      <c r="B3038" s="2">
        <v>4092</v>
      </c>
      <c r="C3038" t="s">
        <v>61</v>
      </c>
      <c r="D3038" s="47" t="s">
        <v>1132</v>
      </c>
      <c r="E3038" s="47" t="s">
        <v>1129</v>
      </c>
      <c r="F3038" t="s">
        <v>185</v>
      </c>
      <c r="H3038" t="s">
        <v>47</v>
      </c>
      <c r="I3038" t="s">
        <v>30</v>
      </c>
      <c r="J3038" t="s">
        <v>35</v>
      </c>
      <c r="K3038"/>
      <c r="L3038" s="47" t="s">
        <v>239</v>
      </c>
      <c r="M3038" s="47" t="s">
        <v>1135</v>
      </c>
    </row>
    <row r="3039" spans="1:13" ht="15" customHeight="1">
      <c r="A3039" s="47">
        <v>32</v>
      </c>
      <c r="B3039" s="2">
        <v>4093</v>
      </c>
      <c r="C3039" t="s">
        <v>61</v>
      </c>
      <c r="D3039" s="2" t="s">
        <v>1127</v>
      </c>
      <c r="E3039" s="47" t="s">
        <v>1126</v>
      </c>
      <c r="F3039" t="s">
        <v>185</v>
      </c>
      <c r="H3039" t="s">
        <v>47</v>
      </c>
      <c r="I3039" t="s">
        <v>30</v>
      </c>
      <c r="J3039" t="s">
        <v>35</v>
      </c>
      <c r="K3039"/>
      <c r="L3039" s="47" t="s">
        <v>314</v>
      </c>
      <c r="M3039" s="47" t="s">
        <v>1136</v>
      </c>
    </row>
    <row r="3040" spans="1:13" ht="15" customHeight="1">
      <c r="A3040" s="47">
        <v>33</v>
      </c>
      <c r="B3040" s="2">
        <v>4094</v>
      </c>
      <c r="C3040" t="s">
        <v>61</v>
      </c>
      <c r="D3040" s="47" t="s">
        <v>1134</v>
      </c>
      <c r="E3040" s="2" t="s">
        <v>1125</v>
      </c>
      <c r="F3040" t="s">
        <v>185</v>
      </c>
      <c r="G3040"/>
      <c r="H3040" t="s">
        <v>47</v>
      </c>
      <c r="I3040" t="s">
        <v>30</v>
      </c>
      <c r="J3040" t="s">
        <v>35</v>
      </c>
      <c r="K3040"/>
      <c r="L3040" s="47" t="s">
        <v>180</v>
      </c>
      <c r="M3040" s="47" t="s">
        <v>1135</v>
      </c>
    </row>
    <row r="3041" spans="1:13" ht="15" customHeight="1">
      <c r="A3041" s="47">
        <v>33</v>
      </c>
      <c r="B3041" s="2">
        <v>4095</v>
      </c>
      <c r="C3041" t="s">
        <v>61</v>
      </c>
      <c r="D3041" s="47" t="s">
        <v>1130</v>
      </c>
      <c r="E3041" s="47" t="s">
        <v>1128</v>
      </c>
      <c r="F3041" t="s">
        <v>185</v>
      </c>
      <c r="H3041" t="s">
        <v>47</v>
      </c>
      <c r="I3041" t="s">
        <v>30</v>
      </c>
      <c r="J3041" t="s">
        <v>35</v>
      </c>
      <c r="K3041"/>
      <c r="L3041" s="47" t="s">
        <v>180</v>
      </c>
      <c r="M3041" s="47" t="s">
        <v>197</v>
      </c>
    </row>
    <row r="3042" spans="1:13" ht="15" customHeight="1">
      <c r="A3042" s="47">
        <v>33</v>
      </c>
      <c r="B3042" s="2">
        <v>4096</v>
      </c>
      <c r="C3042" t="s">
        <v>61</v>
      </c>
      <c r="D3042" s="47" t="s">
        <v>1131</v>
      </c>
      <c r="E3042" s="47" t="s">
        <v>1129</v>
      </c>
      <c r="F3042" t="s">
        <v>185</v>
      </c>
      <c r="H3042" t="s">
        <v>47</v>
      </c>
      <c r="I3042" t="s">
        <v>30</v>
      </c>
      <c r="J3042" t="s">
        <v>35</v>
      </c>
      <c r="K3042"/>
      <c r="L3042" s="47" t="s">
        <v>239</v>
      </c>
      <c r="M3042" s="47" t="s">
        <v>1135</v>
      </c>
    </row>
    <row r="3043" spans="1:13" ht="15" customHeight="1">
      <c r="A3043" s="47">
        <v>33</v>
      </c>
      <c r="B3043" s="2">
        <v>4097</v>
      </c>
      <c r="C3043" t="s">
        <v>61</v>
      </c>
      <c r="D3043" s="47" t="s">
        <v>1132</v>
      </c>
      <c r="E3043" s="47" t="s">
        <v>1129</v>
      </c>
      <c r="F3043" t="s">
        <v>185</v>
      </c>
      <c r="H3043" t="s">
        <v>47</v>
      </c>
      <c r="I3043" t="s">
        <v>30</v>
      </c>
      <c r="J3043" t="s">
        <v>35</v>
      </c>
      <c r="K3043"/>
      <c r="L3043" s="47" t="s">
        <v>239</v>
      </c>
      <c r="M3043" s="47" t="s">
        <v>1135</v>
      </c>
    </row>
    <row r="3044" spans="1:13" ht="15" customHeight="1">
      <c r="A3044" s="47">
        <v>33</v>
      </c>
      <c r="B3044" s="2">
        <v>4098</v>
      </c>
      <c r="C3044" t="s">
        <v>61</v>
      </c>
      <c r="D3044" s="2" t="s">
        <v>1127</v>
      </c>
      <c r="E3044" s="47" t="s">
        <v>1126</v>
      </c>
      <c r="F3044" t="s">
        <v>185</v>
      </c>
      <c r="H3044" t="s">
        <v>47</v>
      </c>
      <c r="I3044" t="s">
        <v>30</v>
      </c>
      <c r="J3044" t="s">
        <v>35</v>
      </c>
      <c r="K3044"/>
      <c r="L3044" s="47" t="s">
        <v>314</v>
      </c>
      <c r="M3044" s="47" t="s">
        <v>1136</v>
      </c>
    </row>
    <row r="3045" spans="1:13" ht="15" customHeight="1">
      <c r="A3045" s="47">
        <v>34</v>
      </c>
      <c r="B3045" s="2">
        <v>4099</v>
      </c>
      <c r="C3045" t="s">
        <v>61</v>
      </c>
      <c r="D3045" s="47" t="s">
        <v>1134</v>
      </c>
      <c r="E3045" s="2" t="s">
        <v>1125</v>
      </c>
      <c r="F3045" t="s">
        <v>185</v>
      </c>
      <c r="G3045"/>
      <c r="H3045" t="s">
        <v>47</v>
      </c>
      <c r="I3045" t="s">
        <v>30</v>
      </c>
      <c r="J3045" t="s">
        <v>35</v>
      </c>
      <c r="K3045"/>
      <c r="L3045" s="47" t="s">
        <v>180</v>
      </c>
      <c r="M3045" s="47" t="s">
        <v>1135</v>
      </c>
    </row>
    <row r="3046" spans="1:13" ht="15" customHeight="1">
      <c r="A3046" s="47">
        <v>34</v>
      </c>
      <c r="B3046" s="2">
        <v>4100</v>
      </c>
      <c r="C3046" t="s">
        <v>61</v>
      </c>
      <c r="D3046" s="47" t="s">
        <v>1130</v>
      </c>
      <c r="E3046" s="47" t="s">
        <v>1128</v>
      </c>
      <c r="F3046" t="s">
        <v>185</v>
      </c>
      <c r="H3046" t="s">
        <v>47</v>
      </c>
      <c r="I3046" t="s">
        <v>30</v>
      </c>
      <c r="J3046" t="s">
        <v>35</v>
      </c>
      <c r="K3046"/>
      <c r="L3046" s="47" t="s">
        <v>180</v>
      </c>
      <c r="M3046" s="47" t="s">
        <v>197</v>
      </c>
    </row>
    <row r="3047" spans="1:13" ht="15" customHeight="1">
      <c r="A3047" s="47">
        <v>34</v>
      </c>
      <c r="B3047" s="2">
        <v>4101</v>
      </c>
      <c r="C3047" t="s">
        <v>61</v>
      </c>
      <c r="D3047" s="47" t="s">
        <v>1131</v>
      </c>
      <c r="E3047" s="47" t="s">
        <v>1129</v>
      </c>
      <c r="F3047" t="s">
        <v>185</v>
      </c>
      <c r="H3047" t="s">
        <v>47</v>
      </c>
      <c r="I3047" t="s">
        <v>30</v>
      </c>
      <c r="J3047" t="s">
        <v>35</v>
      </c>
      <c r="K3047"/>
      <c r="L3047" s="47" t="s">
        <v>239</v>
      </c>
      <c r="M3047" s="47" t="s">
        <v>1135</v>
      </c>
    </row>
    <row r="3048" spans="1:13" ht="15" customHeight="1">
      <c r="A3048" s="47">
        <v>34</v>
      </c>
      <c r="B3048" s="2">
        <v>4102</v>
      </c>
      <c r="C3048" t="s">
        <v>61</v>
      </c>
      <c r="D3048" s="47" t="s">
        <v>1132</v>
      </c>
      <c r="E3048" s="47" t="s">
        <v>1129</v>
      </c>
      <c r="F3048" t="s">
        <v>185</v>
      </c>
      <c r="H3048" t="s">
        <v>47</v>
      </c>
      <c r="I3048" t="s">
        <v>30</v>
      </c>
      <c r="J3048" t="s">
        <v>35</v>
      </c>
      <c r="K3048"/>
      <c r="L3048" s="47" t="s">
        <v>239</v>
      </c>
      <c r="M3048" s="47" t="s">
        <v>1135</v>
      </c>
    </row>
    <row r="3049" spans="1:13" ht="15" customHeight="1">
      <c r="A3049" s="47">
        <v>34</v>
      </c>
      <c r="B3049" s="2">
        <v>4103</v>
      </c>
      <c r="C3049" t="s">
        <v>61</v>
      </c>
      <c r="D3049" s="2" t="s">
        <v>1127</v>
      </c>
      <c r="E3049" s="47" t="s">
        <v>1126</v>
      </c>
      <c r="F3049" t="s">
        <v>185</v>
      </c>
      <c r="H3049" t="s">
        <v>47</v>
      </c>
      <c r="I3049" t="s">
        <v>30</v>
      </c>
      <c r="J3049" t="s">
        <v>35</v>
      </c>
      <c r="K3049"/>
      <c r="L3049" s="47" t="s">
        <v>314</v>
      </c>
      <c r="M3049" s="47" t="s">
        <v>1136</v>
      </c>
    </row>
    <row r="3050" spans="1:13" ht="15" customHeight="1">
      <c r="A3050" s="47">
        <v>35</v>
      </c>
      <c r="B3050" s="2">
        <v>4104</v>
      </c>
      <c r="C3050" t="s">
        <v>61</v>
      </c>
      <c r="D3050" s="47" t="s">
        <v>1134</v>
      </c>
      <c r="E3050" s="2" t="s">
        <v>1125</v>
      </c>
      <c r="F3050" t="s">
        <v>185</v>
      </c>
      <c r="G3050"/>
      <c r="H3050" t="s">
        <v>47</v>
      </c>
      <c r="I3050" t="s">
        <v>30</v>
      </c>
      <c r="J3050" t="s">
        <v>35</v>
      </c>
      <c r="K3050"/>
      <c r="L3050" s="47" t="s">
        <v>180</v>
      </c>
      <c r="M3050" s="47" t="s">
        <v>1135</v>
      </c>
    </row>
    <row r="3051" spans="1:13" ht="15" customHeight="1">
      <c r="A3051" s="47">
        <v>35</v>
      </c>
      <c r="B3051" s="2">
        <v>4105</v>
      </c>
      <c r="C3051" t="s">
        <v>61</v>
      </c>
      <c r="D3051" s="47" t="s">
        <v>1130</v>
      </c>
      <c r="E3051" s="47" t="s">
        <v>1128</v>
      </c>
      <c r="F3051" t="s">
        <v>185</v>
      </c>
      <c r="H3051" t="s">
        <v>47</v>
      </c>
      <c r="I3051" t="s">
        <v>30</v>
      </c>
      <c r="J3051" t="s">
        <v>35</v>
      </c>
      <c r="K3051"/>
      <c r="L3051" s="47" t="s">
        <v>180</v>
      </c>
      <c r="M3051" s="47" t="s">
        <v>197</v>
      </c>
    </row>
    <row r="3052" spans="1:13" ht="15" customHeight="1">
      <c r="A3052" s="47">
        <v>35</v>
      </c>
      <c r="B3052" s="2">
        <v>4106</v>
      </c>
      <c r="C3052" t="s">
        <v>61</v>
      </c>
      <c r="D3052" s="47" t="s">
        <v>1131</v>
      </c>
      <c r="E3052" s="47" t="s">
        <v>1129</v>
      </c>
      <c r="F3052" t="s">
        <v>185</v>
      </c>
      <c r="H3052" t="s">
        <v>47</v>
      </c>
      <c r="I3052" t="s">
        <v>30</v>
      </c>
      <c r="J3052" t="s">
        <v>35</v>
      </c>
      <c r="K3052"/>
      <c r="L3052" s="47" t="s">
        <v>239</v>
      </c>
      <c r="M3052" s="47" t="s">
        <v>1135</v>
      </c>
    </row>
    <row r="3053" spans="1:13" ht="15" customHeight="1">
      <c r="A3053" s="47">
        <v>35</v>
      </c>
      <c r="B3053" s="2">
        <v>4107</v>
      </c>
      <c r="C3053" t="s">
        <v>61</v>
      </c>
      <c r="D3053" s="47" t="s">
        <v>1132</v>
      </c>
      <c r="E3053" s="47" t="s">
        <v>1129</v>
      </c>
      <c r="F3053" t="s">
        <v>185</v>
      </c>
      <c r="H3053" t="s">
        <v>47</v>
      </c>
      <c r="I3053" t="s">
        <v>30</v>
      </c>
      <c r="J3053" t="s">
        <v>35</v>
      </c>
      <c r="K3053"/>
      <c r="L3053" s="47" t="s">
        <v>239</v>
      </c>
      <c r="M3053" s="47" t="s">
        <v>1135</v>
      </c>
    </row>
    <row r="3054" spans="1:13" ht="15" customHeight="1">
      <c r="A3054" s="47">
        <v>35</v>
      </c>
      <c r="B3054" s="2">
        <v>4108</v>
      </c>
      <c r="C3054" t="s">
        <v>61</v>
      </c>
      <c r="D3054" s="2" t="s">
        <v>1127</v>
      </c>
      <c r="E3054" s="47" t="s">
        <v>1126</v>
      </c>
      <c r="F3054" t="s">
        <v>185</v>
      </c>
      <c r="H3054" t="s">
        <v>47</v>
      </c>
      <c r="I3054" t="s">
        <v>30</v>
      </c>
      <c r="J3054" t="s">
        <v>35</v>
      </c>
      <c r="K3054"/>
      <c r="L3054" s="47" t="s">
        <v>314</v>
      </c>
      <c r="M3054" s="47" t="s">
        <v>1136</v>
      </c>
    </row>
    <row r="3055" spans="1:13" ht="15" customHeight="1">
      <c r="A3055" s="47">
        <v>36</v>
      </c>
      <c r="B3055" s="2">
        <v>4109</v>
      </c>
      <c r="C3055" t="s">
        <v>61</v>
      </c>
      <c r="D3055" s="47" t="s">
        <v>1134</v>
      </c>
      <c r="E3055" s="2" t="s">
        <v>1125</v>
      </c>
      <c r="F3055" t="s">
        <v>185</v>
      </c>
      <c r="G3055"/>
      <c r="H3055" t="s">
        <v>47</v>
      </c>
      <c r="I3055" t="s">
        <v>30</v>
      </c>
      <c r="J3055" t="s">
        <v>35</v>
      </c>
      <c r="K3055"/>
      <c r="L3055" s="47" t="s">
        <v>180</v>
      </c>
      <c r="M3055" s="47" t="s">
        <v>1135</v>
      </c>
    </row>
    <row r="3056" spans="1:13" ht="15" customHeight="1">
      <c r="A3056" s="47">
        <v>36</v>
      </c>
      <c r="B3056" s="2">
        <v>4110</v>
      </c>
      <c r="C3056" t="s">
        <v>61</v>
      </c>
      <c r="D3056" s="47" t="s">
        <v>1130</v>
      </c>
      <c r="E3056" s="47" t="s">
        <v>1128</v>
      </c>
      <c r="F3056" t="s">
        <v>185</v>
      </c>
      <c r="H3056" t="s">
        <v>47</v>
      </c>
      <c r="I3056" t="s">
        <v>30</v>
      </c>
      <c r="J3056" t="s">
        <v>35</v>
      </c>
      <c r="K3056"/>
      <c r="L3056" s="47" t="s">
        <v>180</v>
      </c>
      <c r="M3056" s="47" t="s">
        <v>197</v>
      </c>
    </row>
    <row r="3057" spans="1:13" ht="15" customHeight="1">
      <c r="A3057" s="47">
        <v>36</v>
      </c>
      <c r="B3057" s="2">
        <v>4111</v>
      </c>
      <c r="C3057" t="s">
        <v>61</v>
      </c>
      <c r="D3057" s="47" t="s">
        <v>1131</v>
      </c>
      <c r="E3057" s="47" t="s">
        <v>1129</v>
      </c>
      <c r="F3057" t="s">
        <v>185</v>
      </c>
      <c r="H3057" t="s">
        <v>47</v>
      </c>
      <c r="I3057" t="s">
        <v>30</v>
      </c>
      <c r="J3057" t="s">
        <v>35</v>
      </c>
      <c r="K3057"/>
      <c r="L3057" s="47" t="s">
        <v>239</v>
      </c>
      <c r="M3057" s="47" t="s">
        <v>1135</v>
      </c>
    </row>
    <row r="3058" spans="1:13" ht="15" customHeight="1">
      <c r="A3058" s="47">
        <v>36</v>
      </c>
      <c r="B3058" s="2">
        <v>4112</v>
      </c>
      <c r="C3058" t="s">
        <v>61</v>
      </c>
      <c r="D3058" s="47" t="s">
        <v>1132</v>
      </c>
      <c r="E3058" s="47" t="s">
        <v>1129</v>
      </c>
      <c r="F3058" t="s">
        <v>185</v>
      </c>
      <c r="H3058" t="s">
        <v>47</v>
      </c>
      <c r="I3058" t="s">
        <v>30</v>
      </c>
      <c r="J3058" t="s">
        <v>35</v>
      </c>
      <c r="K3058"/>
      <c r="L3058" s="47" t="s">
        <v>239</v>
      </c>
      <c r="M3058" s="47" t="s">
        <v>1135</v>
      </c>
    </row>
    <row r="3059" spans="1:13" ht="15" customHeight="1">
      <c r="A3059" s="47">
        <v>36</v>
      </c>
      <c r="B3059" s="2">
        <v>4113</v>
      </c>
      <c r="C3059" t="s">
        <v>61</v>
      </c>
      <c r="D3059" s="2" t="s">
        <v>1127</v>
      </c>
      <c r="E3059" s="47" t="s">
        <v>1126</v>
      </c>
      <c r="F3059" t="s">
        <v>185</v>
      </c>
      <c r="H3059" t="s">
        <v>47</v>
      </c>
      <c r="I3059" t="s">
        <v>30</v>
      </c>
      <c r="J3059" t="s">
        <v>35</v>
      </c>
      <c r="K3059"/>
      <c r="L3059" s="47" t="s">
        <v>314</v>
      </c>
      <c r="M3059" s="47" t="s">
        <v>1136</v>
      </c>
    </row>
    <row r="3060" spans="1:13" ht="15" customHeight="1">
      <c r="A3060" s="47">
        <v>37</v>
      </c>
      <c r="B3060" s="2">
        <v>4114</v>
      </c>
      <c r="C3060" t="s">
        <v>61</v>
      </c>
      <c r="D3060" s="47" t="s">
        <v>1134</v>
      </c>
      <c r="E3060" s="2" t="s">
        <v>1125</v>
      </c>
      <c r="F3060" t="s">
        <v>185</v>
      </c>
      <c r="G3060"/>
      <c r="H3060" t="s">
        <v>47</v>
      </c>
      <c r="I3060" t="s">
        <v>30</v>
      </c>
      <c r="J3060" t="s">
        <v>35</v>
      </c>
      <c r="K3060"/>
      <c r="L3060" s="47" t="s">
        <v>180</v>
      </c>
      <c r="M3060" s="47" t="s">
        <v>1135</v>
      </c>
    </row>
    <row r="3061" spans="1:13" ht="15" customHeight="1">
      <c r="A3061" s="47">
        <v>37</v>
      </c>
      <c r="B3061" s="2">
        <v>4115</v>
      </c>
      <c r="C3061" t="s">
        <v>61</v>
      </c>
      <c r="D3061" s="47" t="s">
        <v>1130</v>
      </c>
      <c r="E3061" s="47" t="s">
        <v>1128</v>
      </c>
      <c r="F3061" t="s">
        <v>185</v>
      </c>
      <c r="H3061" t="s">
        <v>47</v>
      </c>
      <c r="I3061" t="s">
        <v>30</v>
      </c>
      <c r="J3061" t="s">
        <v>35</v>
      </c>
      <c r="K3061"/>
      <c r="L3061" s="47" t="s">
        <v>180</v>
      </c>
      <c r="M3061" s="47" t="s">
        <v>197</v>
      </c>
    </row>
    <row r="3062" spans="1:13" ht="15" customHeight="1">
      <c r="A3062" s="47">
        <v>37</v>
      </c>
      <c r="B3062" s="2">
        <v>4116</v>
      </c>
      <c r="C3062" t="s">
        <v>61</v>
      </c>
      <c r="D3062" s="47" t="s">
        <v>1131</v>
      </c>
      <c r="E3062" s="47" t="s">
        <v>1129</v>
      </c>
      <c r="F3062" t="s">
        <v>185</v>
      </c>
      <c r="H3062" t="s">
        <v>47</v>
      </c>
      <c r="I3062" t="s">
        <v>30</v>
      </c>
      <c r="J3062" t="s">
        <v>35</v>
      </c>
      <c r="K3062"/>
      <c r="L3062" s="47" t="s">
        <v>239</v>
      </c>
      <c r="M3062" s="47" t="s">
        <v>1135</v>
      </c>
    </row>
    <row r="3063" spans="1:13" ht="15" customHeight="1">
      <c r="A3063" s="47">
        <v>37</v>
      </c>
      <c r="B3063" s="2">
        <v>4117</v>
      </c>
      <c r="C3063" t="s">
        <v>61</v>
      </c>
      <c r="D3063" s="47" t="s">
        <v>1132</v>
      </c>
      <c r="E3063" s="47" t="s">
        <v>1129</v>
      </c>
      <c r="F3063" t="s">
        <v>185</v>
      </c>
      <c r="H3063" t="s">
        <v>47</v>
      </c>
      <c r="I3063" t="s">
        <v>30</v>
      </c>
      <c r="J3063" t="s">
        <v>35</v>
      </c>
      <c r="K3063"/>
      <c r="L3063" s="47" t="s">
        <v>239</v>
      </c>
      <c r="M3063" s="47" t="s">
        <v>1135</v>
      </c>
    </row>
    <row r="3064" spans="1:13" ht="15" customHeight="1">
      <c r="A3064" s="47">
        <v>37</v>
      </c>
      <c r="B3064" s="2">
        <v>4118</v>
      </c>
      <c r="C3064" t="s">
        <v>61</v>
      </c>
      <c r="D3064" s="2" t="s">
        <v>1127</v>
      </c>
      <c r="E3064" s="47" t="s">
        <v>1126</v>
      </c>
      <c r="F3064" t="s">
        <v>185</v>
      </c>
      <c r="H3064" t="s">
        <v>47</v>
      </c>
      <c r="I3064" t="s">
        <v>30</v>
      </c>
      <c r="J3064" t="s">
        <v>35</v>
      </c>
      <c r="K3064"/>
      <c r="L3064" s="47" t="s">
        <v>314</v>
      </c>
      <c r="M3064" s="47" t="s">
        <v>1136</v>
      </c>
    </row>
    <row r="3065" spans="1:13" ht="15" customHeight="1">
      <c r="A3065" s="47">
        <v>38</v>
      </c>
      <c r="B3065" s="2">
        <v>4119</v>
      </c>
      <c r="C3065" t="s">
        <v>61</v>
      </c>
      <c r="D3065" s="47" t="s">
        <v>1134</v>
      </c>
      <c r="E3065" s="2" t="s">
        <v>1125</v>
      </c>
      <c r="F3065" t="s">
        <v>185</v>
      </c>
      <c r="G3065"/>
      <c r="H3065" t="s">
        <v>47</v>
      </c>
      <c r="I3065" t="s">
        <v>30</v>
      </c>
      <c r="J3065" t="s">
        <v>35</v>
      </c>
      <c r="K3065"/>
      <c r="L3065" s="47" t="s">
        <v>180</v>
      </c>
      <c r="M3065" s="47" t="s">
        <v>1135</v>
      </c>
    </row>
    <row r="3066" spans="1:13" ht="15" customHeight="1">
      <c r="A3066" s="47">
        <v>38</v>
      </c>
      <c r="B3066" s="2">
        <v>4120</v>
      </c>
      <c r="C3066" t="s">
        <v>61</v>
      </c>
      <c r="D3066" s="47" t="s">
        <v>1130</v>
      </c>
      <c r="E3066" s="47" t="s">
        <v>1128</v>
      </c>
      <c r="F3066" t="s">
        <v>185</v>
      </c>
      <c r="H3066" t="s">
        <v>47</v>
      </c>
      <c r="I3066" t="s">
        <v>30</v>
      </c>
      <c r="J3066" t="s">
        <v>35</v>
      </c>
      <c r="K3066"/>
      <c r="L3066" s="47" t="s">
        <v>180</v>
      </c>
      <c r="M3066" s="47" t="s">
        <v>197</v>
      </c>
    </row>
    <row r="3067" spans="1:13" ht="15" customHeight="1">
      <c r="A3067" s="47">
        <v>38</v>
      </c>
      <c r="B3067" s="2">
        <v>4121</v>
      </c>
      <c r="C3067" t="s">
        <v>61</v>
      </c>
      <c r="D3067" s="47" t="s">
        <v>1131</v>
      </c>
      <c r="E3067" s="47" t="s">
        <v>1129</v>
      </c>
      <c r="F3067" t="s">
        <v>185</v>
      </c>
      <c r="H3067" t="s">
        <v>47</v>
      </c>
      <c r="I3067" t="s">
        <v>30</v>
      </c>
      <c r="J3067" t="s">
        <v>35</v>
      </c>
      <c r="K3067"/>
      <c r="L3067" s="47" t="s">
        <v>239</v>
      </c>
      <c r="M3067" s="47" t="s">
        <v>1135</v>
      </c>
    </row>
    <row r="3068" spans="1:13" ht="15" customHeight="1">
      <c r="A3068" s="47">
        <v>38</v>
      </c>
      <c r="B3068" s="2">
        <v>4122</v>
      </c>
      <c r="C3068" t="s">
        <v>61</v>
      </c>
      <c r="D3068" s="47" t="s">
        <v>1132</v>
      </c>
      <c r="E3068" s="47" t="s">
        <v>1129</v>
      </c>
      <c r="F3068" t="s">
        <v>185</v>
      </c>
      <c r="H3068" t="s">
        <v>47</v>
      </c>
      <c r="I3068" t="s">
        <v>30</v>
      </c>
      <c r="J3068" t="s">
        <v>35</v>
      </c>
      <c r="K3068"/>
      <c r="L3068" s="47" t="s">
        <v>239</v>
      </c>
      <c r="M3068" s="47" t="s">
        <v>1135</v>
      </c>
    </row>
    <row r="3069" spans="1:13" ht="15" customHeight="1">
      <c r="A3069" s="47">
        <v>38</v>
      </c>
      <c r="B3069" s="2">
        <v>4123</v>
      </c>
      <c r="C3069" t="s">
        <v>61</v>
      </c>
      <c r="D3069" s="2" t="s">
        <v>1127</v>
      </c>
      <c r="E3069" s="47" t="s">
        <v>1126</v>
      </c>
      <c r="F3069" t="s">
        <v>185</v>
      </c>
      <c r="H3069" t="s">
        <v>47</v>
      </c>
      <c r="I3069" t="s">
        <v>30</v>
      </c>
      <c r="J3069" t="s">
        <v>35</v>
      </c>
      <c r="K3069"/>
      <c r="L3069" s="47" t="s">
        <v>314</v>
      </c>
      <c r="M3069" s="47" t="s">
        <v>1136</v>
      </c>
    </row>
    <row r="3070" spans="1:13" ht="15" customHeight="1">
      <c r="A3070" s="47">
        <v>39</v>
      </c>
      <c r="B3070" s="2">
        <v>4124</v>
      </c>
      <c r="C3070" t="s">
        <v>61</v>
      </c>
      <c r="D3070" s="47" t="s">
        <v>1134</v>
      </c>
      <c r="E3070" s="2" t="s">
        <v>1125</v>
      </c>
      <c r="F3070" t="s">
        <v>185</v>
      </c>
      <c r="G3070"/>
      <c r="H3070" t="s">
        <v>47</v>
      </c>
      <c r="I3070" t="s">
        <v>30</v>
      </c>
      <c r="J3070" t="s">
        <v>35</v>
      </c>
      <c r="K3070"/>
      <c r="L3070" s="47" t="s">
        <v>180</v>
      </c>
      <c r="M3070" s="47" t="s">
        <v>1135</v>
      </c>
    </row>
    <row r="3071" spans="1:13" ht="15" customHeight="1">
      <c r="A3071" s="47">
        <v>39</v>
      </c>
      <c r="B3071" s="2">
        <v>4125</v>
      </c>
      <c r="C3071" t="s">
        <v>61</v>
      </c>
      <c r="D3071" s="47" t="s">
        <v>1130</v>
      </c>
      <c r="E3071" s="47" t="s">
        <v>1128</v>
      </c>
      <c r="F3071" t="s">
        <v>185</v>
      </c>
      <c r="H3071" t="s">
        <v>47</v>
      </c>
      <c r="I3071" t="s">
        <v>30</v>
      </c>
      <c r="J3071" t="s">
        <v>35</v>
      </c>
      <c r="K3071"/>
      <c r="L3071" s="47" t="s">
        <v>180</v>
      </c>
      <c r="M3071" s="47" t="s">
        <v>197</v>
      </c>
    </row>
    <row r="3072" spans="1:13" ht="15" customHeight="1">
      <c r="A3072" s="47">
        <v>39</v>
      </c>
      <c r="B3072" s="2">
        <v>4126</v>
      </c>
      <c r="C3072" t="s">
        <v>61</v>
      </c>
      <c r="D3072" s="47" t="s">
        <v>1131</v>
      </c>
      <c r="E3072" s="47" t="s">
        <v>1129</v>
      </c>
      <c r="F3072" t="s">
        <v>185</v>
      </c>
      <c r="H3072" t="s">
        <v>47</v>
      </c>
      <c r="I3072" t="s">
        <v>30</v>
      </c>
      <c r="J3072" t="s">
        <v>35</v>
      </c>
      <c r="K3072"/>
      <c r="L3072" s="47" t="s">
        <v>239</v>
      </c>
      <c r="M3072" s="47" t="s">
        <v>1135</v>
      </c>
    </row>
    <row r="3073" spans="1:13" ht="15" customHeight="1">
      <c r="A3073" s="47">
        <v>39</v>
      </c>
      <c r="B3073" s="2">
        <v>4127</v>
      </c>
      <c r="C3073" t="s">
        <v>61</v>
      </c>
      <c r="D3073" s="47" t="s">
        <v>1132</v>
      </c>
      <c r="E3073" s="47" t="s">
        <v>1129</v>
      </c>
      <c r="F3073" t="s">
        <v>185</v>
      </c>
      <c r="H3073" t="s">
        <v>47</v>
      </c>
      <c r="I3073" t="s">
        <v>30</v>
      </c>
      <c r="J3073" t="s">
        <v>35</v>
      </c>
      <c r="K3073"/>
      <c r="L3073" s="47" t="s">
        <v>239</v>
      </c>
      <c r="M3073" s="47" t="s">
        <v>1135</v>
      </c>
    </row>
    <row r="3074" spans="1:13" ht="15" customHeight="1">
      <c r="A3074" s="47">
        <v>39</v>
      </c>
      <c r="B3074" s="2">
        <v>4128</v>
      </c>
      <c r="C3074" t="s">
        <v>61</v>
      </c>
      <c r="D3074" s="2" t="s">
        <v>1127</v>
      </c>
      <c r="E3074" s="47" t="s">
        <v>1126</v>
      </c>
      <c r="F3074" t="s">
        <v>185</v>
      </c>
      <c r="H3074" t="s">
        <v>47</v>
      </c>
      <c r="I3074" t="s">
        <v>30</v>
      </c>
      <c r="J3074" t="s">
        <v>35</v>
      </c>
      <c r="K3074"/>
      <c r="L3074" s="47" t="s">
        <v>314</v>
      </c>
      <c r="M3074" s="47" t="s">
        <v>1136</v>
      </c>
    </row>
    <row r="3075" spans="1:13" ht="15" customHeight="1">
      <c r="A3075" s="47">
        <v>40</v>
      </c>
      <c r="B3075" s="2">
        <v>4129</v>
      </c>
      <c r="C3075" t="s">
        <v>61</v>
      </c>
      <c r="D3075" s="47" t="s">
        <v>1134</v>
      </c>
      <c r="E3075" s="2" t="s">
        <v>1125</v>
      </c>
      <c r="F3075" t="s">
        <v>185</v>
      </c>
      <c r="G3075"/>
      <c r="H3075" t="s">
        <v>47</v>
      </c>
      <c r="I3075" t="s">
        <v>30</v>
      </c>
      <c r="J3075" t="s">
        <v>35</v>
      </c>
      <c r="K3075"/>
      <c r="L3075" s="47" t="s">
        <v>180</v>
      </c>
      <c r="M3075" s="47" t="s">
        <v>1135</v>
      </c>
    </row>
    <row r="3076" spans="1:13" ht="15" customHeight="1">
      <c r="A3076" s="47">
        <v>40</v>
      </c>
      <c r="B3076" s="2">
        <v>4130</v>
      </c>
      <c r="C3076" t="s">
        <v>61</v>
      </c>
      <c r="D3076" s="47" t="s">
        <v>1130</v>
      </c>
      <c r="E3076" s="47" t="s">
        <v>1128</v>
      </c>
      <c r="F3076" t="s">
        <v>185</v>
      </c>
      <c r="H3076" t="s">
        <v>47</v>
      </c>
      <c r="I3076" t="s">
        <v>30</v>
      </c>
      <c r="J3076" t="s">
        <v>35</v>
      </c>
      <c r="K3076"/>
      <c r="L3076" s="47" t="s">
        <v>180</v>
      </c>
      <c r="M3076" s="47" t="s">
        <v>197</v>
      </c>
    </row>
    <row r="3077" spans="1:13" ht="15" customHeight="1">
      <c r="A3077" s="47">
        <v>40</v>
      </c>
      <c r="B3077" s="2">
        <v>4131</v>
      </c>
      <c r="C3077" t="s">
        <v>61</v>
      </c>
      <c r="D3077" s="47" t="s">
        <v>1131</v>
      </c>
      <c r="E3077" s="47" t="s">
        <v>1129</v>
      </c>
      <c r="F3077" t="s">
        <v>185</v>
      </c>
      <c r="H3077" t="s">
        <v>47</v>
      </c>
      <c r="I3077" t="s">
        <v>30</v>
      </c>
      <c r="J3077" t="s">
        <v>35</v>
      </c>
      <c r="K3077"/>
      <c r="L3077" s="47" t="s">
        <v>239</v>
      </c>
      <c r="M3077" s="47" t="s">
        <v>1135</v>
      </c>
    </row>
    <row r="3078" spans="1:13" ht="15" customHeight="1">
      <c r="A3078" s="47">
        <v>40</v>
      </c>
      <c r="B3078" s="2">
        <v>4132</v>
      </c>
      <c r="C3078" t="s">
        <v>61</v>
      </c>
      <c r="D3078" s="47" t="s">
        <v>1132</v>
      </c>
      <c r="E3078" s="47" t="s">
        <v>1129</v>
      </c>
      <c r="F3078" t="s">
        <v>185</v>
      </c>
      <c r="H3078" t="s">
        <v>47</v>
      </c>
      <c r="I3078" t="s">
        <v>30</v>
      </c>
      <c r="J3078" t="s">
        <v>35</v>
      </c>
      <c r="K3078"/>
      <c r="L3078" s="47" t="s">
        <v>239</v>
      </c>
      <c r="M3078" s="47" t="s">
        <v>1135</v>
      </c>
    </row>
    <row r="3079" spans="1:13" ht="15" customHeight="1">
      <c r="A3079" s="47">
        <v>40</v>
      </c>
      <c r="B3079" s="2">
        <v>4133</v>
      </c>
      <c r="C3079" t="s">
        <v>61</v>
      </c>
      <c r="D3079" s="2" t="s">
        <v>1127</v>
      </c>
      <c r="E3079" s="47" t="s">
        <v>1126</v>
      </c>
      <c r="F3079" t="s">
        <v>185</v>
      </c>
      <c r="H3079" t="s">
        <v>47</v>
      </c>
      <c r="I3079" t="s">
        <v>30</v>
      </c>
      <c r="J3079" t="s">
        <v>35</v>
      </c>
      <c r="K3079"/>
      <c r="L3079" s="47" t="s">
        <v>314</v>
      </c>
      <c r="M3079" s="47" t="s">
        <v>1136</v>
      </c>
    </row>
    <row r="3080" spans="1:13" ht="15" customHeight="1">
      <c r="A3080" s="47">
        <v>41</v>
      </c>
      <c r="B3080" s="2">
        <v>4134</v>
      </c>
      <c r="C3080" t="s">
        <v>61</v>
      </c>
      <c r="D3080" s="47" t="s">
        <v>1134</v>
      </c>
      <c r="E3080" s="2" t="s">
        <v>1125</v>
      </c>
      <c r="F3080" t="s">
        <v>185</v>
      </c>
      <c r="G3080"/>
      <c r="H3080" t="s">
        <v>47</v>
      </c>
      <c r="I3080" t="s">
        <v>30</v>
      </c>
      <c r="J3080" t="s">
        <v>35</v>
      </c>
      <c r="K3080"/>
      <c r="L3080" s="47" t="s">
        <v>180</v>
      </c>
      <c r="M3080" s="47" t="s">
        <v>1135</v>
      </c>
    </row>
    <row r="3081" spans="1:13" ht="15" customHeight="1">
      <c r="A3081" s="47">
        <v>41</v>
      </c>
      <c r="B3081" s="2">
        <v>4135</v>
      </c>
      <c r="C3081" t="s">
        <v>61</v>
      </c>
      <c r="D3081" s="47" t="s">
        <v>1130</v>
      </c>
      <c r="E3081" s="47" t="s">
        <v>1128</v>
      </c>
      <c r="F3081" t="s">
        <v>185</v>
      </c>
      <c r="H3081" t="s">
        <v>47</v>
      </c>
      <c r="I3081" t="s">
        <v>30</v>
      </c>
      <c r="J3081" t="s">
        <v>35</v>
      </c>
      <c r="K3081"/>
      <c r="L3081" s="47" t="s">
        <v>180</v>
      </c>
      <c r="M3081" s="47" t="s">
        <v>197</v>
      </c>
    </row>
    <row r="3082" spans="1:13" ht="15" customHeight="1">
      <c r="A3082" s="47">
        <v>41</v>
      </c>
      <c r="B3082" s="2">
        <v>4136</v>
      </c>
      <c r="C3082" t="s">
        <v>61</v>
      </c>
      <c r="D3082" s="47" t="s">
        <v>1131</v>
      </c>
      <c r="E3082" s="47" t="s">
        <v>1129</v>
      </c>
      <c r="F3082" t="s">
        <v>185</v>
      </c>
      <c r="H3082" t="s">
        <v>47</v>
      </c>
      <c r="I3082" t="s">
        <v>30</v>
      </c>
      <c r="J3082" t="s">
        <v>35</v>
      </c>
      <c r="K3082"/>
      <c r="L3082" s="47" t="s">
        <v>239</v>
      </c>
      <c r="M3082" s="47" t="s">
        <v>1135</v>
      </c>
    </row>
    <row r="3083" spans="1:13" ht="15" customHeight="1">
      <c r="A3083" s="47">
        <v>41</v>
      </c>
      <c r="B3083" s="2">
        <v>4137</v>
      </c>
      <c r="C3083" t="s">
        <v>61</v>
      </c>
      <c r="D3083" s="47" t="s">
        <v>1132</v>
      </c>
      <c r="E3083" s="47" t="s">
        <v>1129</v>
      </c>
      <c r="F3083" t="s">
        <v>185</v>
      </c>
      <c r="H3083" t="s">
        <v>47</v>
      </c>
      <c r="I3083" t="s">
        <v>30</v>
      </c>
      <c r="J3083" t="s">
        <v>35</v>
      </c>
      <c r="K3083"/>
      <c r="L3083" s="47" t="s">
        <v>239</v>
      </c>
      <c r="M3083" s="47" t="s">
        <v>1135</v>
      </c>
    </row>
    <row r="3084" spans="1:13" ht="15" customHeight="1">
      <c r="A3084" s="47">
        <v>41</v>
      </c>
      <c r="B3084" s="2">
        <v>4138</v>
      </c>
      <c r="C3084" t="s">
        <v>61</v>
      </c>
      <c r="D3084" s="2" t="s">
        <v>1127</v>
      </c>
      <c r="E3084" s="47" t="s">
        <v>1126</v>
      </c>
      <c r="F3084" t="s">
        <v>185</v>
      </c>
      <c r="H3084" t="s">
        <v>47</v>
      </c>
      <c r="I3084" t="s">
        <v>30</v>
      </c>
      <c r="J3084" t="s">
        <v>35</v>
      </c>
      <c r="K3084"/>
      <c r="L3084" s="47" t="s">
        <v>314</v>
      </c>
      <c r="M3084" s="47" t="s">
        <v>1136</v>
      </c>
    </row>
    <row r="3085" spans="1:13" ht="15" customHeight="1">
      <c r="A3085" s="47">
        <v>42</v>
      </c>
      <c r="B3085" s="2">
        <v>4139</v>
      </c>
      <c r="C3085" t="s">
        <v>61</v>
      </c>
      <c r="D3085" s="47" t="s">
        <v>1134</v>
      </c>
      <c r="E3085" s="2" t="s">
        <v>1125</v>
      </c>
      <c r="F3085" t="s">
        <v>185</v>
      </c>
      <c r="G3085"/>
      <c r="H3085" t="s">
        <v>47</v>
      </c>
      <c r="I3085" t="s">
        <v>30</v>
      </c>
      <c r="J3085" t="s">
        <v>35</v>
      </c>
      <c r="K3085"/>
      <c r="L3085" s="47" t="s">
        <v>180</v>
      </c>
      <c r="M3085" s="47" t="s">
        <v>1135</v>
      </c>
    </row>
    <row r="3086" spans="1:13" ht="15" customHeight="1">
      <c r="A3086" s="47">
        <v>42</v>
      </c>
      <c r="B3086" s="2">
        <v>4140</v>
      </c>
      <c r="C3086" t="s">
        <v>61</v>
      </c>
      <c r="D3086" s="47" t="s">
        <v>1130</v>
      </c>
      <c r="E3086" s="47" t="s">
        <v>1128</v>
      </c>
      <c r="F3086" t="s">
        <v>185</v>
      </c>
      <c r="H3086" t="s">
        <v>47</v>
      </c>
      <c r="I3086" t="s">
        <v>30</v>
      </c>
      <c r="J3086" t="s">
        <v>35</v>
      </c>
      <c r="K3086"/>
      <c r="L3086" s="47" t="s">
        <v>180</v>
      </c>
      <c r="M3086" s="47" t="s">
        <v>197</v>
      </c>
    </row>
    <row r="3087" spans="1:13" ht="15" customHeight="1">
      <c r="A3087" s="47">
        <v>42</v>
      </c>
      <c r="B3087" s="2">
        <v>4141</v>
      </c>
      <c r="C3087" t="s">
        <v>61</v>
      </c>
      <c r="D3087" s="47" t="s">
        <v>1131</v>
      </c>
      <c r="E3087" s="47" t="s">
        <v>1129</v>
      </c>
      <c r="F3087" t="s">
        <v>185</v>
      </c>
      <c r="H3087" t="s">
        <v>47</v>
      </c>
      <c r="I3087" t="s">
        <v>30</v>
      </c>
      <c r="J3087" t="s">
        <v>35</v>
      </c>
      <c r="K3087"/>
      <c r="L3087" s="47" t="s">
        <v>239</v>
      </c>
      <c r="M3087" s="47" t="s">
        <v>1135</v>
      </c>
    </row>
    <row r="3088" spans="1:13" ht="15" customHeight="1">
      <c r="A3088" s="47">
        <v>42</v>
      </c>
      <c r="B3088" s="2">
        <v>4142</v>
      </c>
      <c r="C3088" t="s">
        <v>61</v>
      </c>
      <c r="D3088" s="47" t="s">
        <v>1132</v>
      </c>
      <c r="E3088" s="47" t="s">
        <v>1129</v>
      </c>
      <c r="F3088" t="s">
        <v>185</v>
      </c>
      <c r="H3088" t="s">
        <v>47</v>
      </c>
      <c r="I3088" t="s">
        <v>30</v>
      </c>
      <c r="J3088" t="s">
        <v>35</v>
      </c>
      <c r="K3088"/>
      <c r="L3088" s="47" t="s">
        <v>239</v>
      </c>
      <c r="M3088" s="47" t="s">
        <v>1135</v>
      </c>
    </row>
    <row r="3089" spans="1:13" ht="15" customHeight="1">
      <c r="A3089" s="47">
        <v>42</v>
      </c>
      <c r="B3089" s="2">
        <v>4143</v>
      </c>
      <c r="C3089" t="s">
        <v>61</v>
      </c>
      <c r="D3089" s="2" t="s">
        <v>1127</v>
      </c>
      <c r="E3089" s="47" t="s">
        <v>1126</v>
      </c>
      <c r="F3089" t="s">
        <v>185</v>
      </c>
      <c r="H3089" t="s">
        <v>47</v>
      </c>
      <c r="I3089" t="s">
        <v>30</v>
      </c>
      <c r="J3089" t="s">
        <v>35</v>
      </c>
      <c r="K3089"/>
      <c r="L3089" s="47" t="s">
        <v>314</v>
      </c>
      <c r="M3089" s="47" t="s">
        <v>1136</v>
      </c>
    </row>
    <row r="3090" spans="1:13" ht="15" customHeight="1">
      <c r="A3090" s="47">
        <v>43</v>
      </c>
      <c r="B3090" s="2">
        <v>4144</v>
      </c>
      <c r="C3090" t="s">
        <v>61</v>
      </c>
      <c r="D3090" s="47" t="s">
        <v>1134</v>
      </c>
      <c r="E3090" s="2" t="s">
        <v>1125</v>
      </c>
      <c r="F3090" t="s">
        <v>185</v>
      </c>
      <c r="G3090"/>
      <c r="H3090" t="s">
        <v>47</v>
      </c>
      <c r="I3090" t="s">
        <v>30</v>
      </c>
      <c r="J3090" t="s">
        <v>35</v>
      </c>
      <c r="K3090"/>
      <c r="L3090" s="47" t="s">
        <v>180</v>
      </c>
      <c r="M3090" s="47" t="s">
        <v>1135</v>
      </c>
    </row>
    <row r="3091" spans="1:13" ht="15" customHeight="1">
      <c r="A3091" s="47">
        <v>43</v>
      </c>
      <c r="B3091" s="2">
        <v>4145</v>
      </c>
      <c r="C3091" t="s">
        <v>61</v>
      </c>
      <c r="D3091" s="47" t="s">
        <v>1130</v>
      </c>
      <c r="E3091" s="47" t="s">
        <v>1128</v>
      </c>
      <c r="F3091" t="s">
        <v>185</v>
      </c>
      <c r="H3091" t="s">
        <v>47</v>
      </c>
      <c r="I3091" t="s">
        <v>30</v>
      </c>
      <c r="J3091" t="s">
        <v>35</v>
      </c>
      <c r="K3091"/>
      <c r="L3091" s="47" t="s">
        <v>180</v>
      </c>
      <c r="M3091" s="47" t="s">
        <v>197</v>
      </c>
    </row>
    <row r="3092" spans="1:13" ht="15" customHeight="1">
      <c r="A3092" s="47">
        <v>43</v>
      </c>
      <c r="B3092" s="2">
        <v>4146</v>
      </c>
      <c r="C3092" t="s">
        <v>61</v>
      </c>
      <c r="D3092" s="47" t="s">
        <v>1131</v>
      </c>
      <c r="E3092" s="47" t="s">
        <v>1129</v>
      </c>
      <c r="F3092" t="s">
        <v>185</v>
      </c>
      <c r="H3092" t="s">
        <v>47</v>
      </c>
      <c r="I3092" t="s">
        <v>30</v>
      </c>
      <c r="J3092" t="s">
        <v>35</v>
      </c>
      <c r="K3092"/>
      <c r="L3092" s="47" t="s">
        <v>239</v>
      </c>
      <c r="M3092" s="47" t="s">
        <v>1135</v>
      </c>
    </row>
    <row r="3093" spans="1:13" ht="15" customHeight="1">
      <c r="A3093" s="47">
        <v>43</v>
      </c>
      <c r="B3093" s="2">
        <v>4147</v>
      </c>
      <c r="C3093" t="s">
        <v>61</v>
      </c>
      <c r="D3093" s="47" t="s">
        <v>1132</v>
      </c>
      <c r="E3093" s="47" t="s">
        <v>1129</v>
      </c>
      <c r="F3093" t="s">
        <v>185</v>
      </c>
      <c r="H3093" t="s">
        <v>47</v>
      </c>
      <c r="I3093" t="s">
        <v>30</v>
      </c>
      <c r="J3093" t="s">
        <v>35</v>
      </c>
      <c r="K3093"/>
      <c r="L3093" s="47" t="s">
        <v>239</v>
      </c>
      <c r="M3093" s="47" t="s">
        <v>1135</v>
      </c>
    </row>
    <row r="3094" spans="1:13" ht="15" customHeight="1">
      <c r="A3094" s="47">
        <v>43</v>
      </c>
      <c r="B3094" s="2">
        <v>4148</v>
      </c>
      <c r="C3094" t="s">
        <v>61</v>
      </c>
      <c r="D3094" s="2" t="s">
        <v>1127</v>
      </c>
      <c r="E3094" s="47" t="s">
        <v>1126</v>
      </c>
      <c r="F3094" t="s">
        <v>185</v>
      </c>
      <c r="H3094" t="s">
        <v>47</v>
      </c>
      <c r="I3094" t="s">
        <v>30</v>
      </c>
      <c r="J3094" t="s">
        <v>35</v>
      </c>
      <c r="K3094"/>
      <c r="L3094" s="47" t="s">
        <v>314</v>
      </c>
      <c r="M3094" s="47" t="s">
        <v>1136</v>
      </c>
    </row>
    <row r="3095" spans="1:13" ht="15" customHeight="1">
      <c r="A3095" s="47">
        <v>44</v>
      </c>
      <c r="B3095" s="2">
        <v>4149</v>
      </c>
      <c r="C3095" t="s">
        <v>61</v>
      </c>
      <c r="D3095" s="47" t="s">
        <v>1134</v>
      </c>
      <c r="E3095" s="2" t="s">
        <v>1125</v>
      </c>
      <c r="F3095" t="s">
        <v>185</v>
      </c>
      <c r="G3095"/>
      <c r="H3095" t="s">
        <v>47</v>
      </c>
      <c r="I3095" t="s">
        <v>30</v>
      </c>
      <c r="J3095" t="s">
        <v>35</v>
      </c>
      <c r="K3095"/>
      <c r="L3095" s="47" t="s">
        <v>180</v>
      </c>
      <c r="M3095" s="47" t="s">
        <v>1135</v>
      </c>
    </row>
    <row r="3096" spans="1:13" ht="15" customHeight="1">
      <c r="A3096" s="47">
        <v>44</v>
      </c>
      <c r="B3096" s="2">
        <v>4150</v>
      </c>
      <c r="C3096" t="s">
        <v>61</v>
      </c>
      <c r="D3096" s="47" t="s">
        <v>1130</v>
      </c>
      <c r="E3096" s="47" t="s">
        <v>1128</v>
      </c>
      <c r="F3096" t="s">
        <v>185</v>
      </c>
      <c r="H3096" t="s">
        <v>47</v>
      </c>
      <c r="I3096" t="s">
        <v>30</v>
      </c>
      <c r="J3096" t="s">
        <v>35</v>
      </c>
      <c r="K3096"/>
      <c r="L3096" s="47" t="s">
        <v>180</v>
      </c>
      <c r="M3096" s="47" t="s">
        <v>197</v>
      </c>
    </row>
    <row r="3097" spans="1:13" ht="15" customHeight="1">
      <c r="A3097" s="47">
        <v>44</v>
      </c>
      <c r="B3097" s="2">
        <v>4151</v>
      </c>
      <c r="C3097" t="s">
        <v>61</v>
      </c>
      <c r="D3097" s="47" t="s">
        <v>1131</v>
      </c>
      <c r="E3097" s="47" t="s">
        <v>1129</v>
      </c>
      <c r="F3097" t="s">
        <v>185</v>
      </c>
      <c r="H3097" t="s">
        <v>47</v>
      </c>
      <c r="I3097" t="s">
        <v>30</v>
      </c>
      <c r="J3097" t="s">
        <v>35</v>
      </c>
      <c r="K3097"/>
      <c r="L3097" s="47" t="s">
        <v>239</v>
      </c>
      <c r="M3097" s="47" t="s">
        <v>1135</v>
      </c>
    </row>
    <row r="3098" spans="1:13" ht="15" customHeight="1">
      <c r="A3098" s="47">
        <v>44</v>
      </c>
      <c r="B3098" s="2">
        <v>4152</v>
      </c>
      <c r="C3098" t="s">
        <v>61</v>
      </c>
      <c r="D3098" s="47" t="s">
        <v>1132</v>
      </c>
      <c r="E3098" s="47" t="s">
        <v>1129</v>
      </c>
      <c r="F3098" t="s">
        <v>185</v>
      </c>
      <c r="H3098" t="s">
        <v>47</v>
      </c>
      <c r="I3098" t="s">
        <v>30</v>
      </c>
      <c r="J3098" t="s">
        <v>35</v>
      </c>
      <c r="K3098"/>
      <c r="L3098" s="47" t="s">
        <v>239</v>
      </c>
      <c r="M3098" s="47" t="s">
        <v>1135</v>
      </c>
    </row>
    <row r="3099" spans="1:13" ht="15" customHeight="1">
      <c r="A3099" s="47">
        <v>44</v>
      </c>
      <c r="B3099" s="2">
        <v>4153</v>
      </c>
      <c r="C3099" t="s">
        <v>61</v>
      </c>
      <c r="D3099" s="2" t="s">
        <v>1127</v>
      </c>
      <c r="E3099" s="47" t="s">
        <v>1126</v>
      </c>
      <c r="F3099" t="s">
        <v>185</v>
      </c>
      <c r="H3099" t="s">
        <v>47</v>
      </c>
      <c r="I3099" t="s">
        <v>30</v>
      </c>
      <c r="J3099" t="s">
        <v>35</v>
      </c>
      <c r="K3099"/>
      <c r="L3099" s="47" t="s">
        <v>314</v>
      </c>
      <c r="M3099" s="47" t="s">
        <v>1136</v>
      </c>
    </row>
    <row r="3100" spans="1:13" ht="15" customHeight="1">
      <c r="A3100" s="47">
        <v>45</v>
      </c>
      <c r="B3100" s="2">
        <v>4154</v>
      </c>
      <c r="C3100" t="s">
        <v>61</v>
      </c>
      <c r="D3100" s="47" t="s">
        <v>1134</v>
      </c>
      <c r="E3100" s="2" t="s">
        <v>1125</v>
      </c>
      <c r="F3100" t="s">
        <v>185</v>
      </c>
      <c r="G3100"/>
      <c r="H3100" t="s">
        <v>47</v>
      </c>
      <c r="I3100" t="s">
        <v>30</v>
      </c>
      <c r="J3100" t="s">
        <v>35</v>
      </c>
      <c r="K3100"/>
      <c r="L3100" s="47" t="s">
        <v>180</v>
      </c>
      <c r="M3100" s="47" t="s">
        <v>1135</v>
      </c>
    </row>
    <row r="3101" spans="1:13" ht="15" customHeight="1">
      <c r="A3101" s="47">
        <v>45</v>
      </c>
      <c r="B3101" s="2">
        <v>4155</v>
      </c>
      <c r="C3101" t="s">
        <v>61</v>
      </c>
      <c r="D3101" s="47" t="s">
        <v>1130</v>
      </c>
      <c r="E3101" s="47" t="s">
        <v>1128</v>
      </c>
      <c r="F3101" t="s">
        <v>185</v>
      </c>
      <c r="H3101" t="s">
        <v>47</v>
      </c>
      <c r="I3101" t="s">
        <v>30</v>
      </c>
      <c r="J3101" t="s">
        <v>35</v>
      </c>
      <c r="K3101"/>
      <c r="L3101" s="47" t="s">
        <v>180</v>
      </c>
      <c r="M3101" s="47" t="s">
        <v>197</v>
      </c>
    </row>
    <row r="3102" spans="1:13" ht="15" customHeight="1">
      <c r="A3102" s="47">
        <v>45</v>
      </c>
      <c r="B3102" s="2">
        <v>4156</v>
      </c>
      <c r="C3102" t="s">
        <v>61</v>
      </c>
      <c r="D3102" s="47" t="s">
        <v>1131</v>
      </c>
      <c r="E3102" s="47" t="s">
        <v>1129</v>
      </c>
      <c r="F3102" t="s">
        <v>185</v>
      </c>
      <c r="H3102" t="s">
        <v>47</v>
      </c>
      <c r="I3102" t="s">
        <v>30</v>
      </c>
      <c r="J3102" t="s">
        <v>35</v>
      </c>
      <c r="K3102"/>
      <c r="L3102" s="47" t="s">
        <v>239</v>
      </c>
      <c r="M3102" s="47" t="s">
        <v>1135</v>
      </c>
    </row>
    <row r="3103" spans="1:13" ht="15" customHeight="1">
      <c r="A3103" s="47">
        <v>45</v>
      </c>
      <c r="B3103" s="2">
        <v>4157</v>
      </c>
      <c r="C3103" t="s">
        <v>61</v>
      </c>
      <c r="D3103" s="47" t="s">
        <v>1132</v>
      </c>
      <c r="E3103" s="47" t="s">
        <v>1129</v>
      </c>
      <c r="F3103" t="s">
        <v>185</v>
      </c>
      <c r="H3103" t="s">
        <v>47</v>
      </c>
      <c r="I3103" t="s">
        <v>30</v>
      </c>
      <c r="J3103" t="s">
        <v>35</v>
      </c>
      <c r="K3103"/>
      <c r="L3103" s="47" t="s">
        <v>239</v>
      </c>
      <c r="M3103" s="47" t="s">
        <v>1135</v>
      </c>
    </row>
    <row r="3104" spans="1:13" ht="15" customHeight="1">
      <c r="A3104" s="47">
        <v>45</v>
      </c>
      <c r="B3104" s="2">
        <v>4158</v>
      </c>
      <c r="C3104" t="s">
        <v>61</v>
      </c>
      <c r="D3104" s="2" t="s">
        <v>1127</v>
      </c>
      <c r="E3104" s="47" t="s">
        <v>1126</v>
      </c>
      <c r="F3104" t="s">
        <v>185</v>
      </c>
      <c r="H3104" t="s">
        <v>47</v>
      </c>
      <c r="I3104" t="s">
        <v>30</v>
      </c>
      <c r="J3104" t="s">
        <v>35</v>
      </c>
      <c r="K3104"/>
      <c r="L3104" s="47" t="s">
        <v>314</v>
      </c>
      <c r="M3104" s="47" t="s">
        <v>1136</v>
      </c>
    </row>
    <row r="3105" spans="1:13" ht="15" customHeight="1">
      <c r="A3105" s="47">
        <v>46</v>
      </c>
      <c r="B3105" s="2">
        <v>4159</v>
      </c>
      <c r="C3105" t="s">
        <v>61</v>
      </c>
      <c r="D3105" s="47" t="s">
        <v>1134</v>
      </c>
      <c r="E3105" s="2" t="s">
        <v>1125</v>
      </c>
      <c r="F3105" t="s">
        <v>185</v>
      </c>
      <c r="G3105"/>
      <c r="H3105" t="s">
        <v>47</v>
      </c>
      <c r="I3105" t="s">
        <v>30</v>
      </c>
      <c r="J3105" t="s">
        <v>35</v>
      </c>
      <c r="K3105"/>
      <c r="L3105" s="47" t="s">
        <v>180</v>
      </c>
      <c r="M3105" s="47" t="s">
        <v>1135</v>
      </c>
    </row>
    <row r="3106" spans="1:13" ht="15" customHeight="1">
      <c r="A3106" s="47">
        <v>46</v>
      </c>
      <c r="B3106" s="2">
        <v>4160</v>
      </c>
      <c r="C3106" t="s">
        <v>61</v>
      </c>
      <c r="D3106" s="47" t="s">
        <v>1130</v>
      </c>
      <c r="E3106" s="47" t="s">
        <v>1128</v>
      </c>
      <c r="F3106" t="s">
        <v>185</v>
      </c>
      <c r="H3106" t="s">
        <v>47</v>
      </c>
      <c r="I3106" t="s">
        <v>30</v>
      </c>
      <c r="J3106" t="s">
        <v>35</v>
      </c>
      <c r="K3106"/>
      <c r="L3106" s="47" t="s">
        <v>180</v>
      </c>
      <c r="M3106" s="47" t="s">
        <v>197</v>
      </c>
    </row>
    <row r="3107" spans="1:13" ht="15" customHeight="1">
      <c r="A3107" s="47">
        <v>46</v>
      </c>
      <c r="B3107" s="2">
        <v>4161</v>
      </c>
      <c r="C3107" t="s">
        <v>61</v>
      </c>
      <c r="D3107" s="47" t="s">
        <v>1131</v>
      </c>
      <c r="E3107" s="47" t="s">
        <v>1129</v>
      </c>
      <c r="F3107" t="s">
        <v>185</v>
      </c>
      <c r="H3107" t="s">
        <v>47</v>
      </c>
      <c r="I3107" t="s">
        <v>30</v>
      </c>
      <c r="J3107" t="s">
        <v>35</v>
      </c>
      <c r="K3107"/>
      <c r="L3107" s="47" t="s">
        <v>239</v>
      </c>
      <c r="M3107" s="47" t="s">
        <v>1135</v>
      </c>
    </row>
    <row r="3108" spans="1:13" ht="15" customHeight="1">
      <c r="A3108" s="47">
        <v>46</v>
      </c>
      <c r="B3108" s="2">
        <v>4162</v>
      </c>
      <c r="C3108" t="s">
        <v>61</v>
      </c>
      <c r="D3108" s="47" t="s">
        <v>1132</v>
      </c>
      <c r="E3108" s="47" t="s">
        <v>1129</v>
      </c>
      <c r="F3108" t="s">
        <v>185</v>
      </c>
      <c r="H3108" t="s">
        <v>47</v>
      </c>
      <c r="I3108" t="s">
        <v>30</v>
      </c>
      <c r="J3108" t="s">
        <v>35</v>
      </c>
      <c r="K3108"/>
      <c r="L3108" s="47" t="s">
        <v>239</v>
      </c>
      <c r="M3108" s="47" t="s">
        <v>1135</v>
      </c>
    </row>
    <row r="3109" spans="1:13" ht="15" customHeight="1">
      <c r="A3109" s="47">
        <v>46</v>
      </c>
      <c r="B3109" s="2">
        <v>4163</v>
      </c>
      <c r="C3109" t="s">
        <v>61</v>
      </c>
      <c r="D3109" s="2" t="s">
        <v>1127</v>
      </c>
      <c r="E3109" s="47" t="s">
        <v>1126</v>
      </c>
      <c r="F3109" t="s">
        <v>185</v>
      </c>
      <c r="H3109" t="s">
        <v>47</v>
      </c>
      <c r="I3109" t="s">
        <v>30</v>
      </c>
      <c r="J3109" t="s">
        <v>35</v>
      </c>
      <c r="K3109"/>
      <c r="L3109" s="47" t="s">
        <v>314</v>
      </c>
      <c r="M3109" s="47" t="s">
        <v>1136</v>
      </c>
    </row>
    <row r="3110" spans="1:13" ht="15" customHeight="1">
      <c r="A3110" s="47">
        <v>47</v>
      </c>
      <c r="B3110" s="2">
        <v>4164</v>
      </c>
      <c r="C3110" t="s">
        <v>61</v>
      </c>
      <c r="D3110" s="47" t="s">
        <v>1134</v>
      </c>
      <c r="E3110" s="2" t="s">
        <v>1125</v>
      </c>
      <c r="F3110" t="s">
        <v>185</v>
      </c>
      <c r="G3110"/>
      <c r="H3110" t="s">
        <v>47</v>
      </c>
      <c r="I3110" t="s">
        <v>30</v>
      </c>
      <c r="J3110" t="s">
        <v>35</v>
      </c>
      <c r="K3110"/>
      <c r="L3110" s="47" t="s">
        <v>180</v>
      </c>
      <c r="M3110" s="47" t="s">
        <v>1135</v>
      </c>
    </row>
    <row r="3111" spans="1:13" ht="15" customHeight="1">
      <c r="A3111" s="47">
        <v>47</v>
      </c>
      <c r="B3111" s="2">
        <v>4165</v>
      </c>
      <c r="C3111" t="s">
        <v>61</v>
      </c>
      <c r="D3111" s="47" t="s">
        <v>1130</v>
      </c>
      <c r="E3111" s="47" t="s">
        <v>1128</v>
      </c>
      <c r="F3111" t="s">
        <v>185</v>
      </c>
      <c r="H3111" t="s">
        <v>47</v>
      </c>
      <c r="I3111" t="s">
        <v>30</v>
      </c>
      <c r="J3111" t="s">
        <v>35</v>
      </c>
      <c r="K3111"/>
      <c r="L3111" s="47" t="s">
        <v>180</v>
      </c>
      <c r="M3111" s="47" t="s">
        <v>197</v>
      </c>
    </row>
    <row r="3112" spans="1:13" ht="15" customHeight="1">
      <c r="A3112" s="47">
        <v>47</v>
      </c>
      <c r="B3112" s="2">
        <v>4166</v>
      </c>
      <c r="C3112" t="s">
        <v>61</v>
      </c>
      <c r="D3112" s="47" t="s">
        <v>1131</v>
      </c>
      <c r="E3112" s="47" t="s">
        <v>1129</v>
      </c>
      <c r="F3112" t="s">
        <v>185</v>
      </c>
      <c r="H3112" t="s">
        <v>47</v>
      </c>
      <c r="I3112" t="s">
        <v>30</v>
      </c>
      <c r="J3112" t="s">
        <v>35</v>
      </c>
      <c r="K3112"/>
      <c r="L3112" s="47" t="s">
        <v>239</v>
      </c>
      <c r="M3112" s="47" t="s">
        <v>1135</v>
      </c>
    </row>
    <row r="3113" spans="1:13" ht="15" customHeight="1">
      <c r="A3113" s="47">
        <v>47</v>
      </c>
      <c r="B3113" s="2">
        <v>4167</v>
      </c>
      <c r="C3113" t="s">
        <v>61</v>
      </c>
      <c r="D3113" s="47" t="s">
        <v>1132</v>
      </c>
      <c r="E3113" s="47" t="s">
        <v>1129</v>
      </c>
      <c r="F3113" t="s">
        <v>185</v>
      </c>
      <c r="H3113" t="s">
        <v>47</v>
      </c>
      <c r="I3113" t="s">
        <v>30</v>
      </c>
      <c r="J3113" t="s">
        <v>35</v>
      </c>
      <c r="K3113"/>
      <c r="L3113" s="47" t="s">
        <v>239</v>
      </c>
      <c r="M3113" s="47" t="s">
        <v>1135</v>
      </c>
    </row>
    <row r="3114" spans="1:13" ht="15" customHeight="1">
      <c r="A3114" s="47">
        <v>47</v>
      </c>
      <c r="B3114" s="2">
        <v>4168</v>
      </c>
      <c r="C3114" t="s">
        <v>61</v>
      </c>
      <c r="D3114" s="2" t="s">
        <v>1127</v>
      </c>
      <c r="E3114" s="47" t="s">
        <v>1126</v>
      </c>
      <c r="F3114" t="s">
        <v>185</v>
      </c>
      <c r="H3114" t="s">
        <v>47</v>
      </c>
      <c r="I3114" t="s">
        <v>30</v>
      </c>
      <c r="J3114" t="s">
        <v>35</v>
      </c>
      <c r="K3114"/>
      <c r="L3114" s="47" t="s">
        <v>314</v>
      </c>
      <c r="M3114" s="47" t="s">
        <v>1136</v>
      </c>
    </row>
    <row r="3115" spans="1:13" ht="15" customHeight="1">
      <c r="A3115" s="47">
        <v>48</v>
      </c>
      <c r="B3115" s="2">
        <v>4169</v>
      </c>
      <c r="C3115" t="s">
        <v>61</v>
      </c>
      <c r="D3115" s="47" t="s">
        <v>1134</v>
      </c>
      <c r="E3115" s="2" t="s">
        <v>1125</v>
      </c>
      <c r="F3115" t="s">
        <v>185</v>
      </c>
      <c r="G3115"/>
      <c r="H3115" t="s">
        <v>47</v>
      </c>
      <c r="I3115" t="s">
        <v>30</v>
      </c>
      <c r="J3115" t="s">
        <v>35</v>
      </c>
      <c r="K3115"/>
      <c r="L3115" s="47" t="s">
        <v>180</v>
      </c>
      <c r="M3115" s="47" t="s">
        <v>1135</v>
      </c>
    </row>
    <row r="3116" spans="1:13" ht="15" customHeight="1">
      <c r="A3116" s="47">
        <v>48</v>
      </c>
      <c r="B3116" s="2">
        <v>4170</v>
      </c>
      <c r="C3116" t="s">
        <v>61</v>
      </c>
      <c r="D3116" s="47" t="s">
        <v>1130</v>
      </c>
      <c r="E3116" s="47" t="s">
        <v>1128</v>
      </c>
      <c r="F3116" t="s">
        <v>185</v>
      </c>
      <c r="H3116" t="s">
        <v>47</v>
      </c>
      <c r="I3116" t="s">
        <v>30</v>
      </c>
      <c r="J3116" t="s">
        <v>35</v>
      </c>
      <c r="K3116"/>
      <c r="L3116" s="47" t="s">
        <v>180</v>
      </c>
      <c r="M3116" s="47" t="s">
        <v>197</v>
      </c>
    </row>
    <row r="3117" spans="1:13" ht="15" customHeight="1">
      <c r="A3117" s="47">
        <v>48</v>
      </c>
      <c r="B3117" s="2">
        <v>4171</v>
      </c>
      <c r="C3117" t="s">
        <v>61</v>
      </c>
      <c r="D3117" s="47" t="s">
        <v>1131</v>
      </c>
      <c r="E3117" s="47" t="s">
        <v>1129</v>
      </c>
      <c r="F3117" t="s">
        <v>185</v>
      </c>
      <c r="H3117" t="s">
        <v>47</v>
      </c>
      <c r="I3117" t="s">
        <v>30</v>
      </c>
      <c r="J3117" t="s">
        <v>35</v>
      </c>
      <c r="K3117"/>
      <c r="L3117" s="47" t="s">
        <v>239</v>
      </c>
      <c r="M3117" s="47" t="s">
        <v>1135</v>
      </c>
    </row>
    <row r="3118" spans="1:13" ht="15" customHeight="1">
      <c r="A3118" s="47">
        <v>48</v>
      </c>
      <c r="B3118" s="2">
        <v>4172</v>
      </c>
      <c r="C3118" t="s">
        <v>61</v>
      </c>
      <c r="D3118" s="47" t="s">
        <v>1132</v>
      </c>
      <c r="E3118" s="47" t="s">
        <v>1129</v>
      </c>
      <c r="F3118" t="s">
        <v>185</v>
      </c>
      <c r="H3118" t="s">
        <v>47</v>
      </c>
      <c r="I3118" t="s">
        <v>30</v>
      </c>
      <c r="J3118" t="s">
        <v>35</v>
      </c>
      <c r="K3118"/>
      <c r="L3118" s="47" t="s">
        <v>239</v>
      </c>
      <c r="M3118" s="47" t="s">
        <v>1135</v>
      </c>
    </row>
    <row r="3119" spans="1:13" ht="15" customHeight="1">
      <c r="A3119" s="47">
        <v>48</v>
      </c>
      <c r="B3119" s="2">
        <v>4173</v>
      </c>
      <c r="C3119" t="s">
        <v>61</v>
      </c>
      <c r="D3119" s="2" t="s">
        <v>1127</v>
      </c>
      <c r="E3119" s="47" t="s">
        <v>1126</v>
      </c>
      <c r="F3119" t="s">
        <v>185</v>
      </c>
      <c r="H3119" t="s">
        <v>47</v>
      </c>
      <c r="I3119" t="s">
        <v>30</v>
      </c>
      <c r="J3119" t="s">
        <v>35</v>
      </c>
      <c r="K3119"/>
      <c r="L3119" s="47" t="s">
        <v>314</v>
      </c>
      <c r="M3119" s="47" t="s">
        <v>1136</v>
      </c>
    </row>
    <row r="3120" spans="1:13" ht="15" customHeight="1">
      <c r="A3120" s="47">
        <v>369</v>
      </c>
      <c r="B3120" s="2">
        <v>4174</v>
      </c>
      <c r="C3120" t="s">
        <v>121</v>
      </c>
      <c r="D3120" s="47" t="s">
        <v>1134</v>
      </c>
      <c r="E3120" s="2" t="s">
        <v>1125</v>
      </c>
      <c r="F3120" t="s">
        <v>185</v>
      </c>
      <c r="G3120"/>
      <c r="H3120" t="s">
        <v>47</v>
      </c>
      <c r="I3120" t="s">
        <v>30</v>
      </c>
      <c r="J3120" t="s">
        <v>35</v>
      </c>
      <c r="K3120"/>
      <c r="L3120" s="47" t="s">
        <v>180</v>
      </c>
      <c r="M3120" s="47" t="s">
        <v>1135</v>
      </c>
    </row>
    <row r="3121" spans="1:13" ht="15" customHeight="1">
      <c r="A3121" s="47">
        <v>369</v>
      </c>
      <c r="B3121" s="2">
        <v>4175</v>
      </c>
      <c r="C3121" t="s">
        <v>121</v>
      </c>
      <c r="D3121" s="47" t="s">
        <v>1130</v>
      </c>
      <c r="E3121" s="47" t="s">
        <v>1128</v>
      </c>
      <c r="F3121" t="s">
        <v>185</v>
      </c>
      <c r="H3121" t="s">
        <v>47</v>
      </c>
      <c r="I3121" t="s">
        <v>30</v>
      </c>
      <c r="J3121" t="s">
        <v>35</v>
      </c>
      <c r="K3121"/>
      <c r="L3121" s="47" t="s">
        <v>180</v>
      </c>
      <c r="M3121" s="47" t="s">
        <v>197</v>
      </c>
    </row>
    <row r="3122" spans="1:13" ht="15" customHeight="1">
      <c r="A3122" s="47">
        <v>369</v>
      </c>
      <c r="B3122" s="2">
        <v>4176</v>
      </c>
      <c r="C3122" t="s">
        <v>121</v>
      </c>
      <c r="D3122" s="47" t="s">
        <v>1131</v>
      </c>
      <c r="E3122" s="47" t="s">
        <v>1129</v>
      </c>
      <c r="F3122" t="s">
        <v>185</v>
      </c>
      <c r="H3122" t="s">
        <v>47</v>
      </c>
      <c r="I3122" t="s">
        <v>30</v>
      </c>
      <c r="J3122" t="s">
        <v>35</v>
      </c>
      <c r="K3122"/>
      <c r="L3122" s="47" t="s">
        <v>239</v>
      </c>
      <c r="M3122" s="47" t="s">
        <v>1135</v>
      </c>
    </row>
    <row r="3123" spans="1:13" ht="15" customHeight="1">
      <c r="A3123" s="47">
        <v>369</v>
      </c>
      <c r="B3123" s="2">
        <v>4177</v>
      </c>
      <c r="C3123" t="s">
        <v>121</v>
      </c>
      <c r="D3123" s="47" t="s">
        <v>1132</v>
      </c>
      <c r="E3123" s="47" t="s">
        <v>1129</v>
      </c>
      <c r="F3123" t="s">
        <v>185</v>
      </c>
      <c r="H3123" t="s">
        <v>47</v>
      </c>
      <c r="I3123" t="s">
        <v>30</v>
      </c>
      <c r="J3123" t="s">
        <v>35</v>
      </c>
      <c r="K3123"/>
      <c r="L3123" s="47" t="s">
        <v>239</v>
      </c>
      <c r="M3123" s="47" t="s">
        <v>1135</v>
      </c>
    </row>
    <row r="3124" spans="1:13" ht="15" customHeight="1">
      <c r="A3124" s="47">
        <v>369</v>
      </c>
      <c r="B3124" s="2">
        <v>4178</v>
      </c>
      <c r="C3124" t="s">
        <v>121</v>
      </c>
      <c r="D3124" s="2" t="s">
        <v>1127</v>
      </c>
      <c r="E3124" s="47" t="s">
        <v>1126</v>
      </c>
      <c r="F3124" t="s">
        <v>185</v>
      </c>
      <c r="H3124" t="s">
        <v>47</v>
      </c>
      <c r="I3124" t="s">
        <v>30</v>
      </c>
      <c r="J3124" t="s">
        <v>35</v>
      </c>
      <c r="K3124"/>
      <c r="L3124" s="47" t="s">
        <v>314</v>
      </c>
      <c r="M3124" s="47" t="s">
        <v>1136</v>
      </c>
    </row>
    <row r="3125" spans="1:13" ht="15" customHeight="1">
      <c r="A3125" s="47">
        <v>370</v>
      </c>
      <c r="B3125" s="2">
        <v>4179</v>
      </c>
      <c r="C3125" t="s">
        <v>121</v>
      </c>
      <c r="D3125" s="47" t="s">
        <v>1134</v>
      </c>
      <c r="E3125" s="2" t="s">
        <v>1125</v>
      </c>
      <c r="F3125" t="s">
        <v>185</v>
      </c>
      <c r="G3125"/>
      <c r="H3125" t="s">
        <v>47</v>
      </c>
      <c r="I3125" t="s">
        <v>30</v>
      </c>
      <c r="J3125" t="s">
        <v>35</v>
      </c>
      <c r="K3125"/>
      <c r="L3125" s="47" t="s">
        <v>180</v>
      </c>
      <c r="M3125" s="47" t="s">
        <v>1135</v>
      </c>
    </row>
    <row r="3126" spans="1:13" ht="15" customHeight="1">
      <c r="A3126" s="47">
        <v>370</v>
      </c>
      <c r="B3126" s="2">
        <v>4180</v>
      </c>
      <c r="C3126" t="s">
        <v>121</v>
      </c>
      <c r="D3126" s="47" t="s">
        <v>1130</v>
      </c>
      <c r="E3126" s="47" t="s">
        <v>1128</v>
      </c>
      <c r="F3126" t="s">
        <v>185</v>
      </c>
      <c r="H3126" t="s">
        <v>47</v>
      </c>
      <c r="I3126" t="s">
        <v>30</v>
      </c>
      <c r="J3126" t="s">
        <v>35</v>
      </c>
      <c r="K3126"/>
      <c r="L3126" s="47" t="s">
        <v>180</v>
      </c>
      <c r="M3126" s="47" t="s">
        <v>197</v>
      </c>
    </row>
    <row r="3127" spans="1:13" ht="15" customHeight="1">
      <c r="A3127" s="47">
        <v>370</v>
      </c>
      <c r="B3127" s="2">
        <v>4181</v>
      </c>
      <c r="C3127" t="s">
        <v>121</v>
      </c>
      <c r="D3127" s="47" t="s">
        <v>1131</v>
      </c>
      <c r="E3127" s="47" t="s">
        <v>1129</v>
      </c>
      <c r="F3127" t="s">
        <v>185</v>
      </c>
      <c r="H3127" t="s">
        <v>47</v>
      </c>
      <c r="I3127" t="s">
        <v>30</v>
      </c>
      <c r="J3127" t="s">
        <v>35</v>
      </c>
      <c r="K3127"/>
      <c r="L3127" s="47" t="s">
        <v>239</v>
      </c>
      <c r="M3127" s="47" t="s">
        <v>1135</v>
      </c>
    </row>
    <row r="3128" spans="1:13" ht="15" customHeight="1">
      <c r="A3128" s="47">
        <v>370</v>
      </c>
      <c r="B3128" s="2">
        <v>4182</v>
      </c>
      <c r="C3128" t="s">
        <v>121</v>
      </c>
      <c r="D3128" s="47" t="s">
        <v>1132</v>
      </c>
      <c r="E3128" s="47" t="s">
        <v>1129</v>
      </c>
      <c r="F3128" t="s">
        <v>185</v>
      </c>
      <c r="H3128" t="s">
        <v>47</v>
      </c>
      <c r="I3128" t="s">
        <v>30</v>
      </c>
      <c r="J3128" t="s">
        <v>35</v>
      </c>
      <c r="K3128"/>
      <c r="L3128" s="47" t="s">
        <v>239</v>
      </c>
      <c r="M3128" s="47" t="s">
        <v>1135</v>
      </c>
    </row>
    <row r="3129" spans="1:13" ht="15" customHeight="1">
      <c r="A3129" s="47">
        <v>370</v>
      </c>
      <c r="B3129" s="2">
        <v>4183</v>
      </c>
      <c r="C3129" t="s">
        <v>121</v>
      </c>
      <c r="D3129" s="2" t="s">
        <v>1127</v>
      </c>
      <c r="E3129" s="47" t="s">
        <v>1126</v>
      </c>
      <c r="F3129" t="s">
        <v>185</v>
      </c>
      <c r="H3129" t="s">
        <v>47</v>
      </c>
      <c r="I3129" t="s">
        <v>30</v>
      </c>
      <c r="J3129" t="s">
        <v>35</v>
      </c>
      <c r="K3129"/>
      <c r="L3129" s="47" t="s">
        <v>314</v>
      </c>
      <c r="M3129" s="47" t="s">
        <v>1136</v>
      </c>
    </row>
    <row r="3130" spans="1:13" ht="15" customHeight="1">
      <c r="A3130" s="47">
        <v>371</v>
      </c>
      <c r="B3130" s="2">
        <v>4184</v>
      </c>
      <c r="C3130" t="s">
        <v>121</v>
      </c>
      <c r="D3130" s="47" t="s">
        <v>1134</v>
      </c>
      <c r="E3130" s="2" t="s">
        <v>1125</v>
      </c>
      <c r="F3130" t="s">
        <v>185</v>
      </c>
      <c r="G3130"/>
      <c r="H3130" t="s">
        <v>47</v>
      </c>
      <c r="I3130" t="s">
        <v>30</v>
      </c>
      <c r="J3130" t="s">
        <v>35</v>
      </c>
      <c r="K3130"/>
      <c r="L3130" s="47" t="s">
        <v>180</v>
      </c>
      <c r="M3130" s="47" t="s">
        <v>1135</v>
      </c>
    </row>
    <row r="3131" spans="1:13" ht="15" customHeight="1">
      <c r="A3131" s="47">
        <v>371</v>
      </c>
      <c r="B3131" s="2">
        <v>4185</v>
      </c>
      <c r="C3131" t="s">
        <v>121</v>
      </c>
      <c r="D3131" s="47" t="s">
        <v>1130</v>
      </c>
      <c r="E3131" s="47" t="s">
        <v>1128</v>
      </c>
      <c r="F3131" t="s">
        <v>185</v>
      </c>
      <c r="H3131" t="s">
        <v>47</v>
      </c>
      <c r="I3131" t="s">
        <v>30</v>
      </c>
      <c r="J3131" t="s">
        <v>35</v>
      </c>
      <c r="K3131"/>
      <c r="L3131" s="47" t="s">
        <v>180</v>
      </c>
      <c r="M3131" s="47" t="s">
        <v>197</v>
      </c>
    </row>
    <row r="3132" spans="1:13" ht="15" customHeight="1">
      <c r="A3132" s="47">
        <v>371</v>
      </c>
      <c r="B3132" s="2">
        <v>4186</v>
      </c>
      <c r="C3132" t="s">
        <v>121</v>
      </c>
      <c r="D3132" s="47" t="s">
        <v>1131</v>
      </c>
      <c r="E3132" s="47" t="s">
        <v>1129</v>
      </c>
      <c r="F3132" t="s">
        <v>185</v>
      </c>
      <c r="H3132" t="s">
        <v>47</v>
      </c>
      <c r="I3132" t="s">
        <v>30</v>
      </c>
      <c r="J3132" t="s">
        <v>35</v>
      </c>
      <c r="K3132"/>
      <c r="L3132" s="47" t="s">
        <v>239</v>
      </c>
      <c r="M3132" s="47" t="s">
        <v>1135</v>
      </c>
    </row>
    <row r="3133" spans="1:13" ht="15" customHeight="1">
      <c r="A3133" s="47">
        <v>371</v>
      </c>
      <c r="B3133" s="2">
        <v>4187</v>
      </c>
      <c r="C3133" t="s">
        <v>121</v>
      </c>
      <c r="D3133" s="47" t="s">
        <v>1132</v>
      </c>
      <c r="E3133" s="47" t="s">
        <v>1129</v>
      </c>
      <c r="F3133" t="s">
        <v>185</v>
      </c>
      <c r="H3133" t="s">
        <v>47</v>
      </c>
      <c r="I3133" t="s">
        <v>30</v>
      </c>
      <c r="J3133" t="s">
        <v>35</v>
      </c>
      <c r="K3133"/>
      <c r="L3133" s="47" t="s">
        <v>239</v>
      </c>
      <c r="M3133" s="47" t="s">
        <v>1135</v>
      </c>
    </row>
    <row r="3134" spans="1:13" ht="15" customHeight="1">
      <c r="A3134" s="47">
        <v>371</v>
      </c>
      <c r="B3134" s="2">
        <v>4188</v>
      </c>
      <c r="C3134" t="s">
        <v>121</v>
      </c>
      <c r="D3134" s="2" t="s">
        <v>1127</v>
      </c>
      <c r="E3134" s="47" t="s">
        <v>1126</v>
      </c>
      <c r="F3134" t="s">
        <v>185</v>
      </c>
      <c r="H3134" t="s">
        <v>47</v>
      </c>
      <c r="I3134" t="s">
        <v>30</v>
      </c>
      <c r="J3134" t="s">
        <v>35</v>
      </c>
      <c r="K3134"/>
      <c r="L3134" s="47" t="s">
        <v>314</v>
      </c>
      <c r="M3134" s="47" t="s">
        <v>1136</v>
      </c>
    </row>
    <row r="3135" spans="1:13" ht="15" customHeight="1">
      <c r="A3135" s="47">
        <v>372</v>
      </c>
      <c r="B3135" s="2">
        <v>4189</v>
      </c>
      <c r="C3135" t="s">
        <v>121</v>
      </c>
      <c r="D3135" s="47" t="s">
        <v>1134</v>
      </c>
      <c r="E3135" s="2" t="s">
        <v>1125</v>
      </c>
      <c r="F3135" t="s">
        <v>185</v>
      </c>
      <c r="G3135"/>
      <c r="H3135" t="s">
        <v>47</v>
      </c>
      <c r="I3135" t="s">
        <v>30</v>
      </c>
      <c r="J3135" t="s">
        <v>35</v>
      </c>
      <c r="K3135"/>
      <c r="L3135" s="47" t="s">
        <v>180</v>
      </c>
      <c r="M3135" s="47" t="s">
        <v>1135</v>
      </c>
    </row>
    <row r="3136" spans="1:13" ht="15" customHeight="1">
      <c r="A3136" s="47">
        <v>372</v>
      </c>
      <c r="B3136" s="2">
        <v>4190</v>
      </c>
      <c r="C3136" t="s">
        <v>121</v>
      </c>
      <c r="D3136" s="47" t="s">
        <v>1130</v>
      </c>
      <c r="E3136" s="47" t="s">
        <v>1128</v>
      </c>
      <c r="F3136" t="s">
        <v>185</v>
      </c>
      <c r="H3136" t="s">
        <v>47</v>
      </c>
      <c r="I3136" t="s">
        <v>30</v>
      </c>
      <c r="J3136" t="s">
        <v>35</v>
      </c>
      <c r="K3136"/>
      <c r="L3136" s="47" t="s">
        <v>180</v>
      </c>
      <c r="M3136" s="47" t="s">
        <v>197</v>
      </c>
    </row>
    <row r="3137" spans="1:13" ht="15" customHeight="1">
      <c r="A3137" s="47">
        <v>372</v>
      </c>
      <c r="B3137" s="2">
        <v>4191</v>
      </c>
      <c r="C3137" t="s">
        <v>121</v>
      </c>
      <c r="D3137" s="47" t="s">
        <v>1131</v>
      </c>
      <c r="E3137" s="47" t="s">
        <v>1129</v>
      </c>
      <c r="F3137" t="s">
        <v>185</v>
      </c>
      <c r="H3137" t="s">
        <v>47</v>
      </c>
      <c r="I3137" t="s">
        <v>30</v>
      </c>
      <c r="J3137" t="s">
        <v>35</v>
      </c>
      <c r="K3137"/>
      <c r="L3137" s="47" t="s">
        <v>239</v>
      </c>
      <c r="M3137" s="47" t="s">
        <v>1135</v>
      </c>
    </row>
    <row r="3138" spans="1:13" ht="15" customHeight="1">
      <c r="A3138" s="47">
        <v>372</v>
      </c>
      <c r="B3138" s="2">
        <v>4192</v>
      </c>
      <c r="C3138" t="s">
        <v>121</v>
      </c>
      <c r="D3138" s="47" t="s">
        <v>1132</v>
      </c>
      <c r="E3138" s="47" t="s">
        <v>1129</v>
      </c>
      <c r="F3138" t="s">
        <v>185</v>
      </c>
      <c r="H3138" t="s">
        <v>47</v>
      </c>
      <c r="I3138" t="s">
        <v>30</v>
      </c>
      <c r="J3138" t="s">
        <v>35</v>
      </c>
      <c r="K3138"/>
      <c r="L3138" s="47" t="s">
        <v>239</v>
      </c>
      <c r="M3138" s="47" t="s">
        <v>1135</v>
      </c>
    </row>
    <row r="3139" spans="1:13" ht="15" customHeight="1">
      <c r="A3139" s="47">
        <v>372</v>
      </c>
      <c r="B3139" s="2">
        <v>4193</v>
      </c>
      <c r="C3139" t="s">
        <v>121</v>
      </c>
      <c r="D3139" s="2" t="s">
        <v>1127</v>
      </c>
      <c r="E3139" s="47" t="s">
        <v>1126</v>
      </c>
      <c r="F3139" t="s">
        <v>185</v>
      </c>
      <c r="H3139" t="s">
        <v>47</v>
      </c>
      <c r="I3139" t="s">
        <v>30</v>
      </c>
      <c r="J3139" t="s">
        <v>35</v>
      </c>
      <c r="K3139"/>
      <c r="L3139" s="47" t="s">
        <v>314</v>
      </c>
      <c r="M3139" s="47" t="s">
        <v>1136</v>
      </c>
    </row>
    <row r="3140" spans="1:13" ht="15" customHeight="1">
      <c r="A3140" s="47">
        <v>373</v>
      </c>
      <c r="B3140" s="2">
        <v>4194</v>
      </c>
      <c r="C3140" t="s">
        <v>121</v>
      </c>
      <c r="D3140" s="47" t="s">
        <v>1134</v>
      </c>
      <c r="E3140" s="2" t="s">
        <v>1125</v>
      </c>
      <c r="F3140" t="s">
        <v>185</v>
      </c>
      <c r="G3140"/>
      <c r="H3140" t="s">
        <v>47</v>
      </c>
      <c r="I3140" t="s">
        <v>30</v>
      </c>
      <c r="J3140" t="s">
        <v>35</v>
      </c>
      <c r="K3140"/>
      <c r="L3140" s="47" t="s">
        <v>180</v>
      </c>
      <c r="M3140" s="47" t="s">
        <v>1135</v>
      </c>
    </row>
    <row r="3141" spans="1:13" ht="15" customHeight="1">
      <c r="A3141" s="47">
        <v>373</v>
      </c>
      <c r="B3141" s="2">
        <v>4195</v>
      </c>
      <c r="C3141" t="s">
        <v>121</v>
      </c>
      <c r="D3141" s="47" t="s">
        <v>1130</v>
      </c>
      <c r="E3141" s="47" t="s">
        <v>1128</v>
      </c>
      <c r="F3141" t="s">
        <v>185</v>
      </c>
      <c r="H3141" t="s">
        <v>47</v>
      </c>
      <c r="I3141" t="s">
        <v>30</v>
      </c>
      <c r="J3141" t="s">
        <v>35</v>
      </c>
      <c r="K3141"/>
      <c r="L3141" s="47" t="s">
        <v>180</v>
      </c>
      <c r="M3141" s="47" t="s">
        <v>197</v>
      </c>
    </row>
    <row r="3142" spans="1:13" ht="15" customHeight="1">
      <c r="A3142" s="47">
        <v>373</v>
      </c>
      <c r="B3142" s="2">
        <v>4196</v>
      </c>
      <c r="C3142" t="s">
        <v>121</v>
      </c>
      <c r="D3142" s="47" t="s">
        <v>1131</v>
      </c>
      <c r="E3142" s="47" t="s">
        <v>1129</v>
      </c>
      <c r="F3142" t="s">
        <v>185</v>
      </c>
      <c r="H3142" t="s">
        <v>47</v>
      </c>
      <c r="I3142" t="s">
        <v>30</v>
      </c>
      <c r="J3142" t="s">
        <v>35</v>
      </c>
      <c r="K3142"/>
      <c r="L3142" s="47" t="s">
        <v>239</v>
      </c>
      <c r="M3142" s="47" t="s">
        <v>1135</v>
      </c>
    </row>
    <row r="3143" spans="1:13" ht="15" customHeight="1">
      <c r="A3143" s="47">
        <v>373</v>
      </c>
      <c r="B3143" s="2">
        <v>4197</v>
      </c>
      <c r="C3143" t="s">
        <v>121</v>
      </c>
      <c r="D3143" s="47" t="s">
        <v>1132</v>
      </c>
      <c r="E3143" s="47" t="s">
        <v>1129</v>
      </c>
      <c r="F3143" t="s">
        <v>185</v>
      </c>
      <c r="H3143" t="s">
        <v>47</v>
      </c>
      <c r="I3143" t="s">
        <v>30</v>
      </c>
      <c r="J3143" t="s">
        <v>35</v>
      </c>
      <c r="K3143"/>
      <c r="L3143" s="47" t="s">
        <v>239</v>
      </c>
      <c r="M3143" s="47" t="s">
        <v>1135</v>
      </c>
    </row>
    <row r="3144" spans="1:13" ht="15" customHeight="1">
      <c r="A3144" s="47">
        <v>373</v>
      </c>
      <c r="B3144" s="2">
        <v>4198</v>
      </c>
      <c r="C3144" t="s">
        <v>121</v>
      </c>
      <c r="D3144" s="2" t="s">
        <v>1127</v>
      </c>
      <c r="E3144" s="47" t="s">
        <v>1126</v>
      </c>
      <c r="F3144" t="s">
        <v>185</v>
      </c>
      <c r="H3144" t="s">
        <v>47</v>
      </c>
      <c r="I3144" t="s">
        <v>30</v>
      </c>
      <c r="J3144" t="s">
        <v>35</v>
      </c>
      <c r="K3144"/>
      <c r="L3144" s="47" t="s">
        <v>314</v>
      </c>
      <c r="M3144" s="47" t="s">
        <v>1136</v>
      </c>
    </row>
    <row r="3145" spans="1:13" ht="15" customHeight="1">
      <c r="A3145" s="47">
        <v>374</v>
      </c>
      <c r="B3145" s="2">
        <v>4199</v>
      </c>
      <c r="C3145" t="s">
        <v>121</v>
      </c>
      <c r="D3145" s="47" t="s">
        <v>1134</v>
      </c>
      <c r="E3145" s="2" t="s">
        <v>1125</v>
      </c>
      <c r="F3145" t="s">
        <v>185</v>
      </c>
      <c r="G3145"/>
      <c r="H3145" t="s">
        <v>47</v>
      </c>
      <c r="I3145" t="s">
        <v>30</v>
      </c>
      <c r="J3145" t="s">
        <v>35</v>
      </c>
      <c r="K3145"/>
      <c r="L3145" s="47" t="s">
        <v>180</v>
      </c>
      <c r="M3145" s="47" t="s">
        <v>1135</v>
      </c>
    </row>
    <row r="3146" spans="1:13" ht="15" customHeight="1">
      <c r="A3146" s="47">
        <v>374</v>
      </c>
      <c r="B3146" s="2">
        <v>4200</v>
      </c>
      <c r="C3146" t="s">
        <v>121</v>
      </c>
      <c r="D3146" s="47" t="s">
        <v>1130</v>
      </c>
      <c r="E3146" s="47" t="s">
        <v>1128</v>
      </c>
      <c r="F3146" t="s">
        <v>185</v>
      </c>
      <c r="H3146" t="s">
        <v>47</v>
      </c>
      <c r="I3146" t="s">
        <v>30</v>
      </c>
      <c r="J3146" t="s">
        <v>35</v>
      </c>
      <c r="K3146"/>
      <c r="L3146" s="47" t="s">
        <v>180</v>
      </c>
      <c r="M3146" s="47" t="s">
        <v>197</v>
      </c>
    </row>
    <row r="3147" spans="1:13" ht="15" customHeight="1">
      <c r="A3147" s="47">
        <v>374</v>
      </c>
      <c r="B3147" s="2">
        <v>4201</v>
      </c>
      <c r="C3147" t="s">
        <v>121</v>
      </c>
      <c r="D3147" s="47" t="s">
        <v>1131</v>
      </c>
      <c r="E3147" s="47" t="s">
        <v>1129</v>
      </c>
      <c r="F3147" t="s">
        <v>185</v>
      </c>
      <c r="H3147" t="s">
        <v>47</v>
      </c>
      <c r="I3147" t="s">
        <v>30</v>
      </c>
      <c r="J3147" t="s">
        <v>35</v>
      </c>
      <c r="K3147"/>
      <c r="L3147" s="47" t="s">
        <v>239</v>
      </c>
      <c r="M3147" s="47" t="s">
        <v>1135</v>
      </c>
    </row>
    <row r="3148" spans="1:13" ht="15" customHeight="1">
      <c r="A3148" s="47">
        <v>374</v>
      </c>
      <c r="B3148" s="2">
        <v>4202</v>
      </c>
      <c r="C3148" t="s">
        <v>121</v>
      </c>
      <c r="D3148" s="47" t="s">
        <v>1132</v>
      </c>
      <c r="E3148" s="47" t="s">
        <v>1129</v>
      </c>
      <c r="F3148" t="s">
        <v>185</v>
      </c>
      <c r="H3148" t="s">
        <v>47</v>
      </c>
      <c r="I3148" t="s">
        <v>30</v>
      </c>
      <c r="J3148" t="s">
        <v>35</v>
      </c>
      <c r="K3148"/>
      <c r="L3148" s="47" t="s">
        <v>239</v>
      </c>
      <c r="M3148" s="47" t="s">
        <v>1135</v>
      </c>
    </row>
    <row r="3149" spans="1:13" ht="15" customHeight="1">
      <c r="A3149" s="47">
        <v>374</v>
      </c>
      <c r="B3149" s="2">
        <v>4203</v>
      </c>
      <c r="C3149" t="s">
        <v>121</v>
      </c>
      <c r="D3149" s="2" t="s">
        <v>1127</v>
      </c>
      <c r="E3149" s="47" t="s">
        <v>1126</v>
      </c>
      <c r="F3149" t="s">
        <v>185</v>
      </c>
      <c r="H3149" t="s">
        <v>47</v>
      </c>
      <c r="I3149" t="s">
        <v>30</v>
      </c>
      <c r="J3149" t="s">
        <v>35</v>
      </c>
      <c r="K3149"/>
      <c r="L3149" s="47" t="s">
        <v>314</v>
      </c>
      <c r="M3149" s="47" t="s">
        <v>1136</v>
      </c>
    </row>
    <row r="3150" spans="1:13" ht="15" customHeight="1">
      <c r="A3150" s="47">
        <v>375</v>
      </c>
      <c r="B3150" s="2">
        <v>4204</v>
      </c>
      <c r="C3150" t="s">
        <v>121</v>
      </c>
      <c r="D3150" s="47" t="s">
        <v>1134</v>
      </c>
      <c r="E3150" s="2" t="s">
        <v>1125</v>
      </c>
      <c r="F3150" t="s">
        <v>185</v>
      </c>
      <c r="G3150"/>
      <c r="H3150" t="s">
        <v>47</v>
      </c>
      <c r="I3150" t="s">
        <v>30</v>
      </c>
      <c r="J3150" t="s">
        <v>35</v>
      </c>
      <c r="K3150"/>
      <c r="L3150" s="47" t="s">
        <v>180</v>
      </c>
      <c r="M3150" s="47" t="s">
        <v>1135</v>
      </c>
    </row>
    <row r="3151" spans="1:13" ht="15" customHeight="1">
      <c r="A3151" s="47">
        <v>375</v>
      </c>
      <c r="B3151" s="2">
        <v>4205</v>
      </c>
      <c r="C3151" t="s">
        <v>121</v>
      </c>
      <c r="D3151" s="47" t="s">
        <v>1130</v>
      </c>
      <c r="E3151" s="47" t="s">
        <v>1128</v>
      </c>
      <c r="F3151" t="s">
        <v>185</v>
      </c>
      <c r="H3151" t="s">
        <v>47</v>
      </c>
      <c r="I3151" t="s">
        <v>30</v>
      </c>
      <c r="J3151" t="s">
        <v>35</v>
      </c>
      <c r="K3151"/>
      <c r="L3151" s="47" t="s">
        <v>180</v>
      </c>
      <c r="M3151" s="47" t="s">
        <v>197</v>
      </c>
    </row>
    <row r="3152" spans="1:13" ht="15" customHeight="1">
      <c r="A3152" s="47">
        <v>375</v>
      </c>
      <c r="B3152" s="2">
        <v>4206</v>
      </c>
      <c r="C3152" t="s">
        <v>121</v>
      </c>
      <c r="D3152" s="47" t="s">
        <v>1131</v>
      </c>
      <c r="E3152" s="47" t="s">
        <v>1129</v>
      </c>
      <c r="F3152" t="s">
        <v>185</v>
      </c>
      <c r="H3152" t="s">
        <v>47</v>
      </c>
      <c r="I3152" t="s">
        <v>30</v>
      </c>
      <c r="J3152" t="s">
        <v>35</v>
      </c>
      <c r="K3152"/>
      <c r="L3152" s="47" t="s">
        <v>239</v>
      </c>
      <c r="M3152" s="47" t="s">
        <v>1135</v>
      </c>
    </row>
    <row r="3153" spans="1:13" ht="15" customHeight="1">
      <c r="A3153" s="47">
        <v>375</v>
      </c>
      <c r="B3153" s="2">
        <v>4207</v>
      </c>
      <c r="C3153" t="s">
        <v>121</v>
      </c>
      <c r="D3153" s="47" t="s">
        <v>1132</v>
      </c>
      <c r="E3153" s="47" t="s">
        <v>1129</v>
      </c>
      <c r="F3153" t="s">
        <v>185</v>
      </c>
      <c r="H3153" t="s">
        <v>47</v>
      </c>
      <c r="I3153" t="s">
        <v>30</v>
      </c>
      <c r="J3153" t="s">
        <v>35</v>
      </c>
      <c r="K3153"/>
      <c r="L3153" s="47" t="s">
        <v>239</v>
      </c>
      <c r="M3153" s="47" t="s">
        <v>1135</v>
      </c>
    </row>
    <row r="3154" spans="1:13" ht="15" customHeight="1">
      <c r="A3154" s="47">
        <v>375</v>
      </c>
      <c r="B3154" s="2">
        <v>4208</v>
      </c>
      <c r="C3154" t="s">
        <v>121</v>
      </c>
      <c r="D3154" s="2" t="s">
        <v>1127</v>
      </c>
      <c r="E3154" s="47" t="s">
        <v>1126</v>
      </c>
      <c r="F3154" t="s">
        <v>185</v>
      </c>
      <c r="H3154" t="s">
        <v>47</v>
      </c>
      <c r="I3154" t="s">
        <v>30</v>
      </c>
      <c r="J3154" t="s">
        <v>35</v>
      </c>
      <c r="K3154"/>
      <c r="L3154" s="47" t="s">
        <v>314</v>
      </c>
      <c r="M3154" s="47" t="s">
        <v>1136</v>
      </c>
    </row>
    <row r="3155" spans="1:13" ht="15" customHeight="1">
      <c r="A3155" s="47">
        <v>376</v>
      </c>
      <c r="B3155" s="2">
        <v>4209</v>
      </c>
      <c r="C3155" t="s">
        <v>121</v>
      </c>
      <c r="D3155" s="47" t="s">
        <v>1134</v>
      </c>
      <c r="E3155" s="2" t="s">
        <v>1125</v>
      </c>
      <c r="F3155" t="s">
        <v>185</v>
      </c>
      <c r="G3155"/>
      <c r="H3155" t="s">
        <v>47</v>
      </c>
      <c r="I3155" t="s">
        <v>30</v>
      </c>
      <c r="J3155" t="s">
        <v>35</v>
      </c>
      <c r="K3155"/>
      <c r="L3155" s="47" t="s">
        <v>180</v>
      </c>
      <c r="M3155" s="47" t="s">
        <v>1135</v>
      </c>
    </row>
    <row r="3156" spans="1:13" ht="15" customHeight="1">
      <c r="A3156" s="47">
        <v>376</v>
      </c>
      <c r="B3156" s="2">
        <v>4210</v>
      </c>
      <c r="C3156" t="s">
        <v>121</v>
      </c>
      <c r="D3156" s="47" t="s">
        <v>1130</v>
      </c>
      <c r="E3156" s="47" t="s">
        <v>1128</v>
      </c>
      <c r="F3156" t="s">
        <v>185</v>
      </c>
      <c r="H3156" t="s">
        <v>47</v>
      </c>
      <c r="I3156" t="s">
        <v>30</v>
      </c>
      <c r="J3156" t="s">
        <v>35</v>
      </c>
      <c r="K3156"/>
      <c r="L3156" s="47" t="s">
        <v>180</v>
      </c>
      <c r="M3156" s="47" t="s">
        <v>197</v>
      </c>
    </row>
    <row r="3157" spans="1:13" ht="15" customHeight="1">
      <c r="A3157" s="47">
        <v>376</v>
      </c>
      <c r="B3157" s="2">
        <v>4211</v>
      </c>
      <c r="C3157" t="s">
        <v>121</v>
      </c>
      <c r="D3157" s="47" t="s">
        <v>1131</v>
      </c>
      <c r="E3157" s="47" t="s">
        <v>1129</v>
      </c>
      <c r="F3157" t="s">
        <v>185</v>
      </c>
      <c r="H3157" t="s">
        <v>47</v>
      </c>
      <c r="I3157" t="s">
        <v>30</v>
      </c>
      <c r="J3157" t="s">
        <v>35</v>
      </c>
      <c r="K3157"/>
      <c r="L3157" s="47" t="s">
        <v>239</v>
      </c>
      <c r="M3157" s="47" t="s">
        <v>1135</v>
      </c>
    </row>
    <row r="3158" spans="1:13" ht="15" customHeight="1">
      <c r="A3158" s="47">
        <v>376</v>
      </c>
      <c r="B3158" s="2">
        <v>4212</v>
      </c>
      <c r="C3158" t="s">
        <v>121</v>
      </c>
      <c r="D3158" s="47" t="s">
        <v>1132</v>
      </c>
      <c r="E3158" s="47" t="s">
        <v>1129</v>
      </c>
      <c r="F3158" t="s">
        <v>185</v>
      </c>
      <c r="H3158" t="s">
        <v>47</v>
      </c>
      <c r="I3158" t="s">
        <v>30</v>
      </c>
      <c r="J3158" t="s">
        <v>35</v>
      </c>
      <c r="K3158"/>
      <c r="L3158" s="47" t="s">
        <v>239</v>
      </c>
      <c r="M3158" s="47" t="s">
        <v>1135</v>
      </c>
    </row>
    <row r="3159" spans="1:13" ht="15" customHeight="1">
      <c r="A3159" s="47">
        <v>376</v>
      </c>
      <c r="B3159" s="2">
        <v>4213</v>
      </c>
      <c r="C3159" t="s">
        <v>121</v>
      </c>
      <c r="D3159" s="2" t="s">
        <v>1127</v>
      </c>
      <c r="E3159" s="47" t="s">
        <v>1126</v>
      </c>
      <c r="F3159" t="s">
        <v>185</v>
      </c>
      <c r="H3159" t="s">
        <v>47</v>
      </c>
      <c r="I3159" t="s">
        <v>30</v>
      </c>
      <c r="J3159" t="s">
        <v>35</v>
      </c>
      <c r="K3159"/>
      <c r="L3159" s="47" t="s">
        <v>314</v>
      </c>
      <c r="M3159" s="47" t="s">
        <v>1136</v>
      </c>
    </row>
    <row r="3160" spans="1:13" ht="15" customHeight="1">
      <c r="A3160" s="47">
        <v>377</v>
      </c>
      <c r="B3160" s="2">
        <v>4214</v>
      </c>
      <c r="C3160" t="s">
        <v>121</v>
      </c>
      <c r="D3160" s="47" t="s">
        <v>1134</v>
      </c>
      <c r="E3160" s="2" t="s">
        <v>1125</v>
      </c>
      <c r="F3160" t="s">
        <v>185</v>
      </c>
      <c r="G3160"/>
      <c r="H3160" t="s">
        <v>47</v>
      </c>
      <c r="I3160" t="s">
        <v>30</v>
      </c>
      <c r="J3160" t="s">
        <v>35</v>
      </c>
      <c r="K3160"/>
      <c r="L3160" s="47" t="s">
        <v>180</v>
      </c>
      <c r="M3160" s="47" t="s">
        <v>1135</v>
      </c>
    </row>
    <row r="3161" spans="1:13" ht="15" customHeight="1">
      <c r="A3161" s="47">
        <v>377</v>
      </c>
      <c r="B3161" s="2">
        <v>4215</v>
      </c>
      <c r="C3161" t="s">
        <v>121</v>
      </c>
      <c r="D3161" s="47" t="s">
        <v>1130</v>
      </c>
      <c r="E3161" s="47" t="s">
        <v>1128</v>
      </c>
      <c r="F3161" t="s">
        <v>185</v>
      </c>
      <c r="H3161" t="s">
        <v>47</v>
      </c>
      <c r="I3161" t="s">
        <v>30</v>
      </c>
      <c r="J3161" t="s">
        <v>35</v>
      </c>
      <c r="K3161"/>
      <c r="L3161" s="47" t="s">
        <v>180</v>
      </c>
      <c r="M3161" s="47" t="s">
        <v>197</v>
      </c>
    </row>
    <row r="3162" spans="1:13" ht="15" customHeight="1">
      <c r="A3162" s="47">
        <v>377</v>
      </c>
      <c r="B3162" s="2">
        <v>4216</v>
      </c>
      <c r="C3162" t="s">
        <v>121</v>
      </c>
      <c r="D3162" s="47" t="s">
        <v>1131</v>
      </c>
      <c r="E3162" s="47" t="s">
        <v>1129</v>
      </c>
      <c r="F3162" t="s">
        <v>185</v>
      </c>
      <c r="H3162" t="s">
        <v>47</v>
      </c>
      <c r="I3162" t="s">
        <v>30</v>
      </c>
      <c r="J3162" t="s">
        <v>35</v>
      </c>
      <c r="K3162"/>
      <c r="L3162" s="47" t="s">
        <v>239</v>
      </c>
      <c r="M3162" s="47" t="s">
        <v>1135</v>
      </c>
    </row>
    <row r="3163" spans="1:13" ht="15" customHeight="1">
      <c r="A3163" s="47">
        <v>377</v>
      </c>
      <c r="B3163" s="2">
        <v>4217</v>
      </c>
      <c r="C3163" t="s">
        <v>121</v>
      </c>
      <c r="D3163" s="47" t="s">
        <v>1132</v>
      </c>
      <c r="E3163" s="47" t="s">
        <v>1129</v>
      </c>
      <c r="F3163" t="s">
        <v>185</v>
      </c>
      <c r="H3163" t="s">
        <v>47</v>
      </c>
      <c r="I3163" t="s">
        <v>30</v>
      </c>
      <c r="J3163" t="s">
        <v>35</v>
      </c>
      <c r="K3163"/>
      <c r="L3163" s="47" t="s">
        <v>239</v>
      </c>
      <c r="M3163" s="47" t="s">
        <v>1135</v>
      </c>
    </row>
    <row r="3164" spans="1:13" ht="15" customHeight="1">
      <c r="A3164" s="47">
        <v>377</v>
      </c>
      <c r="B3164" s="2">
        <v>4218</v>
      </c>
      <c r="C3164" t="s">
        <v>121</v>
      </c>
      <c r="D3164" s="2" t="s">
        <v>1127</v>
      </c>
      <c r="E3164" s="47" t="s">
        <v>1126</v>
      </c>
      <c r="F3164" t="s">
        <v>185</v>
      </c>
      <c r="H3164" t="s">
        <v>47</v>
      </c>
      <c r="I3164" t="s">
        <v>30</v>
      </c>
      <c r="J3164" t="s">
        <v>35</v>
      </c>
      <c r="K3164"/>
      <c r="L3164" s="47" t="s">
        <v>314</v>
      </c>
      <c r="M3164" s="47" t="s">
        <v>1136</v>
      </c>
    </row>
    <row r="3165" spans="1:13" ht="15" customHeight="1">
      <c r="A3165" s="47">
        <v>378</v>
      </c>
      <c r="B3165" s="2">
        <v>4219</v>
      </c>
      <c r="C3165" t="s">
        <v>121</v>
      </c>
      <c r="D3165" s="47" t="s">
        <v>1134</v>
      </c>
      <c r="E3165" s="2" t="s">
        <v>1125</v>
      </c>
      <c r="F3165" t="s">
        <v>185</v>
      </c>
      <c r="G3165"/>
      <c r="H3165" t="s">
        <v>47</v>
      </c>
      <c r="I3165" t="s">
        <v>30</v>
      </c>
      <c r="J3165" t="s">
        <v>35</v>
      </c>
      <c r="K3165"/>
      <c r="L3165" s="47" t="s">
        <v>180</v>
      </c>
      <c r="M3165" s="47" t="s">
        <v>1135</v>
      </c>
    </row>
    <row r="3166" spans="1:13" ht="15" customHeight="1">
      <c r="A3166" s="47">
        <v>378</v>
      </c>
      <c r="B3166" s="2">
        <v>4220</v>
      </c>
      <c r="C3166" t="s">
        <v>121</v>
      </c>
      <c r="D3166" s="47" t="s">
        <v>1130</v>
      </c>
      <c r="E3166" s="47" t="s">
        <v>1128</v>
      </c>
      <c r="F3166" t="s">
        <v>185</v>
      </c>
      <c r="H3166" t="s">
        <v>47</v>
      </c>
      <c r="I3166" t="s">
        <v>30</v>
      </c>
      <c r="J3166" t="s">
        <v>35</v>
      </c>
      <c r="K3166"/>
      <c r="L3166" s="47" t="s">
        <v>180</v>
      </c>
      <c r="M3166" s="47" t="s">
        <v>197</v>
      </c>
    </row>
    <row r="3167" spans="1:13" ht="15" customHeight="1">
      <c r="A3167" s="47">
        <v>378</v>
      </c>
      <c r="B3167" s="2">
        <v>4221</v>
      </c>
      <c r="C3167" t="s">
        <v>121</v>
      </c>
      <c r="D3167" s="47" t="s">
        <v>1131</v>
      </c>
      <c r="E3167" s="47" t="s">
        <v>1129</v>
      </c>
      <c r="F3167" t="s">
        <v>185</v>
      </c>
      <c r="H3167" t="s">
        <v>47</v>
      </c>
      <c r="I3167" t="s">
        <v>30</v>
      </c>
      <c r="J3167" t="s">
        <v>35</v>
      </c>
      <c r="K3167"/>
      <c r="L3167" s="47" t="s">
        <v>239</v>
      </c>
      <c r="M3167" s="47" t="s">
        <v>1135</v>
      </c>
    </row>
    <row r="3168" spans="1:13" ht="15" customHeight="1">
      <c r="A3168" s="47">
        <v>378</v>
      </c>
      <c r="B3168" s="2">
        <v>4222</v>
      </c>
      <c r="C3168" t="s">
        <v>121</v>
      </c>
      <c r="D3168" s="47" t="s">
        <v>1132</v>
      </c>
      <c r="E3168" s="47" t="s">
        <v>1129</v>
      </c>
      <c r="F3168" t="s">
        <v>185</v>
      </c>
      <c r="H3168" t="s">
        <v>47</v>
      </c>
      <c r="I3168" t="s">
        <v>30</v>
      </c>
      <c r="J3168" t="s">
        <v>35</v>
      </c>
      <c r="K3168"/>
      <c r="L3168" s="47" t="s">
        <v>239</v>
      </c>
      <c r="M3168" s="47" t="s">
        <v>1135</v>
      </c>
    </row>
    <row r="3169" spans="1:13" ht="15" customHeight="1">
      <c r="A3169" s="47">
        <v>378</v>
      </c>
      <c r="B3169" s="2">
        <v>4223</v>
      </c>
      <c r="C3169" t="s">
        <v>121</v>
      </c>
      <c r="D3169" s="2" t="s">
        <v>1127</v>
      </c>
      <c r="E3169" s="47" t="s">
        <v>1126</v>
      </c>
      <c r="F3169" t="s">
        <v>185</v>
      </c>
      <c r="H3169" t="s">
        <v>47</v>
      </c>
      <c r="I3169" t="s">
        <v>30</v>
      </c>
      <c r="J3169" t="s">
        <v>35</v>
      </c>
      <c r="K3169"/>
      <c r="L3169" s="47" t="s">
        <v>314</v>
      </c>
      <c r="M3169" s="47" t="s">
        <v>1136</v>
      </c>
    </row>
    <row r="3170" spans="1:13" ht="15" customHeight="1">
      <c r="A3170" s="47">
        <v>379</v>
      </c>
      <c r="B3170" s="2">
        <v>4224</v>
      </c>
      <c r="C3170" t="s">
        <v>121</v>
      </c>
      <c r="D3170" s="47" t="s">
        <v>1134</v>
      </c>
      <c r="E3170" s="2" t="s">
        <v>1125</v>
      </c>
      <c r="F3170" t="s">
        <v>185</v>
      </c>
      <c r="G3170"/>
      <c r="H3170" t="s">
        <v>47</v>
      </c>
      <c r="I3170" t="s">
        <v>30</v>
      </c>
      <c r="J3170" t="s">
        <v>35</v>
      </c>
      <c r="K3170"/>
      <c r="L3170" s="47" t="s">
        <v>180</v>
      </c>
      <c r="M3170" s="47" t="s">
        <v>1135</v>
      </c>
    </row>
    <row r="3171" spans="1:13" ht="15" customHeight="1">
      <c r="A3171" s="47">
        <v>379</v>
      </c>
      <c r="B3171" s="2">
        <v>4225</v>
      </c>
      <c r="C3171" t="s">
        <v>121</v>
      </c>
      <c r="D3171" s="47" t="s">
        <v>1130</v>
      </c>
      <c r="E3171" s="47" t="s">
        <v>1128</v>
      </c>
      <c r="F3171" t="s">
        <v>185</v>
      </c>
      <c r="H3171" t="s">
        <v>47</v>
      </c>
      <c r="I3171" t="s">
        <v>30</v>
      </c>
      <c r="J3171" t="s">
        <v>35</v>
      </c>
      <c r="K3171"/>
      <c r="L3171" s="47" t="s">
        <v>180</v>
      </c>
      <c r="M3171" s="47" t="s">
        <v>197</v>
      </c>
    </row>
    <row r="3172" spans="1:13" ht="15" customHeight="1">
      <c r="A3172" s="47">
        <v>379</v>
      </c>
      <c r="B3172" s="2">
        <v>4226</v>
      </c>
      <c r="C3172" t="s">
        <v>121</v>
      </c>
      <c r="D3172" s="47" t="s">
        <v>1131</v>
      </c>
      <c r="E3172" s="47" t="s">
        <v>1129</v>
      </c>
      <c r="F3172" t="s">
        <v>185</v>
      </c>
      <c r="H3172" t="s">
        <v>47</v>
      </c>
      <c r="I3172" t="s">
        <v>30</v>
      </c>
      <c r="J3172" t="s">
        <v>35</v>
      </c>
      <c r="K3172"/>
      <c r="L3172" s="47" t="s">
        <v>239</v>
      </c>
      <c r="M3172" s="47" t="s">
        <v>1135</v>
      </c>
    </row>
    <row r="3173" spans="1:13" ht="15" customHeight="1">
      <c r="A3173" s="47">
        <v>379</v>
      </c>
      <c r="B3173" s="2">
        <v>4227</v>
      </c>
      <c r="C3173" t="s">
        <v>121</v>
      </c>
      <c r="D3173" s="47" t="s">
        <v>1132</v>
      </c>
      <c r="E3173" s="47" t="s">
        <v>1129</v>
      </c>
      <c r="F3173" t="s">
        <v>185</v>
      </c>
      <c r="H3173" t="s">
        <v>47</v>
      </c>
      <c r="I3173" t="s">
        <v>30</v>
      </c>
      <c r="J3173" t="s">
        <v>35</v>
      </c>
      <c r="K3173"/>
      <c r="L3173" s="47" t="s">
        <v>239</v>
      </c>
      <c r="M3173" s="47" t="s">
        <v>1135</v>
      </c>
    </row>
    <row r="3174" spans="1:13" ht="15" customHeight="1">
      <c r="A3174" s="47">
        <v>379</v>
      </c>
      <c r="B3174" s="2">
        <v>4228</v>
      </c>
      <c r="C3174" t="s">
        <v>121</v>
      </c>
      <c r="D3174" s="2" t="s">
        <v>1127</v>
      </c>
      <c r="E3174" s="47" t="s">
        <v>1126</v>
      </c>
      <c r="F3174" t="s">
        <v>185</v>
      </c>
      <c r="H3174" t="s">
        <v>47</v>
      </c>
      <c r="I3174" t="s">
        <v>30</v>
      </c>
      <c r="J3174" t="s">
        <v>35</v>
      </c>
      <c r="K3174"/>
      <c r="L3174" s="47" t="s">
        <v>314</v>
      </c>
      <c r="M3174" s="47" t="s">
        <v>1136</v>
      </c>
    </row>
    <row r="3175" spans="1:13" ht="15" customHeight="1">
      <c r="A3175" s="47">
        <v>380</v>
      </c>
      <c r="B3175" s="2">
        <v>4229</v>
      </c>
      <c r="C3175" t="s">
        <v>121</v>
      </c>
      <c r="D3175" s="47" t="s">
        <v>1134</v>
      </c>
      <c r="E3175" s="2" t="s">
        <v>1125</v>
      </c>
      <c r="F3175" t="s">
        <v>185</v>
      </c>
      <c r="G3175"/>
      <c r="H3175" t="s">
        <v>47</v>
      </c>
      <c r="I3175" t="s">
        <v>30</v>
      </c>
      <c r="J3175" t="s">
        <v>35</v>
      </c>
      <c r="K3175"/>
      <c r="L3175" s="47" t="s">
        <v>180</v>
      </c>
      <c r="M3175" s="47" t="s">
        <v>1135</v>
      </c>
    </row>
    <row r="3176" spans="1:13" ht="15" customHeight="1">
      <c r="A3176" s="47">
        <v>380</v>
      </c>
      <c r="B3176" s="2">
        <v>4230</v>
      </c>
      <c r="C3176" t="s">
        <v>121</v>
      </c>
      <c r="D3176" s="47" t="s">
        <v>1130</v>
      </c>
      <c r="E3176" s="47" t="s">
        <v>1128</v>
      </c>
      <c r="F3176" t="s">
        <v>185</v>
      </c>
      <c r="H3176" t="s">
        <v>47</v>
      </c>
      <c r="I3176" t="s">
        <v>30</v>
      </c>
      <c r="J3176" t="s">
        <v>35</v>
      </c>
      <c r="K3176"/>
      <c r="L3176" s="47" t="s">
        <v>180</v>
      </c>
      <c r="M3176" s="47" t="s">
        <v>197</v>
      </c>
    </row>
    <row r="3177" spans="1:13" ht="15" customHeight="1">
      <c r="A3177" s="47">
        <v>380</v>
      </c>
      <c r="B3177" s="2">
        <v>4231</v>
      </c>
      <c r="C3177" t="s">
        <v>121</v>
      </c>
      <c r="D3177" s="47" t="s">
        <v>1131</v>
      </c>
      <c r="E3177" s="47" t="s">
        <v>1129</v>
      </c>
      <c r="F3177" t="s">
        <v>185</v>
      </c>
      <c r="H3177" t="s">
        <v>47</v>
      </c>
      <c r="I3177" t="s">
        <v>30</v>
      </c>
      <c r="J3177" t="s">
        <v>35</v>
      </c>
      <c r="K3177"/>
      <c r="L3177" s="47" t="s">
        <v>239</v>
      </c>
      <c r="M3177" s="47" t="s">
        <v>1135</v>
      </c>
    </row>
    <row r="3178" spans="1:13" ht="15" customHeight="1">
      <c r="A3178" s="47">
        <v>380</v>
      </c>
      <c r="B3178" s="2">
        <v>4232</v>
      </c>
      <c r="C3178" t="s">
        <v>121</v>
      </c>
      <c r="D3178" s="47" t="s">
        <v>1132</v>
      </c>
      <c r="E3178" s="47" t="s">
        <v>1129</v>
      </c>
      <c r="F3178" t="s">
        <v>185</v>
      </c>
      <c r="H3178" t="s">
        <v>47</v>
      </c>
      <c r="I3178" t="s">
        <v>30</v>
      </c>
      <c r="J3178" t="s">
        <v>35</v>
      </c>
      <c r="K3178"/>
      <c r="L3178" s="47" t="s">
        <v>239</v>
      </c>
      <c r="M3178" s="47" t="s">
        <v>1135</v>
      </c>
    </row>
    <row r="3179" spans="1:13" ht="15" customHeight="1">
      <c r="A3179" s="47">
        <v>380</v>
      </c>
      <c r="B3179" s="2">
        <v>4233</v>
      </c>
      <c r="C3179" t="s">
        <v>121</v>
      </c>
      <c r="D3179" s="2" t="s">
        <v>1127</v>
      </c>
      <c r="E3179" s="47" t="s">
        <v>1126</v>
      </c>
      <c r="F3179" t="s">
        <v>185</v>
      </c>
      <c r="H3179" t="s">
        <v>47</v>
      </c>
      <c r="I3179" t="s">
        <v>30</v>
      </c>
      <c r="J3179" t="s">
        <v>35</v>
      </c>
      <c r="K3179"/>
      <c r="L3179" s="47" t="s">
        <v>314</v>
      </c>
      <c r="M3179" s="47" t="s">
        <v>1136</v>
      </c>
    </row>
    <row r="3180" spans="1:13" ht="15" customHeight="1">
      <c r="A3180" s="47">
        <v>381</v>
      </c>
      <c r="B3180" s="2">
        <v>4234</v>
      </c>
      <c r="C3180" t="s">
        <v>121</v>
      </c>
      <c r="D3180" s="47" t="s">
        <v>1134</v>
      </c>
      <c r="E3180" s="2" t="s">
        <v>1125</v>
      </c>
      <c r="F3180" t="s">
        <v>185</v>
      </c>
      <c r="G3180"/>
      <c r="H3180" t="s">
        <v>47</v>
      </c>
      <c r="I3180" t="s">
        <v>30</v>
      </c>
      <c r="J3180" t="s">
        <v>35</v>
      </c>
      <c r="K3180"/>
      <c r="L3180" s="47" t="s">
        <v>180</v>
      </c>
      <c r="M3180" s="47" t="s">
        <v>1135</v>
      </c>
    </row>
    <row r="3181" spans="1:13" ht="15" customHeight="1">
      <c r="A3181" s="47">
        <v>381</v>
      </c>
      <c r="B3181" s="2">
        <v>4235</v>
      </c>
      <c r="C3181" t="s">
        <v>121</v>
      </c>
      <c r="D3181" s="47" t="s">
        <v>1130</v>
      </c>
      <c r="E3181" s="47" t="s">
        <v>1128</v>
      </c>
      <c r="F3181" t="s">
        <v>185</v>
      </c>
      <c r="H3181" t="s">
        <v>47</v>
      </c>
      <c r="I3181" t="s">
        <v>30</v>
      </c>
      <c r="J3181" t="s">
        <v>35</v>
      </c>
      <c r="K3181"/>
      <c r="L3181" s="47" t="s">
        <v>180</v>
      </c>
      <c r="M3181" s="47" t="s">
        <v>197</v>
      </c>
    </row>
    <row r="3182" spans="1:13" ht="15" customHeight="1">
      <c r="A3182" s="47">
        <v>381</v>
      </c>
      <c r="B3182" s="2">
        <v>4236</v>
      </c>
      <c r="C3182" t="s">
        <v>121</v>
      </c>
      <c r="D3182" s="47" t="s">
        <v>1131</v>
      </c>
      <c r="E3182" s="47" t="s">
        <v>1129</v>
      </c>
      <c r="F3182" t="s">
        <v>185</v>
      </c>
      <c r="H3182" t="s">
        <v>47</v>
      </c>
      <c r="I3182" t="s">
        <v>30</v>
      </c>
      <c r="J3182" t="s">
        <v>35</v>
      </c>
      <c r="K3182"/>
      <c r="L3182" s="47" t="s">
        <v>239</v>
      </c>
      <c r="M3182" s="47" t="s">
        <v>1135</v>
      </c>
    </row>
    <row r="3183" spans="1:13" ht="15" customHeight="1">
      <c r="A3183" s="47">
        <v>381</v>
      </c>
      <c r="B3183" s="2">
        <v>4237</v>
      </c>
      <c r="C3183" t="s">
        <v>121</v>
      </c>
      <c r="D3183" s="47" t="s">
        <v>1132</v>
      </c>
      <c r="E3183" s="47" t="s">
        <v>1129</v>
      </c>
      <c r="F3183" t="s">
        <v>185</v>
      </c>
      <c r="H3183" t="s">
        <v>47</v>
      </c>
      <c r="I3183" t="s">
        <v>30</v>
      </c>
      <c r="J3183" t="s">
        <v>35</v>
      </c>
      <c r="K3183"/>
      <c r="L3183" s="47" t="s">
        <v>239</v>
      </c>
      <c r="M3183" s="47" t="s">
        <v>1135</v>
      </c>
    </row>
    <row r="3184" spans="1:13" ht="15" customHeight="1">
      <c r="A3184" s="47">
        <v>381</v>
      </c>
      <c r="B3184" s="2">
        <v>4238</v>
      </c>
      <c r="C3184" t="s">
        <v>121</v>
      </c>
      <c r="D3184" s="2" t="s">
        <v>1127</v>
      </c>
      <c r="E3184" s="47" t="s">
        <v>1126</v>
      </c>
      <c r="F3184" t="s">
        <v>185</v>
      </c>
      <c r="H3184" t="s">
        <v>47</v>
      </c>
      <c r="I3184" t="s">
        <v>30</v>
      </c>
      <c r="J3184" t="s">
        <v>35</v>
      </c>
      <c r="K3184"/>
      <c r="L3184" s="47" t="s">
        <v>314</v>
      </c>
      <c r="M3184" s="47" t="s">
        <v>1136</v>
      </c>
    </row>
    <row r="3185" spans="1:13" ht="15" customHeight="1">
      <c r="A3185" s="47">
        <v>382</v>
      </c>
      <c r="B3185" s="2">
        <v>4239</v>
      </c>
      <c r="C3185" t="s">
        <v>121</v>
      </c>
      <c r="D3185" s="47" t="s">
        <v>1134</v>
      </c>
      <c r="E3185" s="2" t="s">
        <v>1125</v>
      </c>
      <c r="F3185" t="s">
        <v>185</v>
      </c>
      <c r="G3185"/>
      <c r="H3185" t="s">
        <v>47</v>
      </c>
      <c r="I3185" t="s">
        <v>30</v>
      </c>
      <c r="J3185" t="s">
        <v>35</v>
      </c>
      <c r="K3185"/>
      <c r="L3185" s="47" t="s">
        <v>180</v>
      </c>
      <c r="M3185" s="47" t="s">
        <v>1135</v>
      </c>
    </row>
    <row r="3186" spans="1:13" ht="15" customHeight="1">
      <c r="A3186" s="47">
        <v>382</v>
      </c>
      <c r="B3186" s="2">
        <v>4240</v>
      </c>
      <c r="C3186" t="s">
        <v>121</v>
      </c>
      <c r="D3186" s="47" t="s">
        <v>1130</v>
      </c>
      <c r="E3186" s="47" t="s">
        <v>1128</v>
      </c>
      <c r="F3186" t="s">
        <v>185</v>
      </c>
      <c r="H3186" t="s">
        <v>47</v>
      </c>
      <c r="I3186" t="s">
        <v>30</v>
      </c>
      <c r="J3186" t="s">
        <v>35</v>
      </c>
      <c r="K3186"/>
      <c r="L3186" s="47" t="s">
        <v>180</v>
      </c>
      <c r="M3186" s="47" t="s">
        <v>197</v>
      </c>
    </row>
    <row r="3187" spans="1:13" ht="15" customHeight="1">
      <c r="A3187" s="47">
        <v>382</v>
      </c>
      <c r="B3187" s="2">
        <v>4241</v>
      </c>
      <c r="C3187" t="s">
        <v>121</v>
      </c>
      <c r="D3187" s="47" t="s">
        <v>1131</v>
      </c>
      <c r="E3187" s="47" t="s">
        <v>1129</v>
      </c>
      <c r="F3187" t="s">
        <v>185</v>
      </c>
      <c r="H3187" t="s">
        <v>47</v>
      </c>
      <c r="I3187" t="s">
        <v>30</v>
      </c>
      <c r="J3187" t="s">
        <v>35</v>
      </c>
      <c r="K3187"/>
      <c r="L3187" s="47" t="s">
        <v>239</v>
      </c>
      <c r="M3187" s="47" t="s">
        <v>1135</v>
      </c>
    </row>
    <row r="3188" spans="1:13" ht="15" customHeight="1">
      <c r="A3188" s="47">
        <v>382</v>
      </c>
      <c r="B3188" s="2">
        <v>4242</v>
      </c>
      <c r="C3188" t="s">
        <v>121</v>
      </c>
      <c r="D3188" s="47" t="s">
        <v>1132</v>
      </c>
      <c r="E3188" s="47" t="s">
        <v>1129</v>
      </c>
      <c r="F3188" t="s">
        <v>185</v>
      </c>
      <c r="H3188" t="s">
        <v>47</v>
      </c>
      <c r="I3188" t="s">
        <v>30</v>
      </c>
      <c r="J3188" t="s">
        <v>35</v>
      </c>
      <c r="K3188"/>
      <c r="L3188" s="47" t="s">
        <v>239</v>
      </c>
      <c r="M3188" s="47" t="s">
        <v>1135</v>
      </c>
    </row>
    <row r="3189" spans="1:13" ht="15" customHeight="1">
      <c r="A3189" s="47">
        <v>382</v>
      </c>
      <c r="B3189" s="2">
        <v>4243</v>
      </c>
      <c r="C3189" t="s">
        <v>121</v>
      </c>
      <c r="D3189" s="2" t="s">
        <v>1127</v>
      </c>
      <c r="E3189" s="47" t="s">
        <v>1126</v>
      </c>
      <c r="F3189" t="s">
        <v>185</v>
      </c>
      <c r="H3189" t="s">
        <v>47</v>
      </c>
      <c r="I3189" t="s">
        <v>30</v>
      </c>
      <c r="J3189" t="s">
        <v>35</v>
      </c>
      <c r="K3189"/>
      <c r="L3189" s="47" t="s">
        <v>314</v>
      </c>
      <c r="M3189" s="47" t="s">
        <v>1136</v>
      </c>
    </row>
    <row r="3190" spans="1:13" ht="15" customHeight="1">
      <c r="A3190" s="47">
        <v>383</v>
      </c>
      <c r="B3190" s="2">
        <v>4244</v>
      </c>
      <c r="C3190" t="s">
        <v>121</v>
      </c>
      <c r="D3190" s="47" t="s">
        <v>1134</v>
      </c>
      <c r="E3190" s="2" t="s">
        <v>1125</v>
      </c>
      <c r="F3190" t="s">
        <v>185</v>
      </c>
      <c r="G3190"/>
      <c r="H3190" t="s">
        <v>47</v>
      </c>
      <c r="I3190" t="s">
        <v>30</v>
      </c>
      <c r="J3190" t="s">
        <v>35</v>
      </c>
      <c r="K3190"/>
      <c r="L3190" s="47" t="s">
        <v>180</v>
      </c>
      <c r="M3190" s="47" t="s">
        <v>1135</v>
      </c>
    </row>
    <row r="3191" spans="1:13" ht="15" customHeight="1">
      <c r="A3191" s="47">
        <v>383</v>
      </c>
      <c r="B3191" s="2">
        <v>4245</v>
      </c>
      <c r="C3191" t="s">
        <v>121</v>
      </c>
      <c r="D3191" s="47" t="s">
        <v>1130</v>
      </c>
      <c r="E3191" s="47" t="s">
        <v>1128</v>
      </c>
      <c r="F3191" t="s">
        <v>185</v>
      </c>
      <c r="H3191" t="s">
        <v>47</v>
      </c>
      <c r="I3191" t="s">
        <v>30</v>
      </c>
      <c r="J3191" t="s">
        <v>35</v>
      </c>
      <c r="K3191"/>
      <c r="L3191" s="47" t="s">
        <v>180</v>
      </c>
      <c r="M3191" s="47" t="s">
        <v>197</v>
      </c>
    </row>
    <row r="3192" spans="1:13" ht="15" customHeight="1">
      <c r="A3192" s="47">
        <v>383</v>
      </c>
      <c r="B3192" s="2">
        <v>4246</v>
      </c>
      <c r="C3192" t="s">
        <v>121</v>
      </c>
      <c r="D3192" s="47" t="s">
        <v>1131</v>
      </c>
      <c r="E3192" s="47" t="s">
        <v>1129</v>
      </c>
      <c r="F3192" t="s">
        <v>185</v>
      </c>
      <c r="H3192" t="s">
        <v>47</v>
      </c>
      <c r="I3192" t="s">
        <v>30</v>
      </c>
      <c r="J3192" t="s">
        <v>35</v>
      </c>
      <c r="K3192"/>
      <c r="L3192" s="47" t="s">
        <v>239</v>
      </c>
      <c r="M3192" s="47" t="s">
        <v>1135</v>
      </c>
    </row>
    <row r="3193" spans="1:13" ht="15" customHeight="1">
      <c r="A3193" s="47">
        <v>383</v>
      </c>
      <c r="B3193" s="2">
        <v>4247</v>
      </c>
      <c r="C3193" t="s">
        <v>121</v>
      </c>
      <c r="D3193" s="47" t="s">
        <v>1132</v>
      </c>
      <c r="E3193" s="47" t="s">
        <v>1129</v>
      </c>
      <c r="F3193" t="s">
        <v>185</v>
      </c>
      <c r="H3193" t="s">
        <v>47</v>
      </c>
      <c r="I3193" t="s">
        <v>30</v>
      </c>
      <c r="J3193" t="s">
        <v>35</v>
      </c>
      <c r="K3193"/>
      <c r="L3193" s="47" t="s">
        <v>239</v>
      </c>
      <c r="M3193" s="47" t="s">
        <v>1135</v>
      </c>
    </row>
    <row r="3194" spans="1:13" ht="15" customHeight="1">
      <c r="A3194" s="47">
        <v>383</v>
      </c>
      <c r="B3194" s="2">
        <v>4248</v>
      </c>
      <c r="C3194" t="s">
        <v>121</v>
      </c>
      <c r="D3194" s="2" t="s">
        <v>1127</v>
      </c>
      <c r="E3194" s="47" t="s">
        <v>1126</v>
      </c>
      <c r="F3194" t="s">
        <v>185</v>
      </c>
      <c r="H3194" t="s">
        <v>47</v>
      </c>
      <c r="I3194" t="s">
        <v>30</v>
      </c>
      <c r="J3194" t="s">
        <v>35</v>
      </c>
      <c r="K3194"/>
      <c r="L3194" s="47" t="s">
        <v>314</v>
      </c>
      <c r="M3194" s="47" t="s">
        <v>1136</v>
      </c>
    </row>
    <row r="3195" spans="1:13" ht="15" customHeight="1">
      <c r="A3195" s="47">
        <v>384</v>
      </c>
      <c r="B3195" s="2">
        <v>4249</v>
      </c>
      <c r="C3195" t="s">
        <v>121</v>
      </c>
      <c r="D3195" s="47" t="s">
        <v>1134</v>
      </c>
      <c r="E3195" s="2" t="s">
        <v>1125</v>
      </c>
      <c r="F3195" t="s">
        <v>185</v>
      </c>
      <c r="G3195"/>
      <c r="H3195" t="s">
        <v>47</v>
      </c>
      <c r="I3195" t="s">
        <v>30</v>
      </c>
      <c r="J3195" t="s">
        <v>35</v>
      </c>
      <c r="K3195"/>
      <c r="L3195" s="47" t="s">
        <v>180</v>
      </c>
      <c r="M3195" s="47" t="s">
        <v>1135</v>
      </c>
    </row>
    <row r="3196" spans="1:13" ht="15" customHeight="1">
      <c r="A3196" s="47">
        <v>384</v>
      </c>
      <c r="B3196" s="2">
        <v>4250</v>
      </c>
      <c r="C3196" t="s">
        <v>121</v>
      </c>
      <c r="D3196" s="47" t="s">
        <v>1130</v>
      </c>
      <c r="E3196" s="47" t="s">
        <v>1128</v>
      </c>
      <c r="F3196" t="s">
        <v>185</v>
      </c>
      <c r="H3196" t="s">
        <v>47</v>
      </c>
      <c r="I3196" t="s">
        <v>30</v>
      </c>
      <c r="J3196" t="s">
        <v>35</v>
      </c>
      <c r="K3196"/>
      <c r="L3196" s="47" t="s">
        <v>180</v>
      </c>
      <c r="M3196" s="47" t="s">
        <v>197</v>
      </c>
    </row>
    <row r="3197" spans="1:13" ht="15" customHeight="1">
      <c r="A3197" s="47">
        <v>384</v>
      </c>
      <c r="B3197" s="2">
        <v>4251</v>
      </c>
      <c r="C3197" t="s">
        <v>121</v>
      </c>
      <c r="D3197" s="47" t="s">
        <v>1131</v>
      </c>
      <c r="E3197" s="47" t="s">
        <v>1129</v>
      </c>
      <c r="F3197" t="s">
        <v>185</v>
      </c>
      <c r="H3197" t="s">
        <v>47</v>
      </c>
      <c r="I3197" t="s">
        <v>30</v>
      </c>
      <c r="J3197" t="s">
        <v>35</v>
      </c>
      <c r="K3197"/>
      <c r="L3197" s="47" t="s">
        <v>239</v>
      </c>
      <c r="M3197" s="47" t="s">
        <v>1135</v>
      </c>
    </row>
    <row r="3198" spans="1:13" ht="15" customHeight="1">
      <c r="A3198" s="47">
        <v>384</v>
      </c>
      <c r="B3198" s="2">
        <v>4252</v>
      </c>
      <c r="C3198" t="s">
        <v>121</v>
      </c>
      <c r="D3198" s="47" t="s">
        <v>1132</v>
      </c>
      <c r="E3198" s="47" t="s">
        <v>1129</v>
      </c>
      <c r="F3198" t="s">
        <v>185</v>
      </c>
      <c r="H3198" t="s">
        <v>47</v>
      </c>
      <c r="I3198" t="s">
        <v>30</v>
      </c>
      <c r="J3198" t="s">
        <v>35</v>
      </c>
      <c r="K3198"/>
      <c r="L3198" s="47" t="s">
        <v>239</v>
      </c>
      <c r="M3198" s="47" t="s">
        <v>1135</v>
      </c>
    </row>
    <row r="3199" spans="1:13" ht="15" customHeight="1">
      <c r="A3199" s="47">
        <v>384</v>
      </c>
      <c r="B3199" s="2">
        <v>4253</v>
      </c>
      <c r="C3199" t="s">
        <v>121</v>
      </c>
      <c r="D3199" s="2" t="s">
        <v>1127</v>
      </c>
      <c r="E3199" s="47" t="s">
        <v>1126</v>
      </c>
      <c r="F3199" t="s">
        <v>185</v>
      </c>
      <c r="H3199" t="s">
        <v>47</v>
      </c>
      <c r="I3199" t="s">
        <v>30</v>
      </c>
      <c r="J3199" t="s">
        <v>35</v>
      </c>
      <c r="K3199"/>
      <c r="L3199" s="47" t="s">
        <v>314</v>
      </c>
      <c r="M3199" s="47" t="s">
        <v>1136</v>
      </c>
    </row>
    <row r="3200" spans="1:13" ht="15" customHeight="1">
      <c r="A3200" s="47">
        <v>385</v>
      </c>
      <c r="B3200" s="2">
        <v>4254</v>
      </c>
      <c r="C3200" t="s">
        <v>121</v>
      </c>
      <c r="D3200" s="47" t="s">
        <v>1134</v>
      </c>
      <c r="E3200" s="2" t="s">
        <v>1125</v>
      </c>
      <c r="F3200" t="s">
        <v>185</v>
      </c>
      <c r="G3200"/>
      <c r="H3200" t="s">
        <v>47</v>
      </c>
      <c r="I3200" t="s">
        <v>30</v>
      </c>
      <c r="J3200" t="s">
        <v>35</v>
      </c>
      <c r="K3200"/>
      <c r="L3200" s="47" t="s">
        <v>180</v>
      </c>
      <c r="M3200" s="47" t="s">
        <v>1135</v>
      </c>
    </row>
    <row r="3201" spans="1:13" ht="15" customHeight="1">
      <c r="A3201" s="47">
        <v>385</v>
      </c>
      <c r="B3201" s="2">
        <v>4255</v>
      </c>
      <c r="C3201" t="s">
        <v>121</v>
      </c>
      <c r="D3201" s="47" t="s">
        <v>1130</v>
      </c>
      <c r="E3201" s="47" t="s">
        <v>1128</v>
      </c>
      <c r="F3201" t="s">
        <v>185</v>
      </c>
      <c r="H3201" t="s">
        <v>47</v>
      </c>
      <c r="I3201" t="s">
        <v>30</v>
      </c>
      <c r="J3201" t="s">
        <v>35</v>
      </c>
      <c r="K3201"/>
      <c r="L3201" s="47" t="s">
        <v>180</v>
      </c>
      <c r="M3201" s="47" t="s">
        <v>197</v>
      </c>
    </row>
    <row r="3202" spans="1:13" ht="15" customHeight="1">
      <c r="A3202" s="47">
        <v>385</v>
      </c>
      <c r="B3202" s="2">
        <v>4256</v>
      </c>
      <c r="C3202" t="s">
        <v>121</v>
      </c>
      <c r="D3202" s="47" t="s">
        <v>1131</v>
      </c>
      <c r="E3202" s="47" t="s">
        <v>1129</v>
      </c>
      <c r="F3202" t="s">
        <v>185</v>
      </c>
      <c r="H3202" t="s">
        <v>47</v>
      </c>
      <c r="I3202" t="s">
        <v>30</v>
      </c>
      <c r="J3202" t="s">
        <v>35</v>
      </c>
      <c r="K3202"/>
      <c r="L3202" s="47" t="s">
        <v>239</v>
      </c>
      <c r="M3202" s="47" t="s">
        <v>1135</v>
      </c>
    </row>
    <row r="3203" spans="1:13" ht="15" customHeight="1">
      <c r="A3203" s="47">
        <v>385</v>
      </c>
      <c r="B3203" s="2">
        <v>4257</v>
      </c>
      <c r="C3203" t="s">
        <v>121</v>
      </c>
      <c r="D3203" s="47" t="s">
        <v>1132</v>
      </c>
      <c r="E3203" s="47" t="s">
        <v>1129</v>
      </c>
      <c r="F3203" t="s">
        <v>185</v>
      </c>
      <c r="H3203" t="s">
        <v>47</v>
      </c>
      <c r="I3203" t="s">
        <v>30</v>
      </c>
      <c r="J3203" t="s">
        <v>35</v>
      </c>
      <c r="K3203"/>
      <c r="L3203" s="47" t="s">
        <v>239</v>
      </c>
      <c r="M3203" s="47" t="s">
        <v>1135</v>
      </c>
    </row>
    <row r="3204" spans="1:13" ht="15" customHeight="1">
      <c r="A3204" s="47">
        <v>385</v>
      </c>
      <c r="B3204" s="2">
        <v>4258</v>
      </c>
      <c r="C3204" t="s">
        <v>121</v>
      </c>
      <c r="D3204" s="2" t="s">
        <v>1127</v>
      </c>
      <c r="E3204" s="47" t="s">
        <v>1126</v>
      </c>
      <c r="F3204" t="s">
        <v>185</v>
      </c>
      <c r="H3204" t="s">
        <v>47</v>
      </c>
      <c r="I3204" t="s">
        <v>30</v>
      </c>
      <c r="J3204" t="s">
        <v>35</v>
      </c>
      <c r="K3204"/>
      <c r="L3204" s="47" t="s">
        <v>314</v>
      </c>
      <c r="M3204" s="47" t="s">
        <v>1136</v>
      </c>
    </row>
    <row r="3205" spans="1:13" ht="15" customHeight="1">
      <c r="A3205" s="47">
        <v>386</v>
      </c>
      <c r="B3205" s="2">
        <v>4259</v>
      </c>
      <c r="C3205" t="s">
        <v>121</v>
      </c>
      <c r="D3205" s="47" t="s">
        <v>1134</v>
      </c>
      <c r="E3205" s="2" t="s">
        <v>1125</v>
      </c>
      <c r="F3205" t="s">
        <v>185</v>
      </c>
      <c r="G3205"/>
      <c r="H3205" t="s">
        <v>47</v>
      </c>
      <c r="I3205" t="s">
        <v>30</v>
      </c>
      <c r="J3205" t="s">
        <v>35</v>
      </c>
      <c r="K3205"/>
      <c r="L3205" s="47" t="s">
        <v>180</v>
      </c>
      <c r="M3205" s="47" t="s">
        <v>1135</v>
      </c>
    </row>
    <row r="3206" spans="1:13" ht="15" customHeight="1">
      <c r="A3206" s="47">
        <v>386</v>
      </c>
      <c r="B3206" s="2">
        <v>4260</v>
      </c>
      <c r="C3206" t="s">
        <v>121</v>
      </c>
      <c r="D3206" s="47" t="s">
        <v>1130</v>
      </c>
      <c r="E3206" s="47" t="s">
        <v>1128</v>
      </c>
      <c r="F3206" t="s">
        <v>185</v>
      </c>
      <c r="H3206" t="s">
        <v>47</v>
      </c>
      <c r="I3206" t="s">
        <v>30</v>
      </c>
      <c r="J3206" t="s">
        <v>35</v>
      </c>
      <c r="K3206"/>
      <c r="L3206" s="47" t="s">
        <v>180</v>
      </c>
      <c r="M3206" s="47" t="s">
        <v>197</v>
      </c>
    </row>
    <row r="3207" spans="1:13" ht="15" customHeight="1">
      <c r="A3207" s="47">
        <v>386</v>
      </c>
      <c r="B3207" s="2">
        <v>4261</v>
      </c>
      <c r="C3207" t="s">
        <v>121</v>
      </c>
      <c r="D3207" s="47" t="s">
        <v>1131</v>
      </c>
      <c r="E3207" s="47" t="s">
        <v>1129</v>
      </c>
      <c r="F3207" t="s">
        <v>185</v>
      </c>
      <c r="H3207" t="s">
        <v>47</v>
      </c>
      <c r="I3207" t="s">
        <v>30</v>
      </c>
      <c r="J3207" t="s">
        <v>35</v>
      </c>
      <c r="K3207"/>
      <c r="L3207" s="47" t="s">
        <v>239</v>
      </c>
      <c r="M3207" s="47" t="s">
        <v>1135</v>
      </c>
    </row>
    <row r="3208" spans="1:13" ht="15" customHeight="1">
      <c r="A3208" s="47">
        <v>386</v>
      </c>
      <c r="B3208" s="2">
        <v>4262</v>
      </c>
      <c r="C3208" t="s">
        <v>121</v>
      </c>
      <c r="D3208" s="47" t="s">
        <v>1132</v>
      </c>
      <c r="E3208" s="47" t="s">
        <v>1129</v>
      </c>
      <c r="F3208" t="s">
        <v>185</v>
      </c>
      <c r="H3208" t="s">
        <v>47</v>
      </c>
      <c r="I3208" t="s">
        <v>30</v>
      </c>
      <c r="J3208" t="s">
        <v>35</v>
      </c>
      <c r="K3208"/>
      <c r="L3208" s="47" t="s">
        <v>239</v>
      </c>
      <c r="M3208" s="47" t="s">
        <v>1135</v>
      </c>
    </row>
    <row r="3209" spans="1:13" ht="15" customHeight="1">
      <c r="A3209" s="47">
        <v>386</v>
      </c>
      <c r="B3209" s="2">
        <v>4263</v>
      </c>
      <c r="C3209" t="s">
        <v>121</v>
      </c>
      <c r="D3209" s="2" t="s">
        <v>1127</v>
      </c>
      <c r="E3209" s="47" t="s">
        <v>1126</v>
      </c>
      <c r="F3209" t="s">
        <v>185</v>
      </c>
      <c r="H3209" t="s">
        <v>47</v>
      </c>
      <c r="I3209" t="s">
        <v>30</v>
      </c>
      <c r="J3209" t="s">
        <v>35</v>
      </c>
      <c r="K3209"/>
      <c r="L3209" s="47" t="s">
        <v>314</v>
      </c>
      <c r="M3209" s="47" t="s">
        <v>1136</v>
      </c>
    </row>
    <row r="3210" spans="1:13" ht="15" customHeight="1">
      <c r="A3210" s="47">
        <v>387</v>
      </c>
      <c r="B3210" s="2">
        <v>4264</v>
      </c>
      <c r="C3210" t="s">
        <v>121</v>
      </c>
      <c r="D3210" s="47" t="s">
        <v>1134</v>
      </c>
      <c r="E3210" s="2" t="s">
        <v>1125</v>
      </c>
      <c r="F3210" t="s">
        <v>185</v>
      </c>
      <c r="G3210"/>
      <c r="H3210" t="s">
        <v>47</v>
      </c>
      <c r="I3210" t="s">
        <v>30</v>
      </c>
      <c r="J3210" t="s">
        <v>35</v>
      </c>
      <c r="K3210"/>
      <c r="L3210" s="47" t="s">
        <v>180</v>
      </c>
      <c r="M3210" s="47" t="s">
        <v>1135</v>
      </c>
    </row>
    <row r="3211" spans="1:13" ht="15" customHeight="1">
      <c r="A3211" s="47">
        <v>387</v>
      </c>
      <c r="B3211" s="2">
        <v>4265</v>
      </c>
      <c r="C3211" t="s">
        <v>121</v>
      </c>
      <c r="D3211" s="47" t="s">
        <v>1130</v>
      </c>
      <c r="E3211" s="47" t="s">
        <v>1128</v>
      </c>
      <c r="F3211" t="s">
        <v>185</v>
      </c>
      <c r="H3211" t="s">
        <v>47</v>
      </c>
      <c r="I3211" t="s">
        <v>30</v>
      </c>
      <c r="J3211" t="s">
        <v>35</v>
      </c>
      <c r="K3211"/>
      <c r="L3211" s="47" t="s">
        <v>180</v>
      </c>
      <c r="M3211" s="47" t="s">
        <v>197</v>
      </c>
    </row>
    <row r="3212" spans="1:13" ht="15" customHeight="1">
      <c r="A3212" s="47">
        <v>387</v>
      </c>
      <c r="B3212" s="2">
        <v>4266</v>
      </c>
      <c r="C3212" t="s">
        <v>121</v>
      </c>
      <c r="D3212" s="47" t="s">
        <v>1131</v>
      </c>
      <c r="E3212" s="47" t="s">
        <v>1129</v>
      </c>
      <c r="F3212" t="s">
        <v>185</v>
      </c>
      <c r="H3212" t="s">
        <v>47</v>
      </c>
      <c r="I3212" t="s">
        <v>30</v>
      </c>
      <c r="J3212" t="s">
        <v>35</v>
      </c>
      <c r="K3212"/>
      <c r="L3212" s="47" t="s">
        <v>239</v>
      </c>
      <c r="M3212" s="47" t="s">
        <v>1135</v>
      </c>
    </row>
    <row r="3213" spans="1:13" ht="15" customHeight="1">
      <c r="A3213" s="47">
        <v>387</v>
      </c>
      <c r="B3213" s="2">
        <v>4267</v>
      </c>
      <c r="C3213" t="s">
        <v>121</v>
      </c>
      <c r="D3213" s="47" t="s">
        <v>1132</v>
      </c>
      <c r="E3213" s="47" t="s">
        <v>1129</v>
      </c>
      <c r="F3213" t="s">
        <v>185</v>
      </c>
      <c r="H3213" t="s">
        <v>47</v>
      </c>
      <c r="I3213" t="s">
        <v>30</v>
      </c>
      <c r="J3213" t="s">
        <v>35</v>
      </c>
      <c r="K3213"/>
      <c r="L3213" s="47" t="s">
        <v>239</v>
      </c>
      <c r="M3213" s="47" t="s">
        <v>1135</v>
      </c>
    </row>
    <row r="3214" spans="1:13" ht="15" customHeight="1">
      <c r="A3214" s="47">
        <v>387</v>
      </c>
      <c r="B3214" s="2">
        <v>4268</v>
      </c>
      <c r="C3214" t="s">
        <v>121</v>
      </c>
      <c r="D3214" s="2" t="s">
        <v>1127</v>
      </c>
      <c r="E3214" s="47" t="s">
        <v>1126</v>
      </c>
      <c r="F3214" t="s">
        <v>185</v>
      </c>
      <c r="H3214" t="s">
        <v>47</v>
      </c>
      <c r="I3214" t="s">
        <v>30</v>
      </c>
      <c r="J3214" t="s">
        <v>35</v>
      </c>
      <c r="K3214"/>
      <c r="L3214" s="47" t="s">
        <v>314</v>
      </c>
      <c r="M3214" s="47" t="s">
        <v>1136</v>
      </c>
    </row>
    <row r="3215" spans="1:13" ht="15" customHeight="1">
      <c r="A3215" s="47">
        <v>388</v>
      </c>
      <c r="B3215" s="2">
        <v>4269</v>
      </c>
      <c r="C3215" t="s">
        <v>121</v>
      </c>
      <c r="D3215" s="47" t="s">
        <v>1134</v>
      </c>
      <c r="E3215" s="2" t="s">
        <v>1125</v>
      </c>
      <c r="F3215" t="s">
        <v>185</v>
      </c>
      <c r="G3215"/>
      <c r="H3215" t="s">
        <v>47</v>
      </c>
      <c r="I3215" t="s">
        <v>30</v>
      </c>
      <c r="J3215" t="s">
        <v>35</v>
      </c>
      <c r="K3215"/>
      <c r="L3215" s="47" t="s">
        <v>180</v>
      </c>
      <c r="M3215" s="47" t="s">
        <v>1135</v>
      </c>
    </row>
    <row r="3216" spans="1:13" ht="15" customHeight="1">
      <c r="A3216" s="47">
        <v>388</v>
      </c>
      <c r="B3216" s="2">
        <v>4270</v>
      </c>
      <c r="C3216" t="s">
        <v>121</v>
      </c>
      <c r="D3216" s="47" t="s">
        <v>1130</v>
      </c>
      <c r="E3216" s="47" t="s">
        <v>1128</v>
      </c>
      <c r="F3216" t="s">
        <v>185</v>
      </c>
      <c r="H3216" t="s">
        <v>47</v>
      </c>
      <c r="I3216" t="s">
        <v>30</v>
      </c>
      <c r="J3216" t="s">
        <v>35</v>
      </c>
      <c r="K3216"/>
      <c r="L3216" s="47" t="s">
        <v>180</v>
      </c>
      <c r="M3216" s="47" t="s">
        <v>197</v>
      </c>
    </row>
    <row r="3217" spans="1:13" ht="15" customHeight="1">
      <c r="A3217" s="47">
        <v>388</v>
      </c>
      <c r="B3217" s="2">
        <v>4271</v>
      </c>
      <c r="C3217" t="s">
        <v>121</v>
      </c>
      <c r="D3217" s="47" t="s">
        <v>1131</v>
      </c>
      <c r="E3217" s="47" t="s">
        <v>1129</v>
      </c>
      <c r="F3217" t="s">
        <v>185</v>
      </c>
      <c r="H3217" t="s">
        <v>47</v>
      </c>
      <c r="I3217" t="s">
        <v>30</v>
      </c>
      <c r="J3217" t="s">
        <v>35</v>
      </c>
      <c r="K3217"/>
      <c r="L3217" s="47" t="s">
        <v>239</v>
      </c>
      <c r="M3217" s="47" t="s">
        <v>1135</v>
      </c>
    </row>
    <row r="3218" spans="1:13" ht="15" customHeight="1">
      <c r="A3218" s="47">
        <v>388</v>
      </c>
      <c r="B3218" s="2">
        <v>4272</v>
      </c>
      <c r="C3218" t="s">
        <v>121</v>
      </c>
      <c r="D3218" s="47" t="s">
        <v>1132</v>
      </c>
      <c r="E3218" s="47" t="s">
        <v>1129</v>
      </c>
      <c r="F3218" t="s">
        <v>185</v>
      </c>
      <c r="H3218" t="s">
        <v>47</v>
      </c>
      <c r="I3218" t="s">
        <v>30</v>
      </c>
      <c r="J3218" t="s">
        <v>35</v>
      </c>
      <c r="K3218"/>
      <c r="L3218" s="47" t="s">
        <v>239</v>
      </c>
      <c r="M3218" s="47" t="s">
        <v>1135</v>
      </c>
    </row>
    <row r="3219" spans="1:13" ht="15" customHeight="1">
      <c r="A3219" s="47">
        <v>388</v>
      </c>
      <c r="B3219" s="2">
        <v>4273</v>
      </c>
      <c r="C3219" t="s">
        <v>121</v>
      </c>
      <c r="D3219" s="2" t="s">
        <v>1127</v>
      </c>
      <c r="E3219" s="47" t="s">
        <v>1126</v>
      </c>
      <c r="F3219" t="s">
        <v>185</v>
      </c>
      <c r="H3219" t="s">
        <v>47</v>
      </c>
      <c r="I3219" t="s">
        <v>30</v>
      </c>
      <c r="J3219" t="s">
        <v>35</v>
      </c>
      <c r="K3219"/>
      <c r="L3219" s="47" t="s">
        <v>314</v>
      </c>
      <c r="M3219" s="47" t="s">
        <v>1136</v>
      </c>
    </row>
    <row r="3220" spans="1:13" ht="15" customHeight="1">
      <c r="A3220" s="47">
        <v>389</v>
      </c>
      <c r="B3220" s="2">
        <v>4274</v>
      </c>
      <c r="C3220" t="s">
        <v>121</v>
      </c>
      <c r="D3220" s="47" t="s">
        <v>1134</v>
      </c>
      <c r="E3220" s="2" t="s">
        <v>1125</v>
      </c>
      <c r="F3220" t="s">
        <v>185</v>
      </c>
      <c r="G3220"/>
      <c r="H3220" t="s">
        <v>47</v>
      </c>
      <c r="I3220" t="s">
        <v>30</v>
      </c>
      <c r="J3220" t="s">
        <v>35</v>
      </c>
      <c r="K3220"/>
      <c r="L3220" s="47" t="s">
        <v>180</v>
      </c>
      <c r="M3220" s="47" t="s">
        <v>1135</v>
      </c>
    </row>
    <row r="3221" spans="1:13" ht="15" customHeight="1">
      <c r="A3221" s="47">
        <v>389</v>
      </c>
      <c r="B3221" s="2">
        <v>4275</v>
      </c>
      <c r="C3221" t="s">
        <v>121</v>
      </c>
      <c r="D3221" s="47" t="s">
        <v>1130</v>
      </c>
      <c r="E3221" s="47" t="s">
        <v>1128</v>
      </c>
      <c r="F3221" t="s">
        <v>185</v>
      </c>
      <c r="H3221" t="s">
        <v>47</v>
      </c>
      <c r="I3221" t="s">
        <v>30</v>
      </c>
      <c r="J3221" t="s">
        <v>35</v>
      </c>
      <c r="K3221"/>
      <c r="L3221" s="47" t="s">
        <v>180</v>
      </c>
      <c r="M3221" s="47" t="s">
        <v>197</v>
      </c>
    </row>
    <row r="3222" spans="1:13" ht="15" customHeight="1">
      <c r="A3222" s="47">
        <v>389</v>
      </c>
      <c r="B3222" s="2">
        <v>4276</v>
      </c>
      <c r="C3222" t="s">
        <v>121</v>
      </c>
      <c r="D3222" s="47" t="s">
        <v>1131</v>
      </c>
      <c r="E3222" s="47" t="s">
        <v>1129</v>
      </c>
      <c r="F3222" t="s">
        <v>185</v>
      </c>
      <c r="H3222" t="s">
        <v>47</v>
      </c>
      <c r="I3222" t="s">
        <v>30</v>
      </c>
      <c r="J3222" t="s">
        <v>35</v>
      </c>
      <c r="K3222"/>
      <c r="L3222" s="47" t="s">
        <v>239</v>
      </c>
      <c r="M3222" s="47" t="s">
        <v>1135</v>
      </c>
    </row>
    <row r="3223" spans="1:13" ht="15" customHeight="1">
      <c r="A3223" s="47">
        <v>389</v>
      </c>
      <c r="B3223" s="2">
        <v>4277</v>
      </c>
      <c r="C3223" t="s">
        <v>121</v>
      </c>
      <c r="D3223" s="47" t="s">
        <v>1132</v>
      </c>
      <c r="E3223" s="47" t="s">
        <v>1129</v>
      </c>
      <c r="F3223" t="s">
        <v>185</v>
      </c>
      <c r="H3223" t="s">
        <v>47</v>
      </c>
      <c r="I3223" t="s">
        <v>30</v>
      </c>
      <c r="J3223" t="s">
        <v>35</v>
      </c>
      <c r="K3223"/>
      <c r="L3223" s="47" t="s">
        <v>239</v>
      </c>
      <c r="M3223" s="47" t="s">
        <v>1135</v>
      </c>
    </row>
    <row r="3224" spans="1:13" ht="15" customHeight="1">
      <c r="A3224" s="47">
        <v>389</v>
      </c>
      <c r="B3224" s="2">
        <v>4278</v>
      </c>
      <c r="C3224" t="s">
        <v>121</v>
      </c>
      <c r="D3224" s="2" t="s">
        <v>1127</v>
      </c>
      <c r="E3224" s="47" t="s">
        <v>1126</v>
      </c>
      <c r="F3224" t="s">
        <v>185</v>
      </c>
      <c r="H3224" t="s">
        <v>47</v>
      </c>
      <c r="I3224" t="s">
        <v>30</v>
      </c>
      <c r="J3224" t="s">
        <v>35</v>
      </c>
      <c r="K3224"/>
      <c r="L3224" s="47" t="s">
        <v>314</v>
      </c>
      <c r="M3224" s="47" t="s">
        <v>1136</v>
      </c>
    </row>
    <row r="3225" spans="1:13" ht="15" customHeight="1">
      <c r="A3225" s="47">
        <v>390</v>
      </c>
      <c r="B3225" s="2">
        <v>4279</v>
      </c>
      <c r="C3225" t="s">
        <v>121</v>
      </c>
      <c r="D3225" s="47" t="s">
        <v>1134</v>
      </c>
      <c r="E3225" s="2" t="s">
        <v>1125</v>
      </c>
      <c r="F3225" t="s">
        <v>185</v>
      </c>
      <c r="G3225"/>
      <c r="H3225" t="s">
        <v>47</v>
      </c>
      <c r="I3225" t="s">
        <v>30</v>
      </c>
      <c r="J3225" t="s">
        <v>35</v>
      </c>
      <c r="K3225"/>
      <c r="L3225" s="47" t="s">
        <v>180</v>
      </c>
      <c r="M3225" s="47" t="s">
        <v>1135</v>
      </c>
    </row>
    <row r="3226" spans="1:13" ht="15" customHeight="1">
      <c r="A3226" s="47">
        <v>390</v>
      </c>
      <c r="B3226" s="2">
        <v>4280</v>
      </c>
      <c r="C3226" t="s">
        <v>121</v>
      </c>
      <c r="D3226" s="47" t="s">
        <v>1130</v>
      </c>
      <c r="E3226" s="47" t="s">
        <v>1128</v>
      </c>
      <c r="F3226" t="s">
        <v>185</v>
      </c>
      <c r="H3226" t="s">
        <v>47</v>
      </c>
      <c r="I3226" t="s">
        <v>30</v>
      </c>
      <c r="J3226" t="s">
        <v>35</v>
      </c>
      <c r="K3226"/>
      <c r="L3226" s="47" t="s">
        <v>180</v>
      </c>
      <c r="M3226" s="47" t="s">
        <v>197</v>
      </c>
    </row>
    <row r="3227" spans="1:13" ht="15" customHeight="1">
      <c r="A3227" s="47">
        <v>390</v>
      </c>
      <c r="B3227" s="2">
        <v>4281</v>
      </c>
      <c r="C3227" t="s">
        <v>121</v>
      </c>
      <c r="D3227" s="47" t="s">
        <v>1131</v>
      </c>
      <c r="E3227" s="47" t="s">
        <v>1129</v>
      </c>
      <c r="F3227" t="s">
        <v>185</v>
      </c>
      <c r="H3227" t="s">
        <v>47</v>
      </c>
      <c r="I3227" t="s">
        <v>30</v>
      </c>
      <c r="J3227" t="s">
        <v>35</v>
      </c>
      <c r="K3227"/>
      <c r="L3227" s="47" t="s">
        <v>239</v>
      </c>
      <c r="M3227" s="47" t="s">
        <v>1135</v>
      </c>
    </row>
    <row r="3228" spans="1:13" ht="15" customHeight="1">
      <c r="A3228" s="47">
        <v>390</v>
      </c>
      <c r="B3228" s="2">
        <v>4282</v>
      </c>
      <c r="C3228" t="s">
        <v>121</v>
      </c>
      <c r="D3228" s="47" t="s">
        <v>1132</v>
      </c>
      <c r="E3228" s="47" t="s">
        <v>1129</v>
      </c>
      <c r="F3228" t="s">
        <v>185</v>
      </c>
      <c r="H3228" t="s">
        <v>47</v>
      </c>
      <c r="I3228" t="s">
        <v>30</v>
      </c>
      <c r="J3228" t="s">
        <v>35</v>
      </c>
      <c r="K3228"/>
      <c r="L3228" s="47" t="s">
        <v>239</v>
      </c>
      <c r="M3228" s="47" t="s">
        <v>1135</v>
      </c>
    </row>
    <row r="3229" spans="1:13" ht="15" customHeight="1">
      <c r="A3229" s="47">
        <v>390</v>
      </c>
      <c r="B3229" s="2">
        <v>4283</v>
      </c>
      <c r="C3229" t="s">
        <v>121</v>
      </c>
      <c r="D3229" s="2" t="s">
        <v>1127</v>
      </c>
      <c r="E3229" s="47" t="s">
        <v>1126</v>
      </c>
      <c r="F3229" t="s">
        <v>185</v>
      </c>
      <c r="H3229" t="s">
        <v>47</v>
      </c>
      <c r="I3229" t="s">
        <v>30</v>
      </c>
      <c r="J3229" t="s">
        <v>35</v>
      </c>
      <c r="K3229"/>
      <c r="L3229" s="47" t="s">
        <v>314</v>
      </c>
      <c r="M3229" s="47" t="s">
        <v>1136</v>
      </c>
    </row>
    <row r="3230" spans="1:13" ht="15" customHeight="1">
      <c r="A3230" s="47">
        <v>391</v>
      </c>
      <c r="B3230" s="2">
        <v>4284</v>
      </c>
      <c r="C3230" t="s">
        <v>121</v>
      </c>
      <c r="D3230" s="47" t="s">
        <v>1134</v>
      </c>
      <c r="E3230" s="2" t="s">
        <v>1125</v>
      </c>
      <c r="F3230" t="s">
        <v>185</v>
      </c>
      <c r="G3230"/>
      <c r="H3230" t="s">
        <v>47</v>
      </c>
      <c r="I3230" t="s">
        <v>30</v>
      </c>
      <c r="J3230" t="s">
        <v>35</v>
      </c>
      <c r="K3230"/>
      <c r="L3230" s="47" t="s">
        <v>180</v>
      </c>
      <c r="M3230" s="47" t="s">
        <v>1135</v>
      </c>
    </row>
    <row r="3231" spans="1:13" ht="15" customHeight="1">
      <c r="A3231" s="47">
        <v>391</v>
      </c>
      <c r="B3231" s="2">
        <v>4285</v>
      </c>
      <c r="C3231" t="s">
        <v>121</v>
      </c>
      <c r="D3231" s="47" t="s">
        <v>1130</v>
      </c>
      <c r="E3231" s="47" t="s">
        <v>1128</v>
      </c>
      <c r="F3231" t="s">
        <v>185</v>
      </c>
      <c r="H3231" t="s">
        <v>47</v>
      </c>
      <c r="I3231" t="s">
        <v>30</v>
      </c>
      <c r="J3231" t="s">
        <v>35</v>
      </c>
      <c r="K3231"/>
      <c r="L3231" s="47" t="s">
        <v>180</v>
      </c>
      <c r="M3231" s="47" t="s">
        <v>197</v>
      </c>
    </row>
    <row r="3232" spans="1:13" ht="15" customHeight="1">
      <c r="A3232" s="47">
        <v>391</v>
      </c>
      <c r="B3232" s="2">
        <v>4286</v>
      </c>
      <c r="C3232" t="s">
        <v>121</v>
      </c>
      <c r="D3232" s="47" t="s">
        <v>1131</v>
      </c>
      <c r="E3232" s="47" t="s">
        <v>1129</v>
      </c>
      <c r="F3232" t="s">
        <v>185</v>
      </c>
      <c r="H3232" t="s">
        <v>47</v>
      </c>
      <c r="I3232" t="s">
        <v>30</v>
      </c>
      <c r="J3232" t="s">
        <v>35</v>
      </c>
      <c r="K3232"/>
      <c r="L3232" s="47" t="s">
        <v>239</v>
      </c>
      <c r="M3232" s="47" t="s">
        <v>1135</v>
      </c>
    </row>
    <row r="3233" spans="1:13" ht="15" customHeight="1">
      <c r="A3233" s="47">
        <v>391</v>
      </c>
      <c r="B3233" s="2">
        <v>4287</v>
      </c>
      <c r="C3233" t="s">
        <v>121</v>
      </c>
      <c r="D3233" s="47" t="s">
        <v>1132</v>
      </c>
      <c r="E3233" s="47" t="s">
        <v>1129</v>
      </c>
      <c r="F3233" t="s">
        <v>185</v>
      </c>
      <c r="H3233" t="s">
        <v>47</v>
      </c>
      <c r="I3233" t="s">
        <v>30</v>
      </c>
      <c r="J3233" t="s">
        <v>35</v>
      </c>
      <c r="K3233"/>
      <c r="L3233" s="47" t="s">
        <v>239</v>
      </c>
      <c r="M3233" s="47" t="s">
        <v>1135</v>
      </c>
    </row>
    <row r="3234" spans="1:13" ht="15" customHeight="1">
      <c r="A3234" s="47">
        <v>391</v>
      </c>
      <c r="B3234" s="2">
        <v>4288</v>
      </c>
      <c r="C3234" t="s">
        <v>121</v>
      </c>
      <c r="D3234" s="2" t="s">
        <v>1127</v>
      </c>
      <c r="E3234" s="47" t="s">
        <v>1126</v>
      </c>
      <c r="F3234" t="s">
        <v>185</v>
      </c>
      <c r="H3234" t="s">
        <v>47</v>
      </c>
      <c r="I3234" t="s">
        <v>30</v>
      </c>
      <c r="J3234" t="s">
        <v>35</v>
      </c>
      <c r="K3234"/>
      <c r="L3234" s="47" t="s">
        <v>314</v>
      </c>
      <c r="M3234" s="47" t="s">
        <v>1136</v>
      </c>
    </row>
    <row r="3235" spans="1:13" ht="15" customHeight="1">
      <c r="A3235" s="47">
        <v>392</v>
      </c>
      <c r="B3235" s="2">
        <v>4289</v>
      </c>
      <c r="C3235" t="s">
        <v>121</v>
      </c>
      <c r="D3235" s="47" t="s">
        <v>1134</v>
      </c>
      <c r="E3235" s="2" t="s">
        <v>1125</v>
      </c>
      <c r="F3235" t="s">
        <v>185</v>
      </c>
      <c r="G3235"/>
      <c r="H3235" t="s">
        <v>47</v>
      </c>
      <c r="I3235" t="s">
        <v>30</v>
      </c>
      <c r="J3235" t="s">
        <v>35</v>
      </c>
      <c r="K3235"/>
      <c r="L3235" s="47" t="s">
        <v>180</v>
      </c>
      <c r="M3235" s="47" t="s">
        <v>1135</v>
      </c>
    </row>
    <row r="3236" spans="1:13" ht="15" customHeight="1">
      <c r="A3236" s="47">
        <v>392</v>
      </c>
      <c r="B3236" s="2">
        <v>4290</v>
      </c>
      <c r="C3236" t="s">
        <v>121</v>
      </c>
      <c r="D3236" s="47" t="s">
        <v>1130</v>
      </c>
      <c r="E3236" s="47" t="s">
        <v>1128</v>
      </c>
      <c r="F3236" t="s">
        <v>185</v>
      </c>
      <c r="H3236" t="s">
        <v>47</v>
      </c>
      <c r="I3236" t="s">
        <v>30</v>
      </c>
      <c r="J3236" t="s">
        <v>35</v>
      </c>
      <c r="K3236"/>
      <c r="L3236" s="47" t="s">
        <v>180</v>
      </c>
      <c r="M3236" s="47" t="s">
        <v>197</v>
      </c>
    </row>
    <row r="3237" spans="1:13" ht="15" customHeight="1">
      <c r="A3237" s="47">
        <v>392</v>
      </c>
      <c r="B3237" s="2">
        <v>4291</v>
      </c>
      <c r="C3237" t="s">
        <v>121</v>
      </c>
      <c r="D3237" s="47" t="s">
        <v>1131</v>
      </c>
      <c r="E3237" s="47" t="s">
        <v>1129</v>
      </c>
      <c r="F3237" t="s">
        <v>185</v>
      </c>
      <c r="H3237" t="s">
        <v>47</v>
      </c>
      <c r="I3237" t="s">
        <v>30</v>
      </c>
      <c r="J3237" t="s">
        <v>35</v>
      </c>
      <c r="K3237"/>
      <c r="L3237" s="47" t="s">
        <v>239</v>
      </c>
      <c r="M3237" s="47" t="s">
        <v>1135</v>
      </c>
    </row>
    <row r="3238" spans="1:13" ht="15" customHeight="1">
      <c r="A3238" s="47">
        <v>392</v>
      </c>
      <c r="B3238" s="2">
        <v>4292</v>
      </c>
      <c r="C3238" t="s">
        <v>121</v>
      </c>
      <c r="D3238" s="47" t="s">
        <v>1132</v>
      </c>
      <c r="E3238" s="47" t="s">
        <v>1129</v>
      </c>
      <c r="F3238" t="s">
        <v>185</v>
      </c>
      <c r="H3238" t="s">
        <v>47</v>
      </c>
      <c r="I3238" t="s">
        <v>30</v>
      </c>
      <c r="J3238" t="s">
        <v>35</v>
      </c>
      <c r="K3238"/>
      <c r="L3238" s="47" t="s">
        <v>239</v>
      </c>
      <c r="M3238" s="47" t="s">
        <v>1135</v>
      </c>
    </row>
    <row r="3239" spans="1:13" ht="15" customHeight="1">
      <c r="A3239" s="47">
        <v>392</v>
      </c>
      <c r="B3239" s="2">
        <v>4293</v>
      </c>
      <c r="C3239" t="s">
        <v>121</v>
      </c>
      <c r="D3239" s="2" t="s">
        <v>1127</v>
      </c>
      <c r="E3239" s="47" t="s">
        <v>1126</v>
      </c>
      <c r="F3239" t="s">
        <v>185</v>
      </c>
      <c r="H3239" t="s">
        <v>47</v>
      </c>
      <c r="I3239" t="s">
        <v>30</v>
      </c>
      <c r="J3239" t="s">
        <v>35</v>
      </c>
      <c r="K3239"/>
      <c r="L3239" s="47" t="s">
        <v>314</v>
      </c>
      <c r="M3239" s="47" t="s">
        <v>1136</v>
      </c>
    </row>
    <row r="3240" spans="1:13" ht="15" customHeight="1">
      <c r="A3240" s="47">
        <v>1283</v>
      </c>
      <c r="B3240" s="2">
        <v>4294</v>
      </c>
      <c r="C3240" t="s">
        <v>851</v>
      </c>
      <c r="D3240" s="47" t="s">
        <v>1134</v>
      </c>
      <c r="E3240" s="2" t="s">
        <v>1125</v>
      </c>
      <c r="F3240" t="s">
        <v>185</v>
      </c>
      <c r="G3240"/>
      <c r="H3240" t="s">
        <v>47</v>
      </c>
      <c r="I3240" t="s">
        <v>30</v>
      </c>
      <c r="J3240" t="s">
        <v>35</v>
      </c>
      <c r="K3240"/>
      <c r="L3240" s="47" t="s">
        <v>180</v>
      </c>
      <c r="M3240" s="47" t="s">
        <v>1135</v>
      </c>
    </row>
    <row r="3241" spans="1:13" ht="15" customHeight="1">
      <c r="A3241" s="47">
        <v>1283</v>
      </c>
      <c r="B3241" s="2">
        <v>4295</v>
      </c>
      <c r="C3241" t="s">
        <v>851</v>
      </c>
      <c r="D3241" s="47" t="s">
        <v>1130</v>
      </c>
      <c r="E3241" s="47" t="s">
        <v>1128</v>
      </c>
      <c r="F3241" t="s">
        <v>185</v>
      </c>
      <c r="H3241" t="s">
        <v>47</v>
      </c>
      <c r="I3241" t="s">
        <v>30</v>
      </c>
      <c r="J3241" t="s">
        <v>35</v>
      </c>
      <c r="K3241"/>
      <c r="L3241" s="47" t="s">
        <v>180</v>
      </c>
      <c r="M3241" s="47" t="s">
        <v>197</v>
      </c>
    </row>
    <row r="3242" spans="1:13" ht="15" customHeight="1">
      <c r="A3242" s="47">
        <v>1283</v>
      </c>
      <c r="B3242" s="2">
        <v>4296</v>
      </c>
      <c r="C3242" t="s">
        <v>851</v>
      </c>
      <c r="D3242" s="47" t="s">
        <v>1131</v>
      </c>
      <c r="E3242" s="47" t="s">
        <v>1129</v>
      </c>
      <c r="F3242" t="s">
        <v>185</v>
      </c>
      <c r="H3242" t="s">
        <v>47</v>
      </c>
      <c r="I3242" t="s">
        <v>30</v>
      </c>
      <c r="J3242" t="s">
        <v>35</v>
      </c>
      <c r="K3242"/>
      <c r="L3242" s="47" t="s">
        <v>239</v>
      </c>
      <c r="M3242" s="47" t="s">
        <v>1135</v>
      </c>
    </row>
    <row r="3243" spans="1:13" ht="15" customHeight="1">
      <c r="A3243" s="47">
        <v>1283</v>
      </c>
      <c r="B3243" s="2">
        <v>4297</v>
      </c>
      <c r="C3243" t="s">
        <v>851</v>
      </c>
      <c r="D3243" s="47" t="s">
        <v>1132</v>
      </c>
      <c r="E3243" s="47" t="s">
        <v>1129</v>
      </c>
      <c r="F3243" t="s">
        <v>185</v>
      </c>
      <c r="H3243" t="s">
        <v>47</v>
      </c>
      <c r="I3243" t="s">
        <v>30</v>
      </c>
      <c r="J3243" t="s">
        <v>35</v>
      </c>
      <c r="K3243"/>
      <c r="L3243" s="47" t="s">
        <v>239</v>
      </c>
      <c r="M3243" s="47" t="s">
        <v>1135</v>
      </c>
    </row>
    <row r="3244" spans="1:13" ht="15" customHeight="1">
      <c r="A3244" s="47">
        <v>1283</v>
      </c>
      <c r="B3244" s="2">
        <v>4298</v>
      </c>
      <c r="C3244" t="s">
        <v>851</v>
      </c>
      <c r="D3244" s="2" t="s">
        <v>1127</v>
      </c>
      <c r="E3244" s="47" t="s">
        <v>1126</v>
      </c>
      <c r="F3244" t="s">
        <v>185</v>
      </c>
      <c r="H3244" t="s">
        <v>47</v>
      </c>
      <c r="I3244" t="s">
        <v>30</v>
      </c>
      <c r="J3244" t="s">
        <v>35</v>
      </c>
      <c r="K3244"/>
      <c r="L3244" s="47" t="s">
        <v>314</v>
      </c>
      <c r="M3244" s="47" t="s">
        <v>1136</v>
      </c>
    </row>
    <row r="3245" spans="1:13" ht="15" customHeight="1">
      <c r="A3245" s="47">
        <v>1284</v>
      </c>
      <c r="B3245" s="2">
        <v>4299</v>
      </c>
      <c r="C3245" t="s">
        <v>851</v>
      </c>
      <c r="D3245" s="47" t="s">
        <v>1134</v>
      </c>
      <c r="E3245" s="2" t="s">
        <v>1125</v>
      </c>
      <c r="F3245" t="s">
        <v>185</v>
      </c>
      <c r="G3245"/>
      <c r="H3245" t="s">
        <v>47</v>
      </c>
      <c r="I3245" t="s">
        <v>30</v>
      </c>
      <c r="J3245" t="s">
        <v>35</v>
      </c>
      <c r="K3245"/>
      <c r="L3245" s="47" t="s">
        <v>180</v>
      </c>
      <c r="M3245" s="47" t="s">
        <v>1135</v>
      </c>
    </row>
    <row r="3246" spans="1:13" ht="15" customHeight="1">
      <c r="A3246" s="47">
        <v>1284</v>
      </c>
      <c r="B3246" s="2">
        <v>4300</v>
      </c>
      <c r="C3246" t="s">
        <v>851</v>
      </c>
      <c r="D3246" s="47" t="s">
        <v>1130</v>
      </c>
      <c r="E3246" s="47" t="s">
        <v>1128</v>
      </c>
      <c r="F3246" t="s">
        <v>185</v>
      </c>
      <c r="H3246" t="s">
        <v>47</v>
      </c>
      <c r="I3246" t="s">
        <v>30</v>
      </c>
      <c r="J3246" t="s">
        <v>35</v>
      </c>
      <c r="K3246"/>
      <c r="L3246" s="47" t="s">
        <v>180</v>
      </c>
      <c r="M3246" s="47" t="s">
        <v>197</v>
      </c>
    </row>
    <row r="3247" spans="1:13" ht="15" customHeight="1">
      <c r="A3247" s="47">
        <v>1284</v>
      </c>
      <c r="B3247" s="2">
        <v>4301</v>
      </c>
      <c r="C3247" t="s">
        <v>851</v>
      </c>
      <c r="D3247" s="47" t="s">
        <v>1131</v>
      </c>
      <c r="E3247" s="47" t="s">
        <v>1129</v>
      </c>
      <c r="F3247" t="s">
        <v>185</v>
      </c>
      <c r="H3247" t="s">
        <v>47</v>
      </c>
      <c r="I3247" t="s">
        <v>30</v>
      </c>
      <c r="J3247" t="s">
        <v>35</v>
      </c>
      <c r="K3247"/>
      <c r="L3247" s="47" t="s">
        <v>239</v>
      </c>
      <c r="M3247" s="47" t="s">
        <v>1135</v>
      </c>
    </row>
    <row r="3248" spans="1:13" ht="15" customHeight="1">
      <c r="A3248" s="47">
        <v>1284</v>
      </c>
      <c r="B3248" s="2">
        <v>4302</v>
      </c>
      <c r="C3248" t="s">
        <v>851</v>
      </c>
      <c r="D3248" s="47" t="s">
        <v>1132</v>
      </c>
      <c r="E3248" s="47" t="s">
        <v>1129</v>
      </c>
      <c r="F3248" t="s">
        <v>185</v>
      </c>
      <c r="H3248" t="s">
        <v>47</v>
      </c>
      <c r="I3248" t="s">
        <v>30</v>
      </c>
      <c r="J3248" t="s">
        <v>35</v>
      </c>
      <c r="K3248"/>
      <c r="L3248" s="47" t="s">
        <v>239</v>
      </c>
      <c r="M3248" s="47" t="s">
        <v>1135</v>
      </c>
    </row>
    <row r="3249" spans="1:13" ht="15" customHeight="1">
      <c r="A3249" s="47">
        <v>1284</v>
      </c>
      <c r="B3249" s="2">
        <v>4303</v>
      </c>
      <c r="C3249" t="s">
        <v>851</v>
      </c>
      <c r="D3249" s="2" t="s">
        <v>1127</v>
      </c>
      <c r="E3249" s="47" t="s">
        <v>1126</v>
      </c>
      <c r="F3249" t="s">
        <v>185</v>
      </c>
      <c r="H3249" t="s">
        <v>47</v>
      </c>
      <c r="I3249" t="s">
        <v>30</v>
      </c>
      <c r="J3249" t="s">
        <v>35</v>
      </c>
      <c r="K3249"/>
      <c r="L3249" s="47" t="s">
        <v>314</v>
      </c>
      <c r="M3249" s="47" t="s">
        <v>1136</v>
      </c>
    </row>
    <row r="3250" spans="1:13" ht="15" customHeight="1">
      <c r="A3250" s="47">
        <v>1285</v>
      </c>
      <c r="B3250" s="2">
        <v>4304</v>
      </c>
      <c r="C3250" t="s">
        <v>851</v>
      </c>
      <c r="D3250" s="47" t="s">
        <v>1134</v>
      </c>
      <c r="E3250" s="2" t="s">
        <v>1125</v>
      </c>
      <c r="F3250" t="s">
        <v>185</v>
      </c>
      <c r="G3250"/>
      <c r="H3250" t="s">
        <v>47</v>
      </c>
      <c r="I3250" t="s">
        <v>30</v>
      </c>
      <c r="J3250" t="s">
        <v>35</v>
      </c>
      <c r="K3250"/>
      <c r="L3250" s="47" t="s">
        <v>180</v>
      </c>
      <c r="M3250" s="47" t="s">
        <v>1135</v>
      </c>
    </row>
    <row r="3251" spans="1:13" ht="15" customHeight="1">
      <c r="A3251" s="47">
        <v>1285</v>
      </c>
      <c r="B3251" s="2">
        <v>4305</v>
      </c>
      <c r="C3251" t="s">
        <v>851</v>
      </c>
      <c r="D3251" s="47" t="s">
        <v>1130</v>
      </c>
      <c r="E3251" s="47" t="s">
        <v>1128</v>
      </c>
      <c r="F3251" t="s">
        <v>185</v>
      </c>
      <c r="H3251" t="s">
        <v>47</v>
      </c>
      <c r="I3251" t="s">
        <v>30</v>
      </c>
      <c r="J3251" t="s">
        <v>35</v>
      </c>
      <c r="K3251"/>
      <c r="L3251" s="47" t="s">
        <v>180</v>
      </c>
      <c r="M3251" s="47" t="s">
        <v>197</v>
      </c>
    </row>
    <row r="3252" spans="1:13" ht="15" customHeight="1">
      <c r="A3252" s="47">
        <v>1285</v>
      </c>
      <c r="B3252" s="2">
        <v>4306</v>
      </c>
      <c r="C3252" t="s">
        <v>851</v>
      </c>
      <c r="D3252" s="47" t="s">
        <v>1131</v>
      </c>
      <c r="E3252" s="47" t="s">
        <v>1129</v>
      </c>
      <c r="F3252" t="s">
        <v>185</v>
      </c>
      <c r="H3252" t="s">
        <v>47</v>
      </c>
      <c r="I3252" t="s">
        <v>30</v>
      </c>
      <c r="J3252" t="s">
        <v>35</v>
      </c>
      <c r="K3252"/>
      <c r="L3252" s="47" t="s">
        <v>239</v>
      </c>
      <c r="M3252" s="47" t="s">
        <v>1135</v>
      </c>
    </row>
    <row r="3253" spans="1:13" ht="15" customHeight="1">
      <c r="A3253" s="47">
        <v>1285</v>
      </c>
      <c r="B3253" s="2">
        <v>4307</v>
      </c>
      <c r="C3253" t="s">
        <v>851</v>
      </c>
      <c r="D3253" s="47" t="s">
        <v>1132</v>
      </c>
      <c r="E3253" s="47" t="s">
        <v>1129</v>
      </c>
      <c r="F3253" t="s">
        <v>185</v>
      </c>
      <c r="H3253" t="s">
        <v>47</v>
      </c>
      <c r="I3253" t="s">
        <v>30</v>
      </c>
      <c r="J3253" t="s">
        <v>35</v>
      </c>
      <c r="K3253"/>
      <c r="L3253" s="47" t="s">
        <v>239</v>
      </c>
      <c r="M3253" s="47" t="s">
        <v>1135</v>
      </c>
    </row>
    <row r="3254" spans="1:13" ht="15" customHeight="1">
      <c r="A3254" s="47">
        <v>1285</v>
      </c>
      <c r="B3254" s="2">
        <v>4308</v>
      </c>
      <c r="C3254" t="s">
        <v>851</v>
      </c>
      <c r="D3254" s="2" t="s">
        <v>1127</v>
      </c>
      <c r="E3254" s="47" t="s">
        <v>1126</v>
      </c>
      <c r="F3254" t="s">
        <v>185</v>
      </c>
      <c r="H3254" t="s">
        <v>47</v>
      </c>
      <c r="I3254" t="s">
        <v>30</v>
      </c>
      <c r="J3254" t="s">
        <v>35</v>
      </c>
      <c r="K3254"/>
      <c r="L3254" s="47" t="s">
        <v>314</v>
      </c>
      <c r="M3254" s="47" t="s">
        <v>1136</v>
      </c>
    </row>
    <row r="3255" spans="1:13" ht="15" customHeight="1">
      <c r="A3255" s="47">
        <v>1286</v>
      </c>
      <c r="B3255" s="2">
        <v>4309</v>
      </c>
      <c r="C3255" t="s">
        <v>851</v>
      </c>
      <c r="D3255" s="47" t="s">
        <v>1134</v>
      </c>
      <c r="E3255" s="2" t="s">
        <v>1125</v>
      </c>
      <c r="F3255" t="s">
        <v>185</v>
      </c>
      <c r="G3255"/>
      <c r="H3255" t="s">
        <v>47</v>
      </c>
      <c r="I3255" t="s">
        <v>30</v>
      </c>
      <c r="J3255" t="s">
        <v>35</v>
      </c>
      <c r="K3255"/>
      <c r="L3255" s="47" t="s">
        <v>180</v>
      </c>
      <c r="M3255" s="47" t="s">
        <v>1135</v>
      </c>
    </row>
    <row r="3256" spans="1:13" ht="15" customHeight="1">
      <c r="A3256" s="47">
        <v>1286</v>
      </c>
      <c r="B3256" s="2">
        <v>4310</v>
      </c>
      <c r="C3256" t="s">
        <v>851</v>
      </c>
      <c r="D3256" s="47" t="s">
        <v>1130</v>
      </c>
      <c r="E3256" s="47" t="s">
        <v>1128</v>
      </c>
      <c r="F3256" t="s">
        <v>185</v>
      </c>
      <c r="H3256" t="s">
        <v>47</v>
      </c>
      <c r="I3256" t="s">
        <v>30</v>
      </c>
      <c r="J3256" t="s">
        <v>35</v>
      </c>
      <c r="K3256"/>
      <c r="L3256" s="47" t="s">
        <v>180</v>
      </c>
      <c r="M3256" s="47" t="s">
        <v>197</v>
      </c>
    </row>
    <row r="3257" spans="1:13" ht="15" customHeight="1">
      <c r="A3257" s="47">
        <v>1286</v>
      </c>
      <c r="B3257" s="2">
        <v>4311</v>
      </c>
      <c r="C3257" t="s">
        <v>851</v>
      </c>
      <c r="D3257" s="47" t="s">
        <v>1131</v>
      </c>
      <c r="E3257" s="47" t="s">
        <v>1129</v>
      </c>
      <c r="F3257" t="s">
        <v>185</v>
      </c>
      <c r="H3257" t="s">
        <v>47</v>
      </c>
      <c r="I3257" t="s">
        <v>30</v>
      </c>
      <c r="J3257" t="s">
        <v>35</v>
      </c>
      <c r="K3257"/>
      <c r="L3257" s="47" t="s">
        <v>239</v>
      </c>
      <c r="M3257" s="47" t="s">
        <v>1135</v>
      </c>
    </row>
    <row r="3258" spans="1:13" ht="15" customHeight="1">
      <c r="A3258" s="47">
        <v>1286</v>
      </c>
      <c r="B3258" s="2">
        <v>4312</v>
      </c>
      <c r="C3258" t="s">
        <v>851</v>
      </c>
      <c r="D3258" s="47" t="s">
        <v>1132</v>
      </c>
      <c r="E3258" s="47" t="s">
        <v>1129</v>
      </c>
      <c r="F3258" t="s">
        <v>185</v>
      </c>
      <c r="H3258" t="s">
        <v>47</v>
      </c>
      <c r="I3258" t="s">
        <v>30</v>
      </c>
      <c r="J3258" t="s">
        <v>35</v>
      </c>
      <c r="K3258"/>
      <c r="L3258" s="47" t="s">
        <v>239</v>
      </c>
      <c r="M3258" s="47" t="s">
        <v>1135</v>
      </c>
    </row>
    <row r="3259" spans="1:13" ht="15" customHeight="1">
      <c r="A3259" s="47">
        <v>1286</v>
      </c>
      <c r="B3259" s="2">
        <v>4313</v>
      </c>
      <c r="C3259" t="s">
        <v>851</v>
      </c>
      <c r="D3259" s="2" t="s">
        <v>1127</v>
      </c>
      <c r="E3259" s="47" t="s">
        <v>1126</v>
      </c>
      <c r="F3259" t="s">
        <v>185</v>
      </c>
      <c r="H3259" t="s">
        <v>47</v>
      </c>
      <c r="I3259" t="s">
        <v>30</v>
      </c>
      <c r="J3259" t="s">
        <v>35</v>
      </c>
      <c r="K3259"/>
      <c r="L3259" s="47" t="s">
        <v>314</v>
      </c>
      <c r="M3259" s="47" t="s">
        <v>1136</v>
      </c>
    </row>
    <row r="3260" spans="1:13" ht="15" customHeight="1">
      <c r="A3260" s="47">
        <v>1287</v>
      </c>
      <c r="B3260" s="2">
        <v>4314</v>
      </c>
      <c r="C3260" t="s">
        <v>851</v>
      </c>
      <c r="D3260" s="47" t="s">
        <v>1134</v>
      </c>
      <c r="E3260" s="2" t="s">
        <v>1125</v>
      </c>
      <c r="F3260" t="s">
        <v>185</v>
      </c>
      <c r="G3260"/>
      <c r="H3260" t="s">
        <v>47</v>
      </c>
      <c r="I3260" t="s">
        <v>30</v>
      </c>
      <c r="J3260" t="s">
        <v>35</v>
      </c>
      <c r="K3260"/>
      <c r="L3260" s="47" t="s">
        <v>180</v>
      </c>
      <c r="M3260" s="47" t="s">
        <v>1135</v>
      </c>
    </row>
    <row r="3261" spans="1:13" ht="15" customHeight="1">
      <c r="A3261" s="47">
        <v>1287</v>
      </c>
      <c r="B3261" s="2">
        <v>4315</v>
      </c>
      <c r="C3261" t="s">
        <v>851</v>
      </c>
      <c r="D3261" s="47" t="s">
        <v>1130</v>
      </c>
      <c r="E3261" s="47" t="s">
        <v>1128</v>
      </c>
      <c r="F3261" t="s">
        <v>185</v>
      </c>
      <c r="H3261" t="s">
        <v>47</v>
      </c>
      <c r="I3261" t="s">
        <v>30</v>
      </c>
      <c r="J3261" t="s">
        <v>35</v>
      </c>
      <c r="K3261"/>
      <c r="L3261" s="47" t="s">
        <v>180</v>
      </c>
      <c r="M3261" s="47" t="s">
        <v>197</v>
      </c>
    </row>
    <row r="3262" spans="1:13" ht="15" customHeight="1">
      <c r="A3262" s="47">
        <v>1287</v>
      </c>
      <c r="B3262" s="2">
        <v>4316</v>
      </c>
      <c r="C3262" t="s">
        <v>851</v>
      </c>
      <c r="D3262" s="47" t="s">
        <v>1131</v>
      </c>
      <c r="E3262" s="47" t="s">
        <v>1129</v>
      </c>
      <c r="F3262" t="s">
        <v>185</v>
      </c>
      <c r="H3262" t="s">
        <v>47</v>
      </c>
      <c r="I3262" t="s">
        <v>30</v>
      </c>
      <c r="J3262" t="s">
        <v>35</v>
      </c>
      <c r="K3262"/>
      <c r="L3262" s="47" t="s">
        <v>239</v>
      </c>
      <c r="M3262" s="47" t="s">
        <v>1135</v>
      </c>
    </row>
    <row r="3263" spans="1:13" ht="15" customHeight="1">
      <c r="A3263" s="47">
        <v>1287</v>
      </c>
      <c r="B3263" s="2">
        <v>4317</v>
      </c>
      <c r="C3263" t="s">
        <v>851</v>
      </c>
      <c r="D3263" s="47" t="s">
        <v>1132</v>
      </c>
      <c r="E3263" s="47" t="s">
        <v>1129</v>
      </c>
      <c r="F3263" t="s">
        <v>185</v>
      </c>
      <c r="H3263" t="s">
        <v>47</v>
      </c>
      <c r="I3263" t="s">
        <v>30</v>
      </c>
      <c r="J3263" t="s">
        <v>35</v>
      </c>
      <c r="K3263"/>
      <c r="L3263" s="47" t="s">
        <v>239</v>
      </c>
      <c r="M3263" s="47" t="s">
        <v>1135</v>
      </c>
    </row>
    <row r="3264" spans="1:13" ht="15" customHeight="1">
      <c r="A3264" s="47">
        <v>1287</v>
      </c>
      <c r="B3264" s="2">
        <v>4318</v>
      </c>
      <c r="C3264" t="s">
        <v>851</v>
      </c>
      <c r="D3264" s="2" t="s">
        <v>1127</v>
      </c>
      <c r="E3264" s="47" t="s">
        <v>1126</v>
      </c>
      <c r="F3264" t="s">
        <v>185</v>
      </c>
      <c r="H3264" t="s">
        <v>47</v>
      </c>
      <c r="I3264" t="s">
        <v>30</v>
      </c>
      <c r="J3264" t="s">
        <v>35</v>
      </c>
      <c r="K3264"/>
      <c r="L3264" s="47" t="s">
        <v>314</v>
      </c>
      <c r="M3264" s="47" t="s">
        <v>1136</v>
      </c>
    </row>
    <row r="3265" spans="1:13" ht="15" customHeight="1">
      <c r="A3265" s="47">
        <v>1288</v>
      </c>
      <c r="B3265" s="2">
        <v>4319</v>
      </c>
      <c r="C3265" t="s">
        <v>851</v>
      </c>
      <c r="D3265" s="47" t="s">
        <v>1134</v>
      </c>
      <c r="E3265" s="2" t="s">
        <v>1125</v>
      </c>
      <c r="F3265" t="s">
        <v>185</v>
      </c>
      <c r="G3265"/>
      <c r="H3265" t="s">
        <v>47</v>
      </c>
      <c r="I3265" t="s">
        <v>30</v>
      </c>
      <c r="J3265" t="s">
        <v>35</v>
      </c>
      <c r="K3265"/>
      <c r="L3265" s="47" t="s">
        <v>180</v>
      </c>
      <c r="M3265" s="47" t="s">
        <v>1135</v>
      </c>
    </row>
    <row r="3266" spans="1:13" ht="15" customHeight="1">
      <c r="A3266" s="47">
        <v>1288</v>
      </c>
      <c r="B3266" s="2">
        <v>4320</v>
      </c>
      <c r="C3266" t="s">
        <v>851</v>
      </c>
      <c r="D3266" s="47" t="s">
        <v>1130</v>
      </c>
      <c r="E3266" s="47" t="s">
        <v>1128</v>
      </c>
      <c r="F3266" t="s">
        <v>185</v>
      </c>
      <c r="H3266" t="s">
        <v>47</v>
      </c>
      <c r="I3266" t="s">
        <v>30</v>
      </c>
      <c r="J3266" t="s">
        <v>35</v>
      </c>
      <c r="K3266"/>
      <c r="L3266" s="47" t="s">
        <v>180</v>
      </c>
      <c r="M3266" s="47" t="s">
        <v>197</v>
      </c>
    </row>
    <row r="3267" spans="1:13" ht="15" customHeight="1">
      <c r="A3267" s="47">
        <v>1288</v>
      </c>
      <c r="B3267" s="2">
        <v>4321</v>
      </c>
      <c r="C3267" t="s">
        <v>851</v>
      </c>
      <c r="D3267" s="47" t="s">
        <v>1131</v>
      </c>
      <c r="E3267" s="47" t="s">
        <v>1129</v>
      </c>
      <c r="F3267" t="s">
        <v>185</v>
      </c>
      <c r="H3267" t="s">
        <v>47</v>
      </c>
      <c r="I3267" t="s">
        <v>30</v>
      </c>
      <c r="J3267" t="s">
        <v>35</v>
      </c>
      <c r="K3267"/>
      <c r="L3267" s="47" t="s">
        <v>239</v>
      </c>
      <c r="M3267" s="47" t="s">
        <v>1135</v>
      </c>
    </row>
    <row r="3268" spans="1:13" ht="15" customHeight="1">
      <c r="A3268" s="47">
        <v>1288</v>
      </c>
      <c r="B3268" s="2">
        <v>4322</v>
      </c>
      <c r="C3268" t="s">
        <v>851</v>
      </c>
      <c r="D3268" s="47" t="s">
        <v>1132</v>
      </c>
      <c r="E3268" s="47" t="s">
        <v>1129</v>
      </c>
      <c r="F3268" t="s">
        <v>185</v>
      </c>
      <c r="H3268" t="s">
        <v>47</v>
      </c>
      <c r="I3268" t="s">
        <v>30</v>
      </c>
      <c r="J3268" t="s">
        <v>35</v>
      </c>
      <c r="K3268"/>
      <c r="L3268" s="47" t="s">
        <v>239</v>
      </c>
      <c r="M3268" s="47" t="s">
        <v>1135</v>
      </c>
    </row>
    <row r="3269" spans="1:13" ht="15" customHeight="1">
      <c r="A3269" s="47">
        <v>1288</v>
      </c>
      <c r="B3269" s="2">
        <v>4323</v>
      </c>
      <c r="C3269" t="s">
        <v>851</v>
      </c>
      <c r="D3269" s="2" t="s">
        <v>1127</v>
      </c>
      <c r="E3269" s="47" t="s">
        <v>1126</v>
      </c>
      <c r="F3269" t="s">
        <v>185</v>
      </c>
      <c r="H3269" t="s">
        <v>47</v>
      </c>
      <c r="I3269" t="s">
        <v>30</v>
      </c>
      <c r="J3269" t="s">
        <v>35</v>
      </c>
      <c r="K3269"/>
      <c r="L3269" s="47" t="s">
        <v>314</v>
      </c>
      <c r="M3269" s="47" t="s">
        <v>1136</v>
      </c>
    </row>
    <row r="3270" spans="1:13" ht="15" customHeight="1">
      <c r="A3270" s="47">
        <v>1289</v>
      </c>
      <c r="B3270" s="2">
        <v>4324</v>
      </c>
      <c r="C3270" t="s">
        <v>851</v>
      </c>
      <c r="D3270" s="47" t="s">
        <v>1134</v>
      </c>
      <c r="E3270" s="2" t="s">
        <v>1125</v>
      </c>
      <c r="F3270" t="s">
        <v>185</v>
      </c>
      <c r="G3270"/>
      <c r="H3270" t="s">
        <v>47</v>
      </c>
      <c r="I3270" t="s">
        <v>30</v>
      </c>
      <c r="J3270" t="s">
        <v>35</v>
      </c>
      <c r="K3270"/>
      <c r="L3270" s="47" t="s">
        <v>180</v>
      </c>
      <c r="M3270" s="47" t="s">
        <v>1135</v>
      </c>
    </row>
    <row r="3271" spans="1:13" ht="15" customHeight="1">
      <c r="A3271" s="47">
        <v>1289</v>
      </c>
      <c r="B3271" s="2">
        <v>4325</v>
      </c>
      <c r="C3271" t="s">
        <v>851</v>
      </c>
      <c r="D3271" s="47" t="s">
        <v>1130</v>
      </c>
      <c r="E3271" s="47" t="s">
        <v>1128</v>
      </c>
      <c r="F3271" t="s">
        <v>185</v>
      </c>
      <c r="H3271" t="s">
        <v>47</v>
      </c>
      <c r="I3271" t="s">
        <v>30</v>
      </c>
      <c r="J3271" t="s">
        <v>35</v>
      </c>
      <c r="K3271"/>
      <c r="L3271" s="47" t="s">
        <v>180</v>
      </c>
      <c r="M3271" s="47" t="s">
        <v>197</v>
      </c>
    </row>
    <row r="3272" spans="1:13" ht="15" customHeight="1">
      <c r="A3272" s="47">
        <v>1289</v>
      </c>
      <c r="B3272" s="2">
        <v>4326</v>
      </c>
      <c r="C3272" t="s">
        <v>851</v>
      </c>
      <c r="D3272" s="47" t="s">
        <v>1131</v>
      </c>
      <c r="E3272" s="47" t="s">
        <v>1129</v>
      </c>
      <c r="F3272" t="s">
        <v>185</v>
      </c>
      <c r="H3272" t="s">
        <v>47</v>
      </c>
      <c r="I3272" t="s">
        <v>30</v>
      </c>
      <c r="J3272" t="s">
        <v>35</v>
      </c>
      <c r="K3272"/>
      <c r="L3272" s="47" t="s">
        <v>239</v>
      </c>
      <c r="M3272" s="47" t="s">
        <v>1135</v>
      </c>
    </row>
    <row r="3273" spans="1:13" ht="15" customHeight="1">
      <c r="A3273" s="47">
        <v>1289</v>
      </c>
      <c r="B3273" s="2">
        <v>4327</v>
      </c>
      <c r="C3273" t="s">
        <v>851</v>
      </c>
      <c r="D3273" s="47" t="s">
        <v>1132</v>
      </c>
      <c r="E3273" s="47" t="s">
        <v>1129</v>
      </c>
      <c r="F3273" t="s">
        <v>185</v>
      </c>
      <c r="H3273" t="s">
        <v>47</v>
      </c>
      <c r="I3273" t="s">
        <v>30</v>
      </c>
      <c r="J3273" t="s">
        <v>35</v>
      </c>
      <c r="K3273"/>
      <c r="L3273" s="47" t="s">
        <v>239</v>
      </c>
      <c r="M3273" s="47" t="s">
        <v>1135</v>
      </c>
    </row>
    <row r="3274" spans="1:13" ht="15" customHeight="1">
      <c r="A3274" s="47">
        <v>1289</v>
      </c>
      <c r="B3274" s="2">
        <v>4328</v>
      </c>
      <c r="C3274" t="s">
        <v>851</v>
      </c>
      <c r="D3274" s="2" t="s">
        <v>1127</v>
      </c>
      <c r="E3274" s="47" t="s">
        <v>1126</v>
      </c>
      <c r="F3274" t="s">
        <v>185</v>
      </c>
      <c r="H3274" t="s">
        <v>47</v>
      </c>
      <c r="I3274" t="s">
        <v>30</v>
      </c>
      <c r="J3274" t="s">
        <v>35</v>
      </c>
      <c r="K3274"/>
      <c r="L3274" s="47" t="s">
        <v>314</v>
      </c>
      <c r="M3274" s="47" t="s">
        <v>1136</v>
      </c>
    </row>
    <row r="3275" spans="1:13" ht="15" customHeight="1">
      <c r="A3275" s="47">
        <v>1290</v>
      </c>
      <c r="B3275" s="2">
        <v>4329</v>
      </c>
      <c r="C3275" t="s">
        <v>851</v>
      </c>
      <c r="D3275" s="47" t="s">
        <v>1134</v>
      </c>
      <c r="E3275" s="2" t="s">
        <v>1125</v>
      </c>
      <c r="F3275" t="s">
        <v>185</v>
      </c>
      <c r="G3275"/>
      <c r="H3275" t="s">
        <v>47</v>
      </c>
      <c r="I3275" t="s">
        <v>30</v>
      </c>
      <c r="J3275" t="s">
        <v>35</v>
      </c>
      <c r="K3275"/>
      <c r="L3275" s="47" t="s">
        <v>180</v>
      </c>
      <c r="M3275" s="47" t="s">
        <v>1135</v>
      </c>
    </row>
    <row r="3276" spans="1:13" ht="15" customHeight="1">
      <c r="A3276" s="47">
        <v>1290</v>
      </c>
      <c r="B3276" s="2">
        <v>4330</v>
      </c>
      <c r="C3276" t="s">
        <v>851</v>
      </c>
      <c r="D3276" s="47" t="s">
        <v>1130</v>
      </c>
      <c r="E3276" s="47" t="s">
        <v>1128</v>
      </c>
      <c r="F3276" t="s">
        <v>185</v>
      </c>
      <c r="H3276" t="s">
        <v>47</v>
      </c>
      <c r="I3276" t="s">
        <v>30</v>
      </c>
      <c r="J3276" t="s">
        <v>35</v>
      </c>
      <c r="K3276"/>
      <c r="L3276" s="47" t="s">
        <v>180</v>
      </c>
      <c r="M3276" s="47" t="s">
        <v>197</v>
      </c>
    </row>
    <row r="3277" spans="1:13" ht="15" customHeight="1">
      <c r="A3277" s="47">
        <v>1290</v>
      </c>
      <c r="B3277" s="2">
        <v>4331</v>
      </c>
      <c r="C3277" t="s">
        <v>851</v>
      </c>
      <c r="D3277" s="47" t="s">
        <v>1131</v>
      </c>
      <c r="E3277" s="47" t="s">
        <v>1129</v>
      </c>
      <c r="F3277" t="s">
        <v>185</v>
      </c>
      <c r="H3277" t="s">
        <v>47</v>
      </c>
      <c r="I3277" t="s">
        <v>30</v>
      </c>
      <c r="J3277" t="s">
        <v>35</v>
      </c>
      <c r="K3277"/>
      <c r="L3277" s="47" t="s">
        <v>239</v>
      </c>
      <c r="M3277" s="47" t="s">
        <v>1135</v>
      </c>
    </row>
    <row r="3278" spans="1:13" ht="15" customHeight="1">
      <c r="A3278" s="47">
        <v>1290</v>
      </c>
      <c r="B3278" s="2">
        <v>4332</v>
      </c>
      <c r="C3278" t="s">
        <v>851</v>
      </c>
      <c r="D3278" s="47" t="s">
        <v>1132</v>
      </c>
      <c r="E3278" s="47" t="s">
        <v>1129</v>
      </c>
      <c r="F3278" t="s">
        <v>185</v>
      </c>
      <c r="H3278" t="s">
        <v>47</v>
      </c>
      <c r="I3278" t="s">
        <v>30</v>
      </c>
      <c r="J3278" t="s">
        <v>35</v>
      </c>
      <c r="K3278"/>
      <c r="L3278" s="47" t="s">
        <v>239</v>
      </c>
      <c r="M3278" s="47" t="s">
        <v>1135</v>
      </c>
    </row>
    <row r="3279" spans="1:13" ht="15" customHeight="1">
      <c r="A3279" s="47">
        <v>1290</v>
      </c>
      <c r="B3279" s="2">
        <v>4333</v>
      </c>
      <c r="C3279" t="s">
        <v>851</v>
      </c>
      <c r="D3279" s="2" t="s">
        <v>1127</v>
      </c>
      <c r="E3279" s="47" t="s">
        <v>1126</v>
      </c>
      <c r="F3279" t="s">
        <v>185</v>
      </c>
      <c r="H3279" t="s">
        <v>47</v>
      </c>
      <c r="I3279" t="s">
        <v>30</v>
      </c>
      <c r="J3279" t="s">
        <v>35</v>
      </c>
      <c r="K3279"/>
      <c r="L3279" s="47" t="s">
        <v>314</v>
      </c>
      <c r="M3279" s="47" t="s">
        <v>1136</v>
      </c>
    </row>
    <row r="3280" spans="1:13" ht="15" customHeight="1">
      <c r="A3280" s="47">
        <v>1291</v>
      </c>
      <c r="B3280" s="2">
        <v>4334</v>
      </c>
      <c r="C3280" t="s">
        <v>851</v>
      </c>
      <c r="D3280" s="47" t="s">
        <v>1134</v>
      </c>
      <c r="E3280" s="2" t="s">
        <v>1125</v>
      </c>
      <c r="F3280" t="s">
        <v>185</v>
      </c>
      <c r="G3280"/>
      <c r="H3280" t="s">
        <v>47</v>
      </c>
      <c r="I3280" t="s">
        <v>30</v>
      </c>
      <c r="J3280" t="s">
        <v>35</v>
      </c>
      <c r="K3280"/>
      <c r="L3280" s="47" t="s">
        <v>180</v>
      </c>
      <c r="M3280" s="47" t="s">
        <v>1135</v>
      </c>
    </row>
    <row r="3281" spans="1:13" ht="15" customHeight="1">
      <c r="A3281" s="47">
        <v>1291</v>
      </c>
      <c r="B3281" s="2">
        <v>4335</v>
      </c>
      <c r="C3281" t="s">
        <v>851</v>
      </c>
      <c r="D3281" s="47" t="s">
        <v>1130</v>
      </c>
      <c r="E3281" s="47" t="s">
        <v>1128</v>
      </c>
      <c r="F3281" t="s">
        <v>185</v>
      </c>
      <c r="H3281" t="s">
        <v>47</v>
      </c>
      <c r="I3281" t="s">
        <v>30</v>
      </c>
      <c r="J3281" t="s">
        <v>35</v>
      </c>
      <c r="K3281"/>
      <c r="L3281" s="47" t="s">
        <v>180</v>
      </c>
      <c r="M3281" s="47" t="s">
        <v>197</v>
      </c>
    </row>
    <row r="3282" spans="1:13" ht="15" customHeight="1">
      <c r="A3282" s="47">
        <v>1291</v>
      </c>
      <c r="B3282" s="2">
        <v>4336</v>
      </c>
      <c r="C3282" t="s">
        <v>851</v>
      </c>
      <c r="D3282" s="47" t="s">
        <v>1131</v>
      </c>
      <c r="E3282" s="47" t="s">
        <v>1129</v>
      </c>
      <c r="F3282" t="s">
        <v>185</v>
      </c>
      <c r="H3282" t="s">
        <v>47</v>
      </c>
      <c r="I3282" t="s">
        <v>30</v>
      </c>
      <c r="J3282" t="s">
        <v>35</v>
      </c>
      <c r="K3282"/>
      <c r="L3282" s="47" t="s">
        <v>239</v>
      </c>
      <c r="M3282" s="47" t="s">
        <v>1135</v>
      </c>
    </row>
    <row r="3283" spans="1:13" ht="15" customHeight="1">
      <c r="A3283" s="47">
        <v>1291</v>
      </c>
      <c r="B3283" s="2">
        <v>4337</v>
      </c>
      <c r="C3283" t="s">
        <v>851</v>
      </c>
      <c r="D3283" s="47" t="s">
        <v>1132</v>
      </c>
      <c r="E3283" s="47" t="s">
        <v>1129</v>
      </c>
      <c r="F3283" t="s">
        <v>185</v>
      </c>
      <c r="H3283" t="s">
        <v>47</v>
      </c>
      <c r="I3283" t="s">
        <v>30</v>
      </c>
      <c r="J3283" t="s">
        <v>35</v>
      </c>
      <c r="K3283"/>
      <c r="L3283" s="47" t="s">
        <v>239</v>
      </c>
      <c r="M3283" s="47" t="s">
        <v>1135</v>
      </c>
    </row>
    <row r="3284" spans="1:13" ht="15" customHeight="1">
      <c r="A3284" s="47">
        <v>1291</v>
      </c>
      <c r="B3284" s="2">
        <v>4338</v>
      </c>
      <c r="C3284" t="s">
        <v>851</v>
      </c>
      <c r="D3284" s="2" t="s">
        <v>1127</v>
      </c>
      <c r="E3284" s="47" t="s">
        <v>1126</v>
      </c>
      <c r="F3284" t="s">
        <v>185</v>
      </c>
      <c r="H3284" t="s">
        <v>47</v>
      </c>
      <c r="I3284" t="s">
        <v>30</v>
      </c>
      <c r="J3284" t="s">
        <v>35</v>
      </c>
      <c r="K3284"/>
      <c r="L3284" s="47" t="s">
        <v>314</v>
      </c>
      <c r="M3284" s="47" t="s">
        <v>1136</v>
      </c>
    </row>
    <row r="3285" spans="1:13" ht="15" customHeight="1">
      <c r="A3285" s="47">
        <v>1292</v>
      </c>
      <c r="B3285" s="2">
        <v>4339</v>
      </c>
      <c r="C3285" t="s">
        <v>851</v>
      </c>
      <c r="D3285" s="47" t="s">
        <v>1134</v>
      </c>
      <c r="E3285" s="2" t="s">
        <v>1125</v>
      </c>
      <c r="F3285" t="s">
        <v>185</v>
      </c>
      <c r="G3285"/>
      <c r="H3285" t="s">
        <v>47</v>
      </c>
      <c r="I3285" t="s">
        <v>30</v>
      </c>
      <c r="J3285" t="s">
        <v>35</v>
      </c>
      <c r="K3285"/>
      <c r="L3285" s="47" t="s">
        <v>180</v>
      </c>
      <c r="M3285" s="47" t="s">
        <v>1135</v>
      </c>
    </row>
    <row r="3286" spans="1:13" ht="15" customHeight="1">
      <c r="A3286" s="47">
        <v>1292</v>
      </c>
      <c r="B3286" s="2">
        <v>4340</v>
      </c>
      <c r="C3286" t="s">
        <v>851</v>
      </c>
      <c r="D3286" s="47" t="s">
        <v>1130</v>
      </c>
      <c r="E3286" s="47" t="s">
        <v>1128</v>
      </c>
      <c r="F3286" t="s">
        <v>185</v>
      </c>
      <c r="H3286" t="s">
        <v>47</v>
      </c>
      <c r="I3286" t="s">
        <v>30</v>
      </c>
      <c r="J3286" t="s">
        <v>35</v>
      </c>
      <c r="K3286"/>
      <c r="L3286" s="47" t="s">
        <v>180</v>
      </c>
      <c r="M3286" s="47" t="s">
        <v>197</v>
      </c>
    </row>
    <row r="3287" spans="1:13" ht="15" customHeight="1">
      <c r="A3287" s="47">
        <v>1292</v>
      </c>
      <c r="B3287" s="2">
        <v>4341</v>
      </c>
      <c r="C3287" t="s">
        <v>851</v>
      </c>
      <c r="D3287" s="47" t="s">
        <v>1131</v>
      </c>
      <c r="E3287" s="47" t="s">
        <v>1129</v>
      </c>
      <c r="F3287" t="s">
        <v>185</v>
      </c>
      <c r="H3287" t="s">
        <v>47</v>
      </c>
      <c r="I3287" t="s">
        <v>30</v>
      </c>
      <c r="J3287" t="s">
        <v>35</v>
      </c>
      <c r="K3287"/>
      <c r="L3287" s="47" t="s">
        <v>239</v>
      </c>
      <c r="M3287" s="47" t="s">
        <v>1135</v>
      </c>
    </row>
    <row r="3288" spans="1:13" ht="15" customHeight="1">
      <c r="A3288" s="47">
        <v>1292</v>
      </c>
      <c r="B3288" s="2">
        <v>4342</v>
      </c>
      <c r="C3288" t="s">
        <v>851</v>
      </c>
      <c r="D3288" s="47" t="s">
        <v>1132</v>
      </c>
      <c r="E3288" s="47" t="s">
        <v>1129</v>
      </c>
      <c r="F3288" t="s">
        <v>185</v>
      </c>
      <c r="H3288" t="s">
        <v>47</v>
      </c>
      <c r="I3288" t="s">
        <v>30</v>
      </c>
      <c r="J3288" t="s">
        <v>35</v>
      </c>
      <c r="K3288"/>
      <c r="L3288" s="47" t="s">
        <v>239</v>
      </c>
      <c r="M3288" s="47" t="s">
        <v>1135</v>
      </c>
    </row>
    <row r="3289" spans="1:13" ht="15" customHeight="1">
      <c r="A3289" s="47">
        <v>1292</v>
      </c>
      <c r="B3289" s="2">
        <v>4343</v>
      </c>
      <c r="C3289" t="s">
        <v>851</v>
      </c>
      <c r="D3289" s="2" t="s">
        <v>1127</v>
      </c>
      <c r="E3289" s="47" t="s">
        <v>1126</v>
      </c>
      <c r="F3289" t="s">
        <v>185</v>
      </c>
      <c r="H3289" t="s">
        <v>47</v>
      </c>
      <c r="I3289" t="s">
        <v>30</v>
      </c>
      <c r="J3289" t="s">
        <v>35</v>
      </c>
      <c r="K3289"/>
      <c r="L3289" s="47" t="s">
        <v>314</v>
      </c>
      <c r="M3289" s="47" t="s">
        <v>1136</v>
      </c>
    </row>
    <row r="3290" spans="1:13" ht="15" customHeight="1">
      <c r="A3290" s="47">
        <v>1293</v>
      </c>
      <c r="B3290" s="2">
        <v>4344</v>
      </c>
      <c r="C3290" t="s">
        <v>851</v>
      </c>
      <c r="D3290" s="47" t="s">
        <v>1134</v>
      </c>
      <c r="E3290" s="2" t="s">
        <v>1125</v>
      </c>
      <c r="F3290" t="s">
        <v>185</v>
      </c>
      <c r="G3290"/>
      <c r="H3290" t="s">
        <v>47</v>
      </c>
      <c r="I3290" t="s">
        <v>30</v>
      </c>
      <c r="J3290" t="s">
        <v>35</v>
      </c>
      <c r="K3290"/>
      <c r="L3290" s="47" t="s">
        <v>180</v>
      </c>
      <c r="M3290" s="47" t="s">
        <v>1135</v>
      </c>
    </row>
    <row r="3291" spans="1:13" ht="15" customHeight="1">
      <c r="A3291" s="47">
        <v>1293</v>
      </c>
      <c r="B3291" s="2">
        <v>4345</v>
      </c>
      <c r="C3291" t="s">
        <v>851</v>
      </c>
      <c r="D3291" s="47" t="s">
        <v>1130</v>
      </c>
      <c r="E3291" s="47" t="s">
        <v>1128</v>
      </c>
      <c r="F3291" t="s">
        <v>185</v>
      </c>
      <c r="H3291" t="s">
        <v>47</v>
      </c>
      <c r="I3291" t="s">
        <v>30</v>
      </c>
      <c r="J3291" t="s">
        <v>35</v>
      </c>
      <c r="K3291"/>
      <c r="L3291" s="47" t="s">
        <v>180</v>
      </c>
      <c r="M3291" s="47" t="s">
        <v>197</v>
      </c>
    </row>
    <row r="3292" spans="1:13" ht="15" customHeight="1">
      <c r="A3292" s="47">
        <v>1293</v>
      </c>
      <c r="B3292" s="2">
        <v>4346</v>
      </c>
      <c r="C3292" t="s">
        <v>851</v>
      </c>
      <c r="D3292" s="47" t="s">
        <v>1131</v>
      </c>
      <c r="E3292" s="47" t="s">
        <v>1129</v>
      </c>
      <c r="F3292" t="s">
        <v>185</v>
      </c>
      <c r="H3292" t="s">
        <v>47</v>
      </c>
      <c r="I3292" t="s">
        <v>30</v>
      </c>
      <c r="J3292" t="s">
        <v>35</v>
      </c>
      <c r="K3292"/>
      <c r="L3292" s="47" t="s">
        <v>239</v>
      </c>
      <c r="M3292" s="47" t="s">
        <v>1135</v>
      </c>
    </row>
    <row r="3293" spans="1:13" ht="15" customHeight="1">
      <c r="A3293" s="47">
        <v>1293</v>
      </c>
      <c r="B3293" s="2">
        <v>4347</v>
      </c>
      <c r="C3293" t="s">
        <v>851</v>
      </c>
      <c r="D3293" s="47" t="s">
        <v>1132</v>
      </c>
      <c r="E3293" s="47" t="s">
        <v>1129</v>
      </c>
      <c r="F3293" t="s">
        <v>185</v>
      </c>
      <c r="H3293" t="s">
        <v>47</v>
      </c>
      <c r="I3293" t="s">
        <v>30</v>
      </c>
      <c r="J3293" t="s">
        <v>35</v>
      </c>
      <c r="K3293"/>
      <c r="L3293" s="47" t="s">
        <v>239</v>
      </c>
      <c r="M3293" s="47" t="s">
        <v>1135</v>
      </c>
    </row>
    <row r="3294" spans="1:13" ht="15" customHeight="1">
      <c r="A3294" s="47">
        <v>1293</v>
      </c>
      <c r="B3294" s="2">
        <v>4348</v>
      </c>
      <c r="C3294" t="s">
        <v>851</v>
      </c>
      <c r="D3294" s="2" t="s">
        <v>1127</v>
      </c>
      <c r="E3294" s="47" t="s">
        <v>1126</v>
      </c>
      <c r="F3294" t="s">
        <v>185</v>
      </c>
      <c r="H3294" t="s">
        <v>47</v>
      </c>
      <c r="I3294" t="s">
        <v>30</v>
      </c>
      <c r="J3294" t="s">
        <v>35</v>
      </c>
      <c r="K3294"/>
      <c r="L3294" s="47" t="s">
        <v>314</v>
      </c>
      <c r="M3294" s="47" t="s">
        <v>1136</v>
      </c>
    </row>
    <row r="3295" spans="1:13" ht="15" customHeight="1">
      <c r="A3295" s="47">
        <v>1294</v>
      </c>
      <c r="B3295" s="2">
        <v>4349</v>
      </c>
      <c r="C3295" t="s">
        <v>851</v>
      </c>
      <c r="D3295" s="47" t="s">
        <v>1134</v>
      </c>
      <c r="E3295" s="2" t="s">
        <v>1125</v>
      </c>
      <c r="F3295" t="s">
        <v>185</v>
      </c>
      <c r="G3295"/>
      <c r="H3295" t="s">
        <v>47</v>
      </c>
      <c r="I3295" t="s">
        <v>30</v>
      </c>
      <c r="J3295" t="s">
        <v>35</v>
      </c>
      <c r="K3295"/>
      <c r="L3295" s="47" t="s">
        <v>180</v>
      </c>
      <c r="M3295" s="47" t="s">
        <v>1135</v>
      </c>
    </row>
    <row r="3296" spans="1:13" ht="15" customHeight="1">
      <c r="A3296" s="47">
        <v>1294</v>
      </c>
      <c r="B3296" s="2">
        <v>4350</v>
      </c>
      <c r="C3296" t="s">
        <v>851</v>
      </c>
      <c r="D3296" s="47" t="s">
        <v>1130</v>
      </c>
      <c r="E3296" s="47" t="s">
        <v>1128</v>
      </c>
      <c r="F3296" t="s">
        <v>185</v>
      </c>
      <c r="H3296" t="s">
        <v>47</v>
      </c>
      <c r="I3296" t="s">
        <v>30</v>
      </c>
      <c r="J3296" t="s">
        <v>35</v>
      </c>
      <c r="K3296"/>
      <c r="L3296" s="47" t="s">
        <v>180</v>
      </c>
      <c r="M3296" s="47" t="s">
        <v>197</v>
      </c>
    </row>
    <row r="3297" spans="1:13" ht="15" customHeight="1">
      <c r="A3297" s="47">
        <v>1294</v>
      </c>
      <c r="B3297" s="2">
        <v>4351</v>
      </c>
      <c r="C3297" t="s">
        <v>851</v>
      </c>
      <c r="D3297" s="47" t="s">
        <v>1131</v>
      </c>
      <c r="E3297" s="47" t="s">
        <v>1129</v>
      </c>
      <c r="F3297" t="s">
        <v>185</v>
      </c>
      <c r="H3297" t="s">
        <v>47</v>
      </c>
      <c r="I3297" t="s">
        <v>30</v>
      </c>
      <c r="J3297" t="s">
        <v>35</v>
      </c>
      <c r="K3297"/>
      <c r="L3297" s="47" t="s">
        <v>239</v>
      </c>
      <c r="M3297" s="47" t="s">
        <v>1135</v>
      </c>
    </row>
    <row r="3298" spans="1:13" ht="15" customHeight="1">
      <c r="A3298" s="47">
        <v>1294</v>
      </c>
      <c r="B3298" s="2">
        <v>4352</v>
      </c>
      <c r="C3298" t="s">
        <v>851</v>
      </c>
      <c r="D3298" s="47" t="s">
        <v>1132</v>
      </c>
      <c r="E3298" s="47" t="s">
        <v>1129</v>
      </c>
      <c r="F3298" t="s">
        <v>185</v>
      </c>
      <c r="H3298" t="s">
        <v>47</v>
      </c>
      <c r="I3298" t="s">
        <v>30</v>
      </c>
      <c r="J3298" t="s">
        <v>35</v>
      </c>
      <c r="K3298"/>
      <c r="L3298" s="47" t="s">
        <v>239</v>
      </c>
      <c r="M3298" s="47" t="s">
        <v>1135</v>
      </c>
    </row>
    <row r="3299" spans="1:13" ht="15" customHeight="1">
      <c r="A3299" s="47">
        <v>1294</v>
      </c>
      <c r="B3299" s="2">
        <v>4353</v>
      </c>
      <c r="C3299" t="s">
        <v>851</v>
      </c>
      <c r="D3299" s="2" t="s">
        <v>1127</v>
      </c>
      <c r="E3299" s="47" t="s">
        <v>1126</v>
      </c>
      <c r="F3299" t="s">
        <v>185</v>
      </c>
      <c r="H3299" t="s">
        <v>47</v>
      </c>
      <c r="I3299" t="s">
        <v>30</v>
      </c>
      <c r="J3299" t="s">
        <v>35</v>
      </c>
      <c r="K3299"/>
      <c r="L3299" s="47" t="s">
        <v>314</v>
      </c>
      <c r="M3299" s="47" t="s">
        <v>1136</v>
      </c>
    </row>
    <row r="3300" spans="1:13" ht="15" customHeight="1">
      <c r="A3300" s="47">
        <v>1295</v>
      </c>
      <c r="B3300" s="2">
        <v>4354</v>
      </c>
      <c r="C3300" t="s">
        <v>851</v>
      </c>
      <c r="D3300" s="47" t="s">
        <v>1134</v>
      </c>
      <c r="E3300" s="2" t="s">
        <v>1125</v>
      </c>
      <c r="F3300" t="s">
        <v>185</v>
      </c>
      <c r="G3300"/>
      <c r="H3300" t="s">
        <v>47</v>
      </c>
      <c r="I3300" t="s">
        <v>30</v>
      </c>
      <c r="J3300" t="s">
        <v>35</v>
      </c>
      <c r="K3300"/>
      <c r="L3300" s="47" t="s">
        <v>180</v>
      </c>
      <c r="M3300" s="47" t="s">
        <v>1135</v>
      </c>
    </row>
    <row r="3301" spans="1:13" ht="15" customHeight="1">
      <c r="A3301" s="47">
        <v>1295</v>
      </c>
      <c r="B3301" s="2">
        <v>4355</v>
      </c>
      <c r="C3301" t="s">
        <v>851</v>
      </c>
      <c r="D3301" s="47" t="s">
        <v>1130</v>
      </c>
      <c r="E3301" s="47" t="s">
        <v>1128</v>
      </c>
      <c r="F3301" t="s">
        <v>185</v>
      </c>
      <c r="H3301" t="s">
        <v>47</v>
      </c>
      <c r="I3301" t="s">
        <v>30</v>
      </c>
      <c r="J3301" t="s">
        <v>35</v>
      </c>
      <c r="K3301"/>
      <c r="L3301" s="47" t="s">
        <v>180</v>
      </c>
      <c r="M3301" s="47" t="s">
        <v>197</v>
      </c>
    </row>
    <row r="3302" spans="1:13" ht="15" customHeight="1">
      <c r="A3302" s="47">
        <v>1295</v>
      </c>
      <c r="B3302" s="2">
        <v>4356</v>
      </c>
      <c r="C3302" t="s">
        <v>851</v>
      </c>
      <c r="D3302" s="47" t="s">
        <v>1131</v>
      </c>
      <c r="E3302" s="47" t="s">
        <v>1129</v>
      </c>
      <c r="F3302" t="s">
        <v>185</v>
      </c>
      <c r="H3302" t="s">
        <v>47</v>
      </c>
      <c r="I3302" t="s">
        <v>30</v>
      </c>
      <c r="J3302" t="s">
        <v>35</v>
      </c>
      <c r="K3302"/>
      <c r="L3302" s="47" t="s">
        <v>239</v>
      </c>
      <c r="M3302" s="47" t="s">
        <v>1135</v>
      </c>
    </row>
    <row r="3303" spans="1:13" ht="15" customHeight="1">
      <c r="A3303" s="47">
        <v>1295</v>
      </c>
      <c r="B3303" s="2">
        <v>4357</v>
      </c>
      <c r="C3303" t="s">
        <v>851</v>
      </c>
      <c r="D3303" s="47" t="s">
        <v>1132</v>
      </c>
      <c r="E3303" s="47" t="s">
        <v>1129</v>
      </c>
      <c r="F3303" t="s">
        <v>185</v>
      </c>
      <c r="H3303" t="s">
        <v>47</v>
      </c>
      <c r="I3303" t="s">
        <v>30</v>
      </c>
      <c r="J3303" t="s">
        <v>35</v>
      </c>
      <c r="K3303"/>
      <c r="L3303" s="47" t="s">
        <v>239</v>
      </c>
      <c r="M3303" s="47" t="s">
        <v>1135</v>
      </c>
    </row>
    <row r="3304" spans="1:13" ht="15" customHeight="1">
      <c r="A3304" s="47">
        <v>1295</v>
      </c>
      <c r="B3304" s="2">
        <v>4358</v>
      </c>
      <c r="C3304" t="s">
        <v>851</v>
      </c>
      <c r="D3304" s="2" t="s">
        <v>1127</v>
      </c>
      <c r="E3304" s="47" t="s">
        <v>1126</v>
      </c>
      <c r="F3304" t="s">
        <v>185</v>
      </c>
      <c r="H3304" t="s">
        <v>47</v>
      </c>
      <c r="I3304" t="s">
        <v>30</v>
      </c>
      <c r="J3304" t="s">
        <v>35</v>
      </c>
      <c r="K3304"/>
      <c r="L3304" s="47" t="s">
        <v>314</v>
      </c>
      <c r="M3304" s="47" t="s">
        <v>1136</v>
      </c>
    </row>
    <row r="3305" spans="1:13" ht="15" customHeight="1">
      <c r="A3305" s="47">
        <v>1296</v>
      </c>
      <c r="B3305" s="2">
        <v>4359</v>
      </c>
      <c r="C3305" t="s">
        <v>851</v>
      </c>
      <c r="D3305" s="47" t="s">
        <v>1134</v>
      </c>
      <c r="E3305" s="2" t="s">
        <v>1125</v>
      </c>
      <c r="F3305" t="s">
        <v>185</v>
      </c>
      <c r="G3305"/>
      <c r="H3305" t="s">
        <v>47</v>
      </c>
      <c r="I3305" t="s">
        <v>30</v>
      </c>
      <c r="J3305" t="s">
        <v>35</v>
      </c>
      <c r="K3305"/>
      <c r="L3305" s="47" t="s">
        <v>180</v>
      </c>
      <c r="M3305" s="47" t="s">
        <v>1135</v>
      </c>
    </row>
    <row r="3306" spans="1:13" ht="15" customHeight="1">
      <c r="A3306" s="47">
        <v>1296</v>
      </c>
      <c r="B3306" s="2">
        <v>4360</v>
      </c>
      <c r="C3306" t="s">
        <v>851</v>
      </c>
      <c r="D3306" s="47" t="s">
        <v>1130</v>
      </c>
      <c r="E3306" s="47" t="s">
        <v>1128</v>
      </c>
      <c r="F3306" t="s">
        <v>185</v>
      </c>
      <c r="H3306" t="s">
        <v>47</v>
      </c>
      <c r="I3306" t="s">
        <v>30</v>
      </c>
      <c r="J3306" t="s">
        <v>35</v>
      </c>
      <c r="K3306"/>
      <c r="L3306" s="47" t="s">
        <v>180</v>
      </c>
      <c r="M3306" s="47" t="s">
        <v>197</v>
      </c>
    </row>
    <row r="3307" spans="1:13" ht="15" customHeight="1">
      <c r="A3307" s="47">
        <v>1296</v>
      </c>
      <c r="B3307" s="2">
        <v>4361</v>
      </c>
      <c r="C3307" t="s">
        <v>851</v>
      </c>
      <c r="D3307" s="47" t="s">
        <v>1131</v>
      </c>
      <c r="E3307" s="47" t="s">
        <v>1129</v>
      </c>
      <c r="F3307" t="s">
        <v>185</v>
      </c>
      <c r="H3307" t="s">
        <v>47</v>
      </c>
      <c r="I3307" t="s">
        <v>30</v>
      </c>
      <c r="J3307" t="s">
        <v>35</v>
      </c>
      <c r="K3307"/>
      <c r="L3307" s="47" t="s">
        <v>239</v>
      </c>
      <c r="M3307" s="47" t="s">
        <v>1135</v>
      </c>
    </row>
    <row r="3308" spans="1:13" ht="15" customHeight="1">
      <c r="A3308" s="47">
        <v>1296</v>
      </c>
      <c r="B3308" s="2">
        <v>4362</v>
      </c>
      <c r="C3308" t="s">
        <v>851</v>
      </c>
      <c r="D3308" s="47" t="s">
        <v>1132</v>
      </c>
      <c r="E3308" s="47" t="s">
        <v>1129</v>
      </c>
      <c r="F3308" t="s">
        <v>185</v>
      </c>
      <c r="H3308" t="s">
        <v>47</v>
      </c>
      <c r="I3308" t="s">
        <v>30</v>
      </c>
      <c r="J3308" t="s">
        <v>35</v>
      </c>
      <c r="K3308"/>
      <c r="L3308" s="47" t="s">
        <v>239</v>
      </c>
      <c r="M3308" s="47" t="s">
        <v>1135</v>
      </c>
    </row>
    <row r="3309" spans="1:13" ht="15" customHeight="1">
      <c r="A3309" s="47">
        <v>1296</v>
      </c>
      <c r="B3309" s="2">
        <v>4363</v>
      </c>
      <c r="C3309" t="s">
        <v>851</v>
      </c>
      <c r="D3309" s="2" t="s">
        <v>1127</v>
      </c>
      <c r="E3309" s="47" t="s">
        <v>1126</v>
      </c>
      <c r="F3309" t="s">
        <v>185</v>
      </c>
      <c r="H3309" t="s">
        <v>47</v>
      </c>
      <c r="I3309" t="s">
        <v>30</v>
      </c>
      <c r="J3309" t="s">
        <v>35</v>
      </c>
      <c r="K3309"/>
      <c r="L3309" s="47" t="s">
        <v>314</v>
      </c>
      <c r="M3309" s="47" t="s">
        <v>1136</v>
      </c>
    </row>
    <row r="3310" spans="1:13" ht="15" customHeight="1">
      <c r="A3310" s="47">
        <v>1297</v>
      </c>
      <c r="B3310" s="2">
        <v>4364</v>
      </c>
      <c r="C3310" t="s">
        <v>851</v>
      </c>
      <c r="D3310" s="47" t="s">
        <v>1134</v>
      </c>
      <c r="E3310" s="2" t="s">
        <v>1125</v>
      </c>
      <c r="F3310" t="s">
        <v>185</v>
      </c>
      <c r="G3310"/>
      <c r="H3310" t="s">
        <v>47</v>
      </c>
      <c r="I3310" t="s">
        <v>30</v>
      </c>
      <c r="J3310" t="s">
        <v>35</v>
      </c>
      <c r="K3310"/>
      <c r="L3310" s="47" t="s">
        <v>180</v>
      </c>
      <c r="M3310" s="47" t="s">
        <v>1135</v>
      </c>
    </row>
    <row r="3311" spans="1:13" ht="15" customHeight="1">
      <c r="A3311" s="47">
        <v>1297</v>
      </c>
      <c r="B3311" s="2">
        <v>4365</v>
      </c>
      <c r="C3311" t="s">
        <v>851</v>
      </c>
      <c r="D3311" s="47" t="s">
        <v>1130</v>
      </c>
      <c r="E3311" s="47" t="s">
        <v>1128</v>
      </c>
      <c r="F3311" t="s">
        <v>185</v>
      </c>
      <c r="H3311" t="s">
        <v>47</v>
      </c>
      <c r="I3311" t="s">
        <v>30</v>
      </c>
      <c r="J3311" t="s">
        <v>35</v>
      </c>
      <c r="K3311"/>
      <c r="L3311" s="47" t="s">
        <v>180</v>
      </c>
      <c r="M3311" s="47" t="s">
        <v>197</v>
      </c>
    </row>
    <row r="3312" spans="1:13" ht="15" customHeight="1">
      <c r="A3312" s="47">
        <v>1297</v>
      </c>
      <c r="B3312" s="2">
        <v>4366</v>
      </c>
      <c r="C3312" t="s">
        <v>851</v>
      </c>
      <c r="D3312" s="47" t="s">
        <v>1131</v>
      </c>
      <c r="E3312" s="47" t="s">
        <v>1129</v>
      </c>
      <c r="F3312" t="s">
        <v>185</v>
      </c>
      <c r="H3312" t="s">
        <v>47</v>
      </c>
      <c r="I3312" t="s">
        <v>30</v>
      </c>
      <c r="J3312" t="s">
        <v>35</v>
      </c>
      <c r="K3312"/>
      <c r="L3312" s="47" t="s">
        <v>239</v>
      </c>
      <c r="M3312" s="47" t="s">
        <v>1135</v>
      </c>
    </row>
    <row r="3313" spans="1:13" ht="15" customHeight="1">
      <c r="A3313" s="47">
        <v>1297</v>
      </c>
      <c r="B3313" s="2">
        <v>4367</v>
      </c>
      <c r="C3313" t="s">
        <v>851</v>
      </c>
      <c r="D3313" s="47" t="s">
        <v>1132</v>
      </c>
      <c r="E3313" s="47" t="s">
        <v>1129</v>
      </c>
      <c r="F3313" t="s">
        <v>185</v>
      </c>
      <c r="H3313" t="s">
        <v>47</v>
      </c>
      <c r="I3313" t="s">
        <v>30</v>
      </c>
      <c r="J3313" t="s">
        <v>35</v>
      </c>
      <c r="K3313"/>
      <c r="L3313" s="47" t="s">
        <v>239</v>
      </c>
      <c r="M3313" s="47" t="s">
        <v>1135</v>
      </c>
    </row>
    <row r="3314" spans="1:13" ht="15" customHeight="1">
      <c r="A3314" s="47">
        <v>1297</v>
      </c>
      <c r="B3314" s="2">
        <v>4368</v>
      </c>
      <c r="C3314" t="s">
        <v>851</v>
      </c>
      <c r="D3314" s="2" t="s">
        <v>1127</v>
      </c>
      <c r="E3314" s="47" t="s">
        <v>1126</v>
      </c>
      <c r="F3314" t="s">
        <v>185</v>
      </c>
      <c r="H3314" t="s">
        <v>47</v>
      </c>
      <c r="I3314" t="s">
        <v>30</v>
      </c>
      <c r="J3314" t="s">
        <v>35</v>
      </c>
      <c r="K3314"/>
      <c r="L3314" s="47" t="s">
        <v>314</v>
      </c>
      <c r="M3314" s="47" t="s">
        <v>1136</v>
      </c>
    </row>
    <row r="3315" spans="1:13" ht="15" customHeight="1">
      <c r="A3315" s="47">
        <v>1298</v>
      </c>
      <c r="B3315" s="2">
        <v>4369</v>
      </c>
      <c r="C3315" t="s">
        <v>851</v>
      </c>
      <c r="D3315" s="47" t="s">
        <v>1134</v>
      </c>
      <c r="E3315" s="2" t="s">
        <v>1125</v>
      </c>
      <c r="F3315" t="s">
        <v>185</v>
      </c>
      <c r="G3315"/>
      <c r="H3315" t="s">
        <v>47</v>
      </c>
      <c r="I3315" t="s">
        <v>30</v>
      </c>
      <c r="J3315" t="s">
        <v>35</v>
      </c>
      <c r="K3315"/>
      <c r="L3315" s="47" t="s">
        <v>180</v>
      </c>
      <c r="M3315" s="47" t="s">
        <v>1135</v>
      </c>
    </row>
    <row r="3316" spans="1:13" ht="15" customHeight="1">
      <c r="A3316" s="47">
        <v>1298</v>
      </c>
      <c r="B3316" s="2">
        <v>4370</v>
      </c>
      <c r="C3316" t="s">
        <v>851</v>
      </c>
      <c r="D3316" s="47" t="s">
        <v>1130</v>
      </c>
      <c r="E3316" s="47" t="s">
        <v>1128</v>
      </c>
      <c r="F3316" t="s">
        <v>185</v>
      </c>
      <c r="H3316" t="s">
        <v>47</v>
      </c>
      <c r="I3316" t="s">
        <v>30</v>
      </c>
      <c r="J3316" t="s">
        <v>35</v>
      </c>
      <c r="K3316"/>
      <c r="L3316" s="47" t="s">
        <v>180</v>
      </c>
      <c r="M3316" s="47" t="s">
        <v>197</v>
      </c>
    </row>
    <row r="3317" spans="1:13" ht="15" customHeight="1">
      <c r="A3317" s="47">
        <v>1298</v>
      </c>
      <c r="B3317" s="2">
        <v>4371</v>
      </c>
      <c r="C3317" t="s">
        <v>851</v>
      </c>
      <c r="D3317" s="47" t="s">
        <v>1131</v>
      </c>
      <c r="E3317" s="47" t="s">
        <v>1129</v>
      </c>
      <c r="F3317" t="s">
        <v>185</v>
      </c>
      <c r="H3317" t="s">
        <v>47</v>
      </c>
      <c r="I3317" t="s">
        <v>30</v>
      </c>
      <c r="J3317" t="s">
        <v>35</v>
      </c>
      <c r="K3317"/>
      <c r="L3317" s="47" t="s">
        <v>239</v>
      </c>
      <c r="M3317" s="47" t="s">
        <v>1135</v>
      </c>
    </row>
    <row r="3318" spans="1:13" ht="15" customHeight="1">
      <c r="A3318" s="47">
        <v>1298</v>
      </c>
      <c r="B3318" s="2">
        <v>4372</v>
      </c>
      <c r="C3318" t="s">
        <v>851</v>
      </c>
      <c r="D3318" s="47" t="s">
        <v>1132</v>
      </c>
      <c r="E3318" s="47" t="s">
        <v>1129</v>
      </c>
      <c r="F3318" t="s">
        <v>185</v>
      </c>
      <c r="H3318" t="s">
        <v>47</v>
      </c>
      <c r="I3318" t="s">
        <v>30</v>
      </c>
      <c r="J3318" t="s">
        <v>35</v>
      </c>
      <c r="K3318"/>
      <c r="L3318" s="47" t="s">
        <v>239</v>
      </c>
      <c r="M3318" s="47" t="s">
        <v>1135</v>
      </c>
    </row>
    <row r="3319" spans="1:13" ht="15" customHeight="1">
      <c r="A3319" s="47">
        <v>1298</v>
      </c>
      <c r="B3319" s="2">
        <v>4373</v>
      </c>
      <c r="C3319" t="s">
        <v>851</v>
      </c>
      <c r="D3319" s="2" t="s">
        <v>1127</v>
      </c>
      <c r="E3319" s="47" t="s">
        <v>1126</v>
      </c>
      <c r="F3319" t="s">
        <v>185</v>
      </c>
      <c r="H3319" t="s">
        <v>47</v>
      </c>
      <c r="I3319" t="s">
        <v>30</v>
      </c>
      <c r="J3319" t="s">
        <v>35</v>
      </c>
      <c r="K3319"/>
      <c r="L3319" s="47" t="s">
        <v>314</v>
      </c>
      <c r="M3319" s="47" t="s">
        <v>1136</v>
      </c>
    </row>
    <row r="3320" spans="1:13" ht="15" customHeight="1">
      <c r="A3320" s="47">
        <v>1299</v>
      </c>
      <c r="B3320" s="2">
        <v>4374</v>
      </c>
      <c r="C3320" t="s">
        <v>851</v>
      </c>
      <c r="D3320" s="47" t="s">
        <v>1134</v>
      </c>
      <c r="E3320" s="2" t="s">
        <v>1125</v>
      </c>
      <c r="F3320" t="s">
        <v>185</v>
      </c>
      <c r="G3320"/>
      <c r="H3320" t="s">
        <v>47</v>
      </c>
      <c r="I3320" t="s">
        <v>30</v>
      </c>
      <c r="J3320" t="s">
        <v>35</v>
      </c>
      <c r="K3320"/>
      <c r="L3320" s="47" t="s">
        <v>180</v>
      </c>
      <c r="M3320" s="47" t="s">
        <v>1135</v>
      </c>
    </row>
    <row r="3321" spans="1:13" ht="15" customHeight="1">
      <c r="A3321" s="47">
        <v>1299</v>
      </c>
      <c r="B3321" s="2">
        <v>4375</v>
      </c>
      <c r="C3321" t="s">
        <v>851</v>
      </c>
      <c r="D3321" s="47" t="s">
        <v>1130</v>
      </c>
      <c r="E3321" s="47" t="s">
        <v>1128</v>
      </c>
      <c r="F3321" t="s">
        <v>185</v>
      </c>
      <c r="H3321" t="s">
        <v>47</v>
      </c>
      <c r="I3321" t="s">
        <v>30</v>
      </c>
      <c r="J3321" t="s">
        <v>35</v>
      </c>
      <c r="K3321"/>
      <c r="L3321" s="47" t="s">
        <v>180</v>
      </c>
      <c r="M3321" s="47" t="s">
        <v>197</v>
      </c>
    </row>
    <row r="3322" spans="1:13" ht="15" customHeight="1">
      <c r="A3322" s="47">
        <v>1299</v>
      </c>
      <c r="B3322" s="2">
        <v>4376</v>
      </c>
      <c r="C3322" t="s">
        <v>851</v>
      </c>
      <c r="D3322" s="47" t="s">
        <v>1131</v>
      </c>
      <c r="E3322" s="47" t="s">
        <v>1129</v>
      </c>
      <c r="F3322" t="s">
        <v>185</v>
      </c>
      <c r="H3322" t="s">
        <v>47</v>
      </c>
      <c r="I3322" t="s">
        <v>30</v>
      </c>
      <c r="J3322" t="s">
        <v>35</v>
      </c>
      <c r="K3322"/>
      <c r="L3322" s="47" t="s">
        <v>239</v>
      </c>
      <c r="M3322" s="47" t="s">
        <v>1135</v>
      </c>
    </row>
    <row r="3323" spans="1:13" ht="15" customHeight="1">
      <c r="A3323" s="47">
        <v>1299</v>
      </c>
      <c r="B3323" s="2">
        <v>4377</v>
      </c>
      <c r="C3323" t="s">
        <v>851</v>
      </c>
      <c r="D3323" s="47" t="s">
        <v>1132</v>
      </c>
      <c r="E3323" s="47" t="s">
        <v>1129</v>
      </c>
      <c r="F3323" t="s">
        <v>185</v>
      </c>
      <c r="H3323" t="s">
        <v>47</v>
      </c>
      <c r="I3323" t="s">
        <v>30</v>
      </c>
      <c r="J3323" t="s">
        <v>35</v>
      </c>
      <c r="K3323"/>
      <c r="L3323" s="47" t="s">
        <v>239</v>
      </c>
      <c r="M3323" s="47" t="s">
        <v>1135</v>
      </c>
    </row>
    <row r="3324" spans="1:13" ht="15" customHeight="1">
      <c r="A3324" s="47">
        <v>1299</v>
      </c>
      <c r="B3324" s="2">
        <v>4378</v>
      </c>
      <c r="C3324" t="s">
        <v>851</v>
      </c>
      <c r="D3324" s="2" t="s">
        <v>1127</v>
      </c>
      <c r="E3324" s="47" t="s">
        <v>1126</v>
      </c>
      <c r="F3324" t="s">
        <v>185</v>
      </c>
      <c r="H3324" t="s">
        <v>47</v>
      </c>
      <c r="I3324" t="s">
        <v>30</v>
      </c>
      <c r="J3324" t="s">
        <v>35</v>
      </c>
      <c r="K3324"/>
      <c r="L3324" s="47" t="s">
        <v>314</v>
      </c>
      <c r="M3324" s="47" t="s">
        <v>1136</v>
      </c>
    </row>
    <row r="3325" spans="1:13" ht="15" customHeight="1">
      <c r="A3325" s="47">
        <v>1300</v>
      </c>
      <c r="B3325" s="2">
        <v>4379</v>
      </c>
      <c r="C3325" t="s">
        <v>851</v>
      </c>
      <c r="D3325" s="47" t="s">
        <v>1134</v>
      </c>
      <c r="E3325" s="2" t="s">
        <v>1125</v>
      </c>
      <c r="F3325" t="s">
        <v>185</v>
      </c>
      <c r="G3325"/>
      <c r="H3325" t="s">
        <v>47</v>
      </c>
      <c r="I3325" t="s">
        <v>30</v>
      </c>
      <c r="J3325" t="s">
        <v>35</v>
      </c>
      <c r="K3325"/>
      <c r="L3325" s="47" t="s">
        <v>180</v>
      </c>
      <c r="M3325" s="47" t="s">
        <v>1135</v>
      </c>
    </row>
    <row r="3326" spans="1:13" ht="15" customHeight="1">
      <c r="A3326" s="47">
        <v>1300</v>
      </c>
      <c r="B3326" s="2">
        <v>4380</v>
      </c>
      <c r="C3326" t="s">
        <v>851</v>
      </c>
      <c r="D3326" s="47" t="s">
        <v>1130</v>
      </c>
      <c r="E3326" s="47" t="s">
        <v>1128</v>
      </c>
      <c r="F3326" t="s">
        <v>185</v>
      </c>
      <c r="H3326" t="s">
        <v>47</v>
      </c>
      <c r="I3326" t="s">
        <v>30</v>
      </c>
      <c r="J3326" t="s">
        <v>35</v>
      </c>
      <c r="K3326"/>
      <c r="L3326" s="47" t="s">
        <v>180</v>
      </c>
      <c r="M3326" s="47" t="s">
        <v>197</v>
      </c>
    </row>
    <row r="3327" spans="1:13" ht="15" customHeight="1">
      <c r="A3327" s="47">
        <v>1300</v>
      </c>
      <c r="B3327" s="2">
        <v>4381</v>
      </c>
      <c r="C3327" t="s">
        <v>851</v>
      </c>
      <c r="D3327" s="47" t="s">
        <v>1131</v>
      </c>
      <c r="E3327" s="47" t="s">
        <v>1129</v>
      </c>
      <c r="F3327" t="s">
        <v>185</v>
      </c>
      <c r="H3327" t="s">
        <v>47</v>
      </c>
      <c r="I3327" t="s">
        <v>30</v>
      </c>
      <c r="J3327" t="s">
        <v>35</v>
      </c>
      <c r="K3327"/>
      <c r="L3327" s="47" t="s">
        <v>239</v>
      </c>
      <c r="M3327" s="47" t="s">
        <v>1135</v>
      </c>
    </row>
    <row r="3328" spans="1:13" ht="15" customHeight="1">
      <c r="A3328" s="47">
        <v>1300</v>
      </c>
      <c r="B3328" s="2">
        <v>4382</v>
      </c>
      <c r="C3328" t="s">
        <v>851</v>
      </c>
      <c r="D3328" s="47" t="s">
        <v>1132</v>
      </c>
      <c r="E3328" s="47" t="s">
        <v>1129</v>
      </c>
      <c r="F3328" t="s">
        <v>185</v>
      </c>
      <c r="H3328" t="s">
        <v>47</v>
      </c>
      <c r="I3328" t="s">
        <v>30</v>
      </c>
      <c r="J3328" t="s">
        <v>35</v>
      </c>
      <c r="K3328"/>
      <c r="L3328" s="47" t="s">
        <v>239</v>
      </c>
      <c r="M3328" s="47" t="s">
        <v>1135</v>
      </c>
    </row>
    <row r="3329" spans="1:13" ht="15" customHeight="1">
      <c r="A3329" s="47">
        <v>1300</v>
      </c>
      <c r="B3329" s="2">
        <v>4383</v>
      </c>
      <c r="C3329" t="s">
        <v>851</v>
      </c>
      <c r="D3329" s="2" t="s">
        <v>1127</v>
      </c>
      <c r="E3329" s="47" t="s">
        <v>1126</v>
      </c>
      <c r="F3329" t="s">
        <v>185</v>
      </c>
      <c r="H3329" t="s">
        <v>47</v>
      </c>
      <c r="I3329" t="s">
        <v>30</v>
      </c>
      <c r="J3329" t="s">
        <v>35</v>
      </c>
      <c r="K3329"/>
      <c r="L3329" s="47" t="s">
        <v>314</v>
      </c>
      <c r="M3329" s="47" t="s">
        <v>1136</v>
      </c>
    </row>
    <row r="3330" spans="1:13" ht="15" customHeight="1">
      <c r="A3330" s="47">
        <v>1301</v>
      </c>
      <c r="B3330" s="2">
        <v>4384</v>
      </c>
      <c r="C3330" t="s">
        <v>851</v>
      </c>
      <c r="D3330" s="47" t="s">
        <v>1134</v>
      </c>
      <c r="E3330" s="2" t="s">
        <v>1125</v>
      </c>
      <c r="F3330" t="s">
        <v>185</v>
      </c>
      <c r="G3330"/>
      <c r="H3330" t="s">
        <v>47</v>
      </c>
      <c r="I3330" t="s">
        <v>30</v>
      </c>
      <c r="J3330" t="s">
        <v>35</v>
      </c>
      <c r="K3330"/>
      <c r="L3330" s="47" t="s">
        <v>180</v>
      </c>
      <c r="M3330" s="47" t="s">
        <v>1135</v>
      </c>
    </row>
    <row r="3331" spans="1:13" ht="15" customHeight="1">
      <c r="A3331" s="47">
        <v>1301</v>
      </c>
      <c r="B3331" s="2">
        <v>4385</v>
      </c>
      <c r="C3331" t="s">
        <v>851</v>
      </c>
      <c r="D3331" s="47" t="s">
        <v>1130</v>
      </c>
      <c r="E3331" s="47" t="s">
        <v>1128</v>
      </c>
      <c r="F3331" t="s">
        <v>185</v>
      </c>
      <c r="H3331" t="s">
        <v>47</v>
      </c>
      <c r="I3331" t="s">
        <v>30</v>
      </c>
      <c r="J3331" t="s">
        <v>35</v>
      </c>
      <c r="K3331"/>
      <c r="L3331" s="47" t="s">
        <v>180</v>
      </c>
      <c r="M3331" s="47" t="s">
        <v>197</v>
      </c>
    </row>
    <row r="3332" spans="1:13" ht="15" customHeight="1">
      <c r="A3332" s="47">
        <v>1301</v>
      </c>
      <c r="B3332" s="2">
        <v>4386</v>
      </c>
      <c r="C3332" t="s">
        <v>851</v>
      </c>
      <c r="D3332" s="47" t="s">
        <v>1131</v>
      </c>
      <c r="E3332" s="47" t="s">
        <v>1129</v>
      </c>
      <c r="F3332" t="s">
        <v>185</v>
      </c>
      <c r="H3332" t="s">
        <v>47</v>
      </c>
      <c r="I3332" t="s">
        <v>30</v>
      </c>
      <c r="J3332" t="s">
        <v>35</v>
      </c>
      <c r="K3332"/>
      <c r="L3332" s="47" t="s">
        <v>239</v>
      </c>
      <c r="M3332" s="47" t="s">
        <v>1135</v>
      </c>
    </row>
    <row r="3333" spans="1:13" ht="15" customHeight="1">
      <c r="A3333" s="47">
        <v>1301</v>
      </c>
      <c r="B3333" s="2">
        <v>4387</v>
      </c>
      <c r="C3333" t="s">
        <v>851</v>
      </c>
      <c r="D3333" s="47" t="s">
        <v>1132</v>
      </c>
      <c r="E3333" s="47" t="s">
        <v>1129</v>
      </c>
      <c r="F3333" t="s">
        <v>185</v>
      </c>
      <c r="H3333" t="s">
        <v>47</v>
      </c>
      <c r="I3333" t="s">
        <v>30</v>
      </c>
      <c r="J3333" t="s">
        <v>35</v>
      </c>
      <c r="K3333"/>
      <c r="L3333" s="47" t="s">
        <v>239</v>
      </c>
      <c r="M3333" s="47" t="s">
        <v>1135</v>
      </c>
    </row>
    <row r="3334" spans="1:13" ht="15" customHeight="1">
      <c r="A3334" s="47">
        <v>1301</v>
      </c>
      <c r="B3334" s="2">
        <v>4388</v>
      </c>
      <c r="C3334" t="s">
        <v>851</v>
      </c>
      <c r="D3334" s="2" t="s">
        <v>1127</v>
      </c>
      <c r="E3334" s="47" t="s">
        <v>1126</v>
      </c>
      <c r="F3334" t="s">
        <v>185</v>
      </c>
      <c r="H3334" t="s">
        <v>47</v>
      </c>
      <c r="I3334" t="s">
        <v>30</v>
      </c>
      <c r="J3334" t="s">
        <v>35</v>
      </c>
      <c r="K3334"/>
      <c r="L3334" s="47" t="s">
        <v>314</v>
      </c>
      <c r="M3334" s="47" t="s">
        <v>1136</v>
      </c>
    </row>
    <row r="3335" spans="1:13" ht="15" customHeight="1">
      <c r="A3335" s="47">
        <v>1302</v>
      </c>
      <c r="B3335" s="2">
        <v>4389</v>
      </c>
      <c r="C3335" t="s">
        <v>851</v>
      </c>
      <c r="D3335" s="47" t="s">
        <v>1134</v>
      </c>
      <c r="E3335" s="2" t="s">
        <v>1125</v>
      </c>
      <c r="F3335" t="s">
        <v>185</v>
      </c>
      <c r="G3335"/>
      <c r="H3335" t="s">
        <v>47</v>
      </c>
      <c r="I3335" t="s">
        <v>30</v>
      </c>
      <c r="J3335" t="s">
        <v>35</v>
      </c>
      <c r="K3335"/>
      <c r="L3335" s="47" t="s">
        <v>180</v>
      </c>
      <c r="M3335" s="47" t="s">
        <v>1135</v>
      </c>
    </row>
    <row r="3336" spans="1:13" ht="15" customHeight="1">
      <c r="A3336" s="47">
        <v>1302</v>
      </c>
      <c r="B3336" s="2">
        <v>4390</v>
      </c>
      <c r="C3336" t="s">
        <v>851</v>
      </c>
      <c r="D3336" s="47" t="s">
        <v>1130</v>
      </c>
      <c r="E3336" s="47" t="s">
        <v>1128</v>
      </c>
      <c r="F3336" t="s">
        <v>185</v>
      </c>
      <c r="H3336" t="s">
        <v>47</v>
      </c>
      <c r="I3336" t="s">
        <v>30</v>
      </c>
      <c r="J3336" t="s">
        <v>35</v>
      </c>
      <c r="K3336"/>
      <c r="L3336" s="47" t="s">
        <v>180</v>
      </c>
      <c r="M3336" s="47" t="s">
        <v>197</v>
      </c>
    </row>
    <row r="3337" spans="1:13" ht="15" customHeight="1">
      <c r="A3337" s="47">
        <v>1302</v>
      </c>
      <c r="B3337" s="2">
        <v>4391</v>
      </c>
      <c r="C3337" t="s">
        <v>851</v>
      </c>
      <c r="D3337" s="47" t="s">
        <v>1131</v>
      </c>
      <c r="E3337" s="47" t="s">
        <v>1129</v>
      </c>
      <c r="F3337" t="s">
        <v>185</v>
      </c>
      <c r="H3337" t="s">
        <v>47</v>
      </c>
      <c r="I3337" t="s">
        <v>30</v>
      </c>
      <c r="J3337" t="s">
        <v>35</v>
      </c>
      <c r="K3337"/>
      <c r="L3337" s="47" t="s">
        <v>239</v>
      </c>
      <c r="M3337" s="47" t="s">
        <v>1135</v>
      </c>
    </row>
    <row r="3338" spans="1:13" ht="15" customHeight="1">
      <c r="A3338" s="47">
        <v>1302</v>
      </c>
      <c r="B3338" s="2">
        <v>4392</v>
      </c>
      <c r="C3338" t="s">
        <v>851</v>
      </c>
      <c r="D3338" s="47" t="s">
        <v>1132</v>
      </c>
      <c r="E3338" s="47" t="s">
        <v>1129</v>
      </c>
      <c r="F3338" t="s">
        <v>185</v>
      </c>
      <c r="H3338" t="s">
        <v>47</v>
      </c>
      <c r="I3338" t="s">
        <v>30</v>
      </c>
      <c r="J3338" t="s">
        <v>35</v>
      </c>
      <c r="K3338"/>
      <c r="L3338" s="47" t="s">
        <v>239</v>
      </c>
      <c r="M3338" s="47" t="s">
        <v>1135</v>
      </c>
    </row>
    <row r="3339" spans="1:13" ht="15" customHeight="1">
      <c r="A3339" s="47">
        <v>1302</v>
      </c>
      <c r="B3339" s="2">
        <v>4393</v>
      </c>
      <c r="C3339" t="s">
        <v>851</v>
      </c>
      <c r="D3339" s="2" t="s">
        <v>1127</v>
      </c>
      <c r="E3339" s="47" t="s">
        <v>1126</v>
      </c>
      <c r="F3339" t="s">
        <v>185</v>
      </c>
      <c r="H3339" t="s">
        <v>47</v>
      </c>
      <c r="I3339" t="s">
        <v>30</v>
      </c>
      <c r="J3339" t="s">
        <v>35</v>
      </c>
      <c r="K3339"/>
      <c r="L3339" s="47" t="s">
        <v>314</v>
      </c>
      <c r="M3339" s="47" t="s">
        <v>1136</v>
      </c>
    </row>
    <row r="3340" spans="1:13" ht="15" customHeight="1">
      <c r="A3340" s="47">
        <v>1303</v>
      </c>
      <c r="B3340" s="2">
        <v>4394</v>
      </c>
      <c r="C3340" t="s">
        <v>851</v>
      </c>
      <c r="D3340" s="47" t="s">
        <v>1134</v>
      </c>
      <c r="E3340" s="2" t="s">
        <v>1125</v>
      </c>
      <c r="F3340" t="s">
        <v>185</v>
      </c>
      <c r="G3340"/>
      <c r="H3340" t="s">
        <v>47</v>
      </c>
      <c r="I3340" t="s">
        <v>30</v>
      </c>
      <c r="J3340" t="s">
        <v>35</v>
      </c>
      <c r="K3340"/>
      <c r="L3340" s="47" t="s">
        <v>180</v>
      </c>
      <c r="M3340" s="47" t="s">
        <v>1135</v>
      </c>
    </row>
    <row r="3341" spans="1:13" ht="15" customHeight="1">
      <c r="A3341" s="47">
        <v>1303</v>
      </c>
      <c r="B3341" s="2">
        <v>4395</v>
      </c>
      <c r="C3341" t="s">
        <v>851</v>
      </c>
      <c r="D3341" s="47" t="s">
        <v>1130</v>
      </c>
      <c r="E3341" s="47" t="s">
        <v>1128</v>
      </c>
      <c r="F3341" t="s">
        <v>185</v>
      </c>
      <c r="H3341" t="s">
        <v>47</v>
      </c>
      <c r="I3341" t="s">
        <v>30</v>
      </c>
      <c r="J3341" t="s">
        <v>35</v>
      </c>
      <c r="K3341"/>
      <c r="L3341" s="47" t="s">
        <v>180</v>
      </c>
      <c r="M3341" s="47" t="s">
        <v>197</v>
      </c>
    </row>
    <row r="3342" spans="1:13" ht="15" customHeight="1">
      <c r="A3342" s="47">
        <v>1303</v>
      </c>
      <c r="B3342" s="2">
        <v>4396</v>
      </c>
      <c r="C3342" t="s">
        <v>851</v>
      </c>
      <c r="D3342" s="47" t="s">
        <v>1131</v>
      </c>
      <c r="E3342" s="47" t="s">
        <v>1129</v>
      </c>
      <c r="F3342" t="s">
        <v>185</v>
      </c>
      <c r="H3342" t="s">
        <v>47</v>
      </c>
      <c r="I3342" t="s">
        <v>30</v>
      </c>
      <c r="J3342" t="s">
        <v>35</v>
      </c>
      <c r="K3342"/>
      <c r="L3342" s="47" t="s">
        <v>239</v>
      </c>
      <c r="M3342" s="47" t="s">
        <v>1135</v>
      </c>
    </row>
    <row r="3343" spans="1:13" ht="15" customHeight="1">
      <c r="A3343" s="47">
        <v>1303</v>
      </c>
      <c r="B3343" s="2">
        <v>4397</v>
      </c>
      <c r="C3343" t="s">
        <v>851</v>
      </c>
      <c r="D3343" s="47" t="s">
        <v>1132</v>
      </c>
      <c r="E3343" s="47" t="s">
        <v>1129</v>
      </c>
      <c r="F3343" t="s">
        <v>185</v>
      </c>
      <c r="H3343" t="s">
        <v>47</v>
      </c>
      <c r="I3343" t="s">
        <v>30</v>
      </c>
      <c r="J3343" t="s">
        <v>35</v>
      </c>
      <c r="K3343"/>
      <c r="L3343" s="47" t="s">
        <v>239</v>
      </c>
      <c r="M3343" s="47" t="s">
        <v>1135</v>
      </c>
    </row>
    <row r="3344" spans="1:13" ht="15" customHeight="1">
      <c r="A3344" s="47">
        <v>1303</v>
      </c>
      <c r="B3344" s="2">
        <v>4398</v>
      </c>
      <c r="C3344" t="s">
        <v>851</v>
      </c>
      <c r="D3344" s="2" t="s">
        <v>1127</v>
      </c>
      <c r="E3344" s="47" t="s">
        <v>1126</v>
      </c>
      <c r="F3344" t="s">
        <v>185</v>
      </c>
      <c r="H3344" t="s">
        <v>47</v>
      </c>
      <c r="I3344" t="s">
        <v>30</v>
      </c>
      <c r="J3344" t="s">
        <v>35</v>
      </c>
      <c r="K3344"/>
      <c r="L3344" s="47" t="s">
        <v>314</v>
      </c>
      <c r="M3344" s="47" t="s">
        <v>1136</v>
      </c>
    </row>
    <row r="3345" spans="1:13" ht="15" customHeight="1">
      <c r="A3345" s="47">
        <v>1304</v>
      </c>
      <c r="B3345" s="2">
        <v>4399</v>
      </c>
      <c r="C3345" t="s">
        <v>851</v>
      </c>
      <c r="D3345" s="47" t="s">
        <v>1134</v>
      </c>
      <c r="E3345" s="2" t="s">
        <v>1125</v>
      </c>
      <c r="F3345" t="s">
        <v>185</v>
      </c>
      <c r="G3345"/>
      <c r="H3345" t="s">
        <v>47</v>
      </c>
      <c r="I3345" t="s">
        <v>30</v>
      </c>
      <c r="J3345" t="s">
        <v>35</v>
      </c>
      <c r="K3345"/>
      <c r="L3345" s="47" t="s">
        <v>180</v>
      </c>
      <c r="M3345" s="47" t="s">
        <v>1135</v>
      </c>
    </row>
    <row r="3346" spans="1:13" ht="15" customHeight="1">
      <c r="A3346" s="47">
        <v>1304</v>
      </c>
      <c r="B3346" s="2">
        <v>4400</v>
      </c>
      <c r="C3346" t="s">
        <v>851</v>
      </c>
      <c r="D3346" s="47" t="s">
        <v>1130</v>
      </c>
      <c r="E3346" s="47" t="s">
        <v>1128</v>
      </c>
      <c r="F3346" t="s">
        <v>185</v>
      </c>
      <c r="H3346" t="s">
        <v>47</v>
      </c>
      <c r="I3346" t="s">
        <v>30</v>
      </c>
      <c r="J3346" t="s">
        <v>35</v>
      </c>
      <c r="K3346"/>
      <c r="L3346" s="47" t="s">
        <v>180</v>
      </c>
      <c r="M3346" s="47" t="s">
        <v>197</v>
      </c>
    </row>
    <row r="3347" spans="1:13" ht="15" customHeight="1">
      <c r="A3347" s="47">
        <v>1304</v>
      </c>
      <c r="B3347" s="2">
        <v>4401</v>
      </c>
      <c r="C3347" t="s">
        <v>851</v>
      </c>
      <c r="D3347" s="47" t="s">
        <v>1131</v>
      </c>
      <c r="E3347" s="47" t="s">
        <v>1129</v>
      </c>
      <c r="F3347" t="s">
        <v>185</v>
      </c>
      <c r="H3347" t="s">
        <v>47</v>
      </c>
      <c r="I3347" t="s">
        <v>30</v>
      </c>
      <c r="J3347" t="s">
        <v>35</v>
      </c>
      <c r="K3347"/>
      <c r="L3347" s="47" t="s">
        <v>239</v>
      </c>
      <c r="M3347" s="47" t="s">
        <v>1135</v>
      </c>
    </row>
    <row r="3348" spans="1:13" ht="15" customHeight="1">
      <c r="A3348" s="47">
        <v>1304</v>
      </c>
      <c r="B3348" s="2">
        <v>4402</v>
      </c>
      <c r="C3348" t="s">
        <v>851</v>
      </c>
      <c r="D3348" s="47" t="s">
        <v>1132</v>
      </c>
      <c r="E3348" s="47" t="s">
        <v>1129</v>
      </c>
      <c r="F3348" t="s">
        <v>185</v>
      </c>
      <c r="H3348" t="s">
        <v>47</v>
      </c>
      <c r="I3348" t="s">
        <v>30</v>
      </c>
      <c r="J3348" t="s">
        <v>35</v>
      </c>
      <c r="K3348"/>
      <c r="L3348" s="47" t="s">
        <v>239</v>
      </c>
      <c r="M3348" s="47" t="s">
        <v>1135</v>
      </c>
    </row>
    <row r="3349" spans="1:13" ht="15" customHeight="1">
      <c r="A3349" s="47">
        <v>1304</v>
      </c>
      <c r="B3349" s="2">
        <v>4403</v>
      </c>
      <c r="C3349" t="s">
        <v>851</v>
      </c>
      <c r="D3349" s="2" t="s">
        <v>1127</v>
      </c>
      <c r="E3349" s="47" t="s">
        <v>1126</v>
      </c>
      <c r="F3349" t="s">
        <v>185</v>
      </c>
      <c r="H3349" t="s">
        <v>47</v>
      </c>
      <c r="I3349" t="s">
        <v>30</v>
      </c>
      <c r="J3349" t="s">
        <v>35</v>
      </c>
      <c r="K3349"/>
      <c r="L3349" s="47" t="s">
        <v>314</v>
      </c>
      <c r="M3349" s="47" t="s">
        <v>1136</v>
      </c>
    </row>
    <row r="3350" spans="1:13" ht="15" customHeight="1">
      <c r="A3350" s="47">
        <v>1305</v>
      </c>
      <c r="B3350" s="2">
        <v>4404</v>
      </c>
      <c r="C3350" t="s">
        <v>851</v>
      </c>
      <c r="D3350" s="47" t="s">
        <v>1134</v>
      </c>
      <c r="E3350" s="2" t="s">
        <v>1125</v>
      </c>
      <c r="F3350" t="s">
        <v>185</v>
      </c>
      <c r="G3350"/>
      <c r="H3350" t="s">
        <v>47</v>
      </c>
      <c r="I3350" t="s">
        <v>30</v>
      </c>
      <c r="J3350" t="s">
        <v>35</v>
      </c>
      <c r="K3350"/>
      <c r="L3350" s="47" t="s">
        <v>180</v>
      </c>
      <c r="M3350" s="47" t="s">
        <v>1135</v>
      </c>
    </row>
    <row r="3351" spans="1:13" ht="15" customHeight="1">
      <c r="A3351" s="47">
        <v>1305</v>
      </c>
      <c r="B3351" s="2">
        <v>4405</v>
      </c>
      <c r="C3351" t="s">
        <v>851</v>
      </c>
      <c r="D3351" s="47" t="s">
        <v>1130</v>
      </c>
      <c r="E3351" s="47" t="s">
        <v>1128</v>
      </c>
      <c r="F3351" t="s">
        <v>185</v>
      </c>
      <c r="H3351" t="s">
        <v>47</v>
      </c>
      <c r="I3351" t="s">
        <v>30</v>
      </c>
      <c r="J3351" t="s">
        <v>35</v>
      </c>
      <c r="K3351"/>
      <c r="L3351" s="47" t="s">
        <v>180</v>
      </c>
      <c r="M3351" s="47" t="s">
        <v>197</v>
      </c>
    </row>
    <row r="3352" spans="1:13" ht="15" customHeight="1">
      <c r="A3352" s="47">
        <v>1305</v>
      </c>
      <c r="B3352" s="2">
        <v>4406</v>
      </c>
      <c r="C3352" t="s">
        <v>851</v>
      </c>
      <c r="D3352" s="47" t="s">
        <v>1131</v>
      </c>
      <c r="E3352" s="47" t="s">
        <v>1129</v>
      </c>
      <c r="F3352" t="s">
        <v>185</v>
      </c>
      <c r="H3352" t="s">
        <v>47</v>
      </c>
      <c r="I3352" t="s">
        <v>30</v>
      </c>
      <c r="J3352" t="s">
        <v>35</v>
      </c>
      <c r="K3352"/>
      <c r="L3352" s="47" t="s">
        <v>239</v>
      </c>
      <c r="M3352" s="47" t="s">
        <v>1135</v>
      </c>
    </row>
    <row r="3353" spans="1:13" ht="15" customHeight="1">
      <c r="A3353" s="47">
        <v>1305</v>
      </c>
      <c r="B3353" s="2">
        <v>4407</v>
      </c>
      <c r="C3353" t="s">
        <v>851</v>
      </c>
      <c r="D3353" s="47" t="s">
        <v>1132</v>
      </c>
      <c r="E3353" s="47" t="s">
        <v>1129</v>
      </c>
      <c r="F3353" t="s">
        <v>185</v>
      </c>
      <c r="H3353" t="s">
        <v>47</v>
      </c>
      <c r="I3353" t="s">
        <v>30</v>
      </c>
      <c r="J3353" t="s">
        <v>35</v>
      </c>
      <c r="K3353"/>
      <c r="L3353" s="47" t="s">
        <v>239</v>
      </c>
      <c r="M3353" s="47" t="s">
        <v>1135</v>
      </c>
    </row>
    <row r="3354" spans="1:13" ht="15" customHeight="1">
      <c r="A3354" s="47">
        <v>1305</v>
      </c>
      <c r="B3354" s="2">
        <v>4408</v>
      </c>
      <c r="C3354" t="s">
        <v>851</v>
      </c>
      <c r="D3354" s="2" t="s">
        <v>1127</v>
      </c>
      <c r="E3354" s="47" t="s">
        <v>1126</v>
      </c>
      <c r="F3354" t="s">
        <v>185</v>
      </c>
      <c r="H3354" t="s">
        <v>47</v>
      </c>
      <c r="I3354" t="s">
        <v>30</v>
      </c>
      <c r="J3354" t="s">
        <v>35</v>
      </c>
      <c r="K3354"/>
      <c r="L3354" s="47" t="s">
        <v>314</v>
      </c>
      <c r="M3354" s="47" t="s">
        <v>1136</v>
      </c>
    </row>
    <row r="3355" spans="1:13" ht="15" customHeight="1">
      <c r="A3355" s="47">
        <v>1306</v>
      </c>
      <c r="B3355" s="2">
        <v>4409</v>
      </c>
      <c r="C3355" t="s">
        <v>851</v>
      </c>
      <c r="D3355" s="47" t="s">
        <v>1134</v>
      </c>
      <c r="E3355" s="2" t="s">
        <v>1125</v>
      </c>
      <c r="F3355" t="s">
        <v>185</v>
      </c>
      <c r="G3355"/>
      <c r="H3355" t="s">
        <v>47</v>
      </c>
      <c r="I3355" t="s">
        <v>30</v>
      </c>
      <c r="J3355" t="s">
        <v>35</v>
      </c>
      <c r="K3355"/>
      <c r="L3355" s="47" t="s">
        <v>180</v>
      </c>
      <c r="M3355" s="47" t="s">
        <v>1135</v>
      </c>
    </row>
    <row r="3356" spans="1:13" ht="15" customHeight="1">
      <c r="A3356" s="47">
        <v>1306</v>
      </c>
      <c r="B3356" s="2">
        <v>4410</v>
      </c>
      <c r="C3356" t="s">
        <v>851</v>
      </c>
      <c r="D3356" s="47" t="s">
        <v>1130</v>
      </c>
      <c r="E3356" s="47" t="s">
        <v>1128</v>
      </c>
      <c r="F3356" t="s">
        <v>185</v>
      </c>
      <c r="H3356" t="s">
        <v>47</v>
      </c>
      <c r="I3356" t="s">
        <v>30</v>
      </c>
      <c r="J3356" t="s">
        <v>35</v>
      </c>
      <c r="K3356"/>
      <c r="L3356" s="47" t="s">
        <v>180</v>
      </c>
      <c r="M3356" s="47" t="s">
        <v>197</v>
      </c>
    </row>
    <row r="3357" spans="1:13" ht="15" customHeight="1">
      <c r="A3357" s="47">
        <v>1306</v>
      </c>
      <c r="B3357" s="2">
        <v>4411</v>
      </c>
      <c r="C3357" t="s">
        <v>851</v>
      </c>
      <c r="D3357" s="47" t="s">
        <v>1131</v>
      </c>
      <c r="E3357" s="47" t="s">
        <v>1129</v>
      </c>
      <c r="F3357" t="s">
        <v>185</v>
      </c>
      <c r="H3357" t="s">
        <v>47</v>
      </c>
      <c r="I3357" t="s">
        <v>30</v>
      </c>
      <c r="J3357" t="s">
        <v>35</v>
      </c>
      <c r="K3357"/>
      <c r="L3357" s="47" t="s">
        <v>239</v>
      </c>
      <c r="M3357" s="47" t="s">
        <v>1135</v>
      </c>
    </row>
    <row r="3358" spans="1:13" ht="15" customHeight="1">
      <c r="A3358" s="47">
        <v>1306</v>
      </c>
      <c r="B3358" s="2">
        <v>4412</v>
      </c>
      <c r="C3358" t="s">
        <v>851</v>
      </c>
      <c r="D3358" s="47" t="s">
        <v>1132</v>
      </c>
      <c r="E3358" s="47" t="s">
        <v>1129</v>
      </c>
      <c r="F3358" t="s">
        <v>185</v>
      </c>
      <c r="H3358" t="s">
        <v>47</v>
      </c>
      <c r="I3358" t="s">
        <v>30</v>
      </c>
      <c r="J3358" t="s">
        <v>35</v>
      </c>
      <c r="K3358"/>
      <c r="L3358" s="47" t="s">
        <v>239</v>
      </c>
      <c r="M3358" s="47" t="s">
        <v>1135</v>
      </c>
    </row>
    <row r="3359" spans="1:13" ht="15" customHeight="1">
      <c r="A3359" s="47">
        <v>1306</v>
      </c>
      <c r="B3359" s="2">
        <v>4413</v>
      </c>
      <c r="C3359" t="s">
        <v>851</v>
      </c>
      <c r="D3359" s="2" t="s">
        <v>1127</v>
      </c>
      <c r="E3359" s="47" t="s">
        <v>1126</v>
      </c>
      <c r="F3359" t="s">
        <v>185</v>
      </c>
      <c r="H3359" t="s">
        <v>47</v>
      </c>
      <c r="I3359" t="s">
        <v>30</v>
      </c>
      <c r="J3359" t="s">
        <v>35</v>
      </c>
      <c r="K3359"/>
      <c r="L3359" s="47" t="s">
        <v>314</v>
      </c>
      <c r="M3359" s="47" t="s">
        <v>1136</v>
      </c>
    </row>
    <row r="3360" spans="1:13" ht="15" customHeight="1">
      <c r="A3360" s="47">
        <v>1948</v>
      </c>
      <c r="B3360" s="2">
        <v>4414</v>
      </c>
      <c r="C3360" t="s">
        <v>856</v>
      </c>
      <c r="D3360" s="47" t="s">
        <v>1134</v>
      </c>
      <c r="E3360" s="2" t="s">
        <v>1125</v>
      </c>
      <c r="F3360" t="s">
        <v>185</v>
      </c>
      <c r="G3360"/>
      <c r="H3360" t="s">
        <v>47</v>
      </c>
      <c r="I3360" t="s">
        <v>30</v>
      </c>
      <c r="J3360" t="s">
        <v>35</v>
      </c>
      <c r="K3360"/>
      <c r="L3360" s="47" t="s">
        <v>180</v>
      </c>
      <c r="M3360" s="47" t="s">
        <v>1135</v>
      </c>
    </row>
    <row r="3361" spans="1:13" ht="15" customHeight="1">
      <c r="A3361" s="47">
        <v>1948</v>
      </c>
      <c r="B3361" s="2">
        <v>4415</v>
      </c>
      <c r="C3361" t="s">
        <v>856</v>
      </c>
      <c r="D3361" s="47" t="s">
        <v>1130</v>
      </c>
      <c r="E3361" s="47" t="s">
        <v>1128</v>
      </c>
      <c r="F3361" t="s">
        <v>185</v>
      </c>
      <c r="H3361" t="s">
        <v>47</v>
      </c>
      <c r="I3361" t="s">
        <v>30</v>
      </c>
      <c r="J3361" t="s">
        <v>35</v>
      </c>
      <c r="K3361"/>
      <c r="L3361" s="47" t="s">
        <v>180</v>
      </c>
      <c r="M3361" s="47" t="s">
        <v>197</v>
      </c>
    </row>
    <row r="3362" spans="1:13" ht="15" customHeight="1">
      <c r="A3362" s="47">
        <v>1948</v>
      </c>
      <c r="B3362" s="2">
        <v>4416</v>
      </c>
      <c r="C3362" t="s">
        <v>856</v>
      </c>
      <c r="D3362" s="47" t="s">
        <v>1131</v>
      </c>
      <c r="E3362" s="47" t="s">
        <v>1129</v>
      </c>
      <c r="F3362" t="s">
        <v>185</v>
      </c>
      <c r="H3362" t="s">
        <v>47</v>
      </c>
      <c r="I3362" t="s">
        <v>30</v>
      </c>
      <c r="J3362" t="s">
        <v>35</v>
      </c>
      <c r="K3362"/>
      <c r="L3362" s="47" t="s">
        <v>239</v>
      </c>
      <c r="M3362" s="47" t="s">
        <v>1135</v>
      </c>
    </row>
    <row r="3363" spans="1:13" ht="15" customHeight="1">
      <c r="A3363" s="47">
        <v>1948</v>
      </c>
      <c r="B3363" s="2">
        <v>4417</v>
      </c>
      <c r="C3363" t="s">
        <v>856</v>
      </c>
      <c r="D3363" s="47" t="s">
        <v>1132</v>
      </c>
      <c r="E3363" s="47" t="s">
        <v>1129</v>
      </c>
      <c r="F3363" t="s">
        <v>185</v>
      </c>
      <c r="H3363" t="s">
        <v>47</v>
      </c>
      <c r="I3363" t="s">
        <v>30</v>
      </c>
      <c r="J3363" t="s">
        <v>35</v>
      </c>
      <c r="K3363"/>
      <c r="L3363" s="47" t="s">
        <v>239</v>
      </c>
      <c r="M3363" s="47" t="s">
        <v>1135</v>
      </c>
    </row>
    <row r="3364" spans="1:13" ht="15" customHeight="1">
      <c r="A3364" s="47">
        <v>1948</v>
      </c>
      <c r="B3364" s="2">
        <v>4418</v>
      </c>
      <c r="C3364" t="s">
        <v>856</v>
      </c>
      <c r="D3364" s="2" t="s">
        <v>1127</v>
      </c>
      <c r="E3364" s="47" t="s">
        <v>1126</v>
      </c>
      <c r="F3364" t="s">
        <v>185</v>
      </c>
      <c r="H3364" t="s">
        <v>47</v>
      </c>
      <c r="I3364" t="s">
        <v>30</v>
      </c>
      <c r="J3364" t="s">
        <v>35</v>
      </c>
      <c r="K3364"/>
      <c r="L3364" s="47" t="s">
        <v>314</v>
      </c>
      <c r="M3364" s="47" t="s">
        <v>1136</v>
      </c>
    </row>
    <row r="3365" spans="1:13" ht="15" customHeight="1">
      <c r="A3365" s="47">
        <v>1949</v>
      </c>
      <c r="B3365" s="2">
        <v>4419</v>
      </c>
      <c r="C3365" t="s">
        <v>856</v>
      </c>
      <c r="D3365" s="47" t="s">
        <v>1134</v>
      </c>
      <c r="E3365" s="2" t="s">
        <v>1125</v>
      </c>
      <c r="F3365" t="s">
        <v>185</v>
      </c>
      <c r="G3365"/>
      <c r="H3365" t="s">
        <v>47</v>
      </c>
      <c r="I3365" t="s">
        <v>30</v>
      </c>
      <c r="J3365" t="s">
        <v>35</v>
      </c>
      <c r="K3365"/>
      <c r="L3365" s="47" t="s">
        <v>180</v>
      </c>
      <c r="M3365" s="47" t="s">
        <v>1135</v>
      </c>
    </row>
    <row r="3366" spans="1:13" ht="15" customHeight="1">
      <c r="A3366" s="47">
        <v>1949</v>
      </c>
      <c r="B3366" s="2">
        <v>4420</v>
      </c>
      <c r="C3366" t="s">
        <v>856</v>
      </c>
      <c r="D3366" s="47" t="s">
        <v>1130</v>
      </c>
      <c r="E3366" s="47" t="s">
        <v>1128</v>
      </c>
      <c r="F3366" t="s">
        <v>185</v>
      </c>
      <c r="H3366" t="s">
        <v>47</v>
      </c>
      <c r="I3366" t="s">
        <v>30</v>
      </c>
      <c r="J3366" t="s">
        <v>35</v>
      </c>
      <c r="K3366"/>
      <c r="L3366" s="47" t="s">
        <v>180</v>
      </c>
      <c r="M3366" s="47" t="s">
        <v>197</v>
      </c>
    </row>
    <row r="3367" spans="1:13" ht="15" customHeight="1">
      <c r="A3367" s="47">
        <v>1949</v>
      </c>
      <c r="B3367" s="2">
        <v>4421</v>
      </c>
      <c r="C3367" t="s">
        <v>856</v>
      </c>
      <c r="D3367" s="47" t="s">
        <v>1131</v>
      </c>
      <c r="E3367" s="47" t="s">
        <v>1129</v>
      </c>
      <c r="F3367" t="s">
        <v>185</v>
      </c>
      <c r="H3367" t="s">
        <v>47</v>
      </c>
      <c r="I3367" t="s">
        <v>30</v>
      </c>
      <c r="J3367" t="s">
        <v>35</v>
      </c>
      <c r="K3367"/>
      <c r="L3367" s="47" t="s">
        <v>239</v>
      </c>
      <c r="M3367" s="47" t="s">
        <v>1135</v>
      </c>
    </row>
    <row r="3368" spans="1:13" ht="15" customHeight="1">
      <c r="A3368" s="47">
        <v>1949</v>
      </c>
      <c r="B3368" s="2">
        <v>4422</v>
      </c>
      <c r="C3368" t="s">
        <v>856</v>
      </c>
      <c r="D3368" s="47" t="s">
        <v>1132</v>
      </c>
      <c r="E3368" s="47" t="s">
        <v>1129</v>
      </c>
      <c r="F3368" t="s">
        <v>185</v>
      </c>
      <c r="H3368" t="s">
        <v>47</v>
      </c>
      <c r="I3368" t="s">
        <v>30</v>
      </c>
      <c r="J3368" t="s">
        <v>35</v>
      </c>
      <c r="K3368"/>
      <c r="L3368" s="47" t="s">
        <v>239</v>
      </c>
      <c r="M3368" s="47" t="s">
        <v>1135</v>
      </c>
    </row>
    <row r="3369" spans="1:13" ht="15" customHeight="1">
      <c r="A3369" s="47">
        <v>1949</v>
      </c>
      <c r="B3369" s="2">
        <v>4423</v>
      </c>
      <c r="C3369" t="s">
        <v>856</v>
      </c>
      <c r="D3369" s="2" t="s">
        <v>1127</v>
      </c>
      <c r="E3369" s="47" t="s">
        <v>1126</v>
      </c>
      <c r="F3369" t="s">
        <v>185</v>
      </c>
      <c r="H3369" t="s">
        <v>47</v>
      </c>
      <c r="I3369" t="s">
        <v>30</v>
      </c>
      <c r="J3369" t="s">
        <v>35</v>
      </c>
      <c r="K3369"/>
      <c r="L3369" s="47" t="s">
        <v>314</v>
      </c>
      <c r="M3369" s="47" t="s">
        <v>1136</v>
      </c>
    </row>
    <row r="3370" spans="1:13" ht="15" customHeight="1">
      <c r="A3370" s="47">
        <v>1950</v>
      </c>
      <c r="B3370" s="2">
        <v>4424</v>
      </c>
      <c r="C3370" t="s">
        <v>856</v>
      </c>
      <c r="D3370" s="47" t="s">
        <v>1134</v>
      </c>
      <c r="E3370" s="2" t="s">
        <v>1125</v>
      </c>
      <c r="F3370" t="s">
        <v>185</v>
      </c>
      <c r="G3370"/>
      <c r="H3370" t="s">
        <v>47</v>
      </c>
      <c r="I3370" t="s">
        <v>30</v>
      </c>
      <c r="J3370" t="s">
        <v>35</v>
      </c>
      <c r="K3370"/>
      <c r="L3370" s="47" t="s">
        <v>180</v>
      </c>
      <c r="M3370" s="47" t="s">
        <v>1135</v>
      </c>
    </row>
    <row r="3371" spans="1:13" ht="15" customHeight="1">
      <c r="A3371" s="47">
        <v>1950</v>
      </c>
      <c r="B3371" s="2">
        <v>4425</v>
      </c>
      <c r="C3371" t="s">
        <v>856</v>
      </c>
      <c r="D3371" s="47" t="s">
        <v>1130</v>
      </c>
      <c r="E3371" s="47" t="s">
        <v>1128</v>
      </c>
      <c r="F3371" t="s">
        <v>185</v>
      </c>
      <c r="H3371" t="s">
        <v>47</v>
      </c>
      <c r="I3371" t="s">
        <v>30</v>
      </c>
      <c r="J3371" t="s">
        <v>35</v>
      </c>
      <c r="K3371"/>
      <c r="L3371" s="47" t="s">
        <v>180</v>
      </c>
      <c r="M3371" s="47" t="s">
        <v>197</v>
      </c>
    </row>
    <row r="3372" spans="1:13" ht="15" customHeight="1">
      <c r="A3372" s="47">
        <v>1950</v>
      </c>
      <c r="B3372" s="2">
        <v>4426</v>
      </c>
      <c r="C3372" t="s">
        <v>856</v>
      </c>
      <c r="D3372" s="47" t="s">
        <v>1131</v>
      </c>
      <c r="E3372" s="47" t="s">
        <v>1129</v>
      </c>
      <c r="F3372" t="s">
        <v>185</v>
      </c>
      <c r="H3372" t="s">
        <v>47</v>
      </c>
      <c r="I3372" t="s">
        <v>30</v>
      </c>
      <c r="J3372" t="s">
        <v>35</v>
      </c>
      <c r="K3372"/>
      <c r="L3372" s="47" t="s">
        <v>239</v>
      </c>
      <c r="M3372" s="47" t="s">
        <v>1135</v>
      </c>
    </row>
    <row r="3373" spans="1:13" ht="15" customHeight="1">
      <c r="A3373" s="47">
        <v>1950</v>
      </c>
      <c r="B3373" s="2">
        <v>4427</v>
      </c>
      <c r="C3373" t="s">
        <v>856</v>
      </c>
      <c r="D3373" s="47" t="s">
        <v>1132</v>
      </c>
      <c r="E3373" s="47" t="s">
        <v>1129</v>
      </c>
      <c r="F3373" t="s">
        <v>185</v>
      </c>
      <c r="H3373" t="s">
        <v>47</v>
      </c>
      <c r="I3373" t="s">
        <v>30</v>
      </c>
      <c r="J3373" t="s">
        <v>35</v>
      </c>
      <c r="K3373"/>
      <c r="L3373" s="47" t="s">
        <v>239</v>
      </c>
      <c r="M3373" s="47" t="s">
        <v>1135</v>
      </c>
    </row>
    <row r="3374" spans="1:13" ht="15" customHeight="1">
      <c r="A3374" s="47">
        <v>1950</v>
      </c>
      <c r="B3374" s="2">
        <v>4428</v>
      </c>
      <c r="C3374" t="s">
        <v>856</v>
      </c>
      <c r="D3374" s="2" t="s">
        <v>1127</v>
      </c>
      <c r="E3374" s="47" t="s">
        <v>1126</v>
      </c>
      <c r="F3374" t="s">
        <v>185</v>
      </c>
      <c r="H3374" t="s">
        <v>47</v>
      </c>
      <c r="I3374" t="s">
        <v>30</v>
      </c>
      <c r="J3374" t="s">
        <v>35</v>
      </c>
      <c r="K3374"/>
      <c r="L3374" s="47" t="s">
        <v>314</v>
      </c>
      <c r="M3374" s="47" t="s">
        <v>1136</v>
      </c>
    </row>
    <row r="3375" spans="1:13" ht="15" customHeight="1">
      <c r="A3375" s="47">
        <v>1951</v>
      </c>
      <c r="B3375" s="2">
        <v>4429</v>
      </c>
      <c r="C3375" t="s">
        <v>856</v>
      </c>
      <c r="D3375" s="47" t="s">
        <v>1134</v>
      </c>
      <c r="E3375" s="2" t="s">
        <v>1125</v>
      </c>
      <c r="F3375" t="s">
        <v>185</v>
      </c>
      <c r="G3375"/>
      <c r="H3375" t="s">
        <v>47</v>
      </c>
      <c r="I3375" t="s">
        <v>30</v>
      </c>
      <c r="J3375" t="s">
        <v>35</v>
      </c>
      <c r="K3375"/>
      <c r="L3375" s="47" t="s">
        <v>180</v>
      </c>
      <c r="M3375" s="47" t="s">
        <v>1135</v>
      </c>
    </row>
    <row r="3376" spans="1:13" ht="15" customHeight="1">
      <c r="A3376" s="47">
        <v>1951</v>
      </c>
      <c r="B3376" s="2">
        <v>4430</v>
      </c>
      <c r="C3376" t="s">
        <v>856</v>
      </c>
      <c r="D3376" s="47" t="s">
        <v>1130</v>
      </c>
      <c r="E3376" s="47" t="s">
        <v>1128</v>
      </c>
      <c r="F3376" t="s">
        <v>185</v>
      </c>
      <c r="H3376" t="s">
        <v>47</v>
      </c>
      <c r="I3376" t="s">
        <v>30</v>
      </c>
      <c r="J3376" t="s">
        <v>35</v>
      </c>
      <c r="K3376"/>
      <c r="L3376" s="47" t="s">
        <v>180</v>
      </c>
      <c r="M3376" s="47" t="s">
        <v>197</v>
      </c>
    </row>
    <row r="3377" spans="1:13" ht="15" customHeight="1">
      <c r="A3377" s="47">
        <v>1951</v>
      </c>
      <c r="B3377" s="2">
        <v>4431</v>
      </c>
      <c r="C3377" t="s">
        <v>856</v>
      </c>
      <c r="D3377" s="47" t="s">
        <v>1131</v>
      </c>
      <c r="E3377" s="47" t="s">
        <v>1129</v>
      </c>
      <c r="F3377" t="s">
        <v>185</v>
      </c>
      <c r="H3377" t="s">
        <v>47</v>
      </c>
      <c r="I3377" t="s">
        <v>30</v>
      </c>
      <c r="J3377" t="s">
        <v>35</v>
      </c>
      <c r="K3377"/>
      <c r="L3377" s="47" t="s">
        <v>239</v>
      </c>
      <c r="M3377" s="47" t="s">
        <v>1135</v>
      </c>
    </row>
    <row r="3378" spans="1:13" ht="15" customHeight="1">
      <c r="A3378" s="47">
        <v>1951</v>
      </c>
      <c r="B3378" s="2">
        <v>4432</v>
      </c>
      <c r="C3378" t="s">
        <v>856</v>
      </c>
      <c r="D3378" s="47" t="s">
        <v>1132</v>
      </c>
      <c r="E3378" s="47" t="s">
        <v>1129</v>
      </c>
      <c r="F3378" t="s">
        <v>185</v>
      </c>
      <c r="H3378" t="s">
        <v>47</v>
      </c>
      <c r="I3378" t="s">
        <v>30</v>
      </c>
      <c r="J3378" t="s">
        <v>35</v>
      </c>
      <c r="K3378"/>
      <c r="L3378" s="47" t="s">
        <v>239</v>
      </c>
      <c r="M3378" s="47" t="s">
        <v>1135</v>
      </c>
    </row>
    <row r="3379" spans="1:13" ht="15" customHeight="1">
      <c r="A3379" s="47">
        <v>1951</v>
      </c>
      <c r="B3379" s="2">
        <v>4433</v>
      </c>
      <c r="C3379" t="s">
        <v>856</v>
      </c>
      <c r="D3379" s="2" t="s">
        <v>1127</v>
      </c>
      <c r="E3379" s="47" t="s">
        <v>1126</v>
      </c>
      <c r="F3379" t="s">
        <v>185</v>
      </c>
      <c r="H3379" t="s">
        <v>47</v>
      </c>
      <c r="I3379" t="s">
        <v>30</v>
      </c>
      <c r="J3379" t="s">
        <v>35</v>
      </c>
      <c r="K3379"/>
      <c r="L3379" s="47" t="s">
        <v>314</v>
      </c>
      <c r="M3379" s="47" t="s">
        <v>1136</v>
      </c>
    </row>
    <row r="3380" spans="1:13" ht="15" customHeight="1">
      <c r="A3380" s="47">
        <v>1952</v>
      </c>
      <c r="B3380" s="2">
        <v>4434</v>
      </c>
      <c r="C3380" t="s">
        <v>856</v>
      </c>
      <c r="D3380" s="47" t="s">
        <v>1134</v>
      </c>
      <c r="E3380" s="2" t="s">
        <v>1125</v>
      </c>
      <c r="F3380" t="s">
        <v>185</v>
      </c>
      <c r="G3380"/>
      <c r="H3380" t="s">
        <v>47</v>
      </c>
      <c r="I3380" t="s">
        <v>30</v>
      </c>
      <c r="J3380" t="s">
        <v>35</v>
      </c>
      <c r="K3380"/>
      <c r="L3380" s="47" t="s">
        <v>180</v>
      </c>
      <c r="M3380" s="47" t="s">
        <v>1135</v>
      </c>
    </row>
    <row r="3381" spans="1:13" ht="15" customHeight="1">
      <c r="A3381" s="47">
        <v>1952</v>
      </c>
      <c r="B3381" s="2">
        <v>4435</v>
      </c>
      <c r="C3381" t="s">
        <v>856</v>
      </c>
      <c r="D3381" s="47" t="s">
        <v>1130</v>
      </c>
      <c r="E3381" s="47" t="s">
        <v>1128</v>
      </c>
      <c r="F3381" t="s">
        <v>185</v>
      </c>
      <c r="H3381" t="s">
        <v>47</v>
      </c>
      <c r="I3381" t="s">
        <v>30</v>
      </c>
      <c r="J3381" t="s">
        <v>35</v>
      </c>
      <c r="K3381"/>
      <c r="L3381" s="47" t="s">
        <v>180</v>
      </c>
      <c r="M3381" s="47" t="s">
        <v>197</v>
      </c>
    </row>
    <row r="3382" spans="1:13" ht="15" customHeight="1">
      <c r="A3382" s="47">
        <v>1952</v>
      </c>
      <c r="B3382" s="2">
        <v>4436</v>
      </c>
      <c r="C3382" t="s">
        <v>856</v>
      </c>
      <c r="D3382" s="47" t="s">
        <v>1131</v>
      </c>
      <c r="E3382" s="47" t="s">
        <v>1129</v>
      </c>
      <c r="F3382" t="s">
        <v>185</v>
      </c>
      <c r="H3382" t="s">
        <v>47</v>
      </c>
      <c r="I3382" t="s">
        <v>30</v>
      </c>
      <c r="J3382" t="s">
        <v>35</v>
      </c>
      <c r="K3382"/>
      <c r="L3382" s="47" t="s">
        <v>239</v>
      </c>
      <c r="M3382" s="47" t="s">
        <v>1135</v>
      </c>
    </row>
    <row r="3383" spans="1:13" ht="15" customHeight="1">
      <c r="A3383" s="47">
        <v>1952</v>
      </c>
      <c r="B3383" s="2">
        <v>4437</v>
      </c>
      <c r="C3383" t="s">
        <v>856</v>
      </c>
      <c r="D3383" s="47" t="s">
        <v>1132</v>
      </c>
      <c r="E3383" s="47" t="s">
        <v>1129</v>
      </c>
      <c r="F3383" t="s">
        <v>185</v>
      </c>
      <c r="H3383" t="s">
        <v>47</v>
      </c>
      <c r="I3383" t="s">
        <v>30</v>
      </c>
      <c r="J3383" t="s">
        <v>35</v>
      </c>
      <c r="K3383"/>
      <c r="L3383" s="47" t="s">
        <v>239</v>
      </c>
      <c r="M3383" s="47" t="s">
        <v>1135</v>
      </c>
    </row>
    <row r="3384" spans="1:13" ht="15" customHeight="1">
      <c r="A3384" s="47">
        <v>1952</v>
      </c>
      <c r="B3384" s="2">
        <v>4438</v>
      </c>
      <c r="C3384" t="s">
        <v>856</v>
      </c>
      <c r="D3384" s="2" t="s">
        <v>1127</v>
      </c>
      <c r="E3384" s="47" t="s">
        <v>1126</v>
      </c>
      <c r="F3384" t="s">
        <v>185</v>
      </c>
      <c r="H3384" t="s">
        <v>47</v>
      </c>
      <c r="I3384" t="s">
        <v>30</v>
      </c>
      <c r="J3384" t="s">
        <v>35</v>
      </c>
      <c r="K3384"/>
      <c r="L3384" s="47" t="s">
        <v>314</v>
      </c>
      <c r="M3384" s="47" t="s">
        <v>1136</v>
      </c>
    </row>
    <row r="3385" spans="1:13" ht="15" customHeight="1">
      <c r="A3385" s="47">
        <v>1953</v>
      </c>
      <c r="B3385" s="2">
        <v>4439</v>
      </c>
      <c r="C3385" t="s">
        <v>856</v>
      </c>
      <c r="D3385" s="47" t="s">
        <v>1134</v>
      </c>
      <c r="E3385" s="2" t="s">
        <v>1125</v>
      </c>
      <c r="F3385" t="s">
        <v>185</v>
      </c>
      <c r="G3385"/>
      <c r="H3385" t="s">
        <v>47</v>
      </c>
      <c r="I3385" t="s">
        <v>30</v>
      </c>
      <c r="J3385" t="s">
        <v>35</v>
      </c>
      <c r="K3385"/>
      <c r="L3385" s="47" t="s">
        <v>180</v>
      </c>
      <c r="M3385" s="47" t="s">
        <v>1135</v>
      </c>
    </row>
    <row r="3386" spans="1:13" ht="15" customHeight="1">
      <c r="A3386" s="47">
        <v>1953</v>
      </c>
      <c r="B3386" s="2">
        <v>4440</v>
      </c>
      <c r="C3386" t="s">
        <v>856</v>
      </c>
      <c r="D3386" s="47" t="s">
        <v>1130</v>
      </c>
      <c r="E3386" s="47" t="s">
        <v>1128</v>
      </c>
      <c r="F3386" t="s">
        <v>185</v>
      </c>
      <c r="H3386" t="s">
        <v>47</v>
      </c>
      <c r="I3386" t="s">
        <v>30</v>
      </c>
      <c r="J3386" t="s">
        <v>35</v>
      </c>
      <c r="K3386"/>
      <c r="L3386" s="47" t="s">
        <v>180</v>
      </c>
      <c r="M3386" s="47" t="s">
        <v>197</v>
      </c>
    </row>
    <row r="3387" spans="1:13" ht="15" customHeight="1">
      <c r="A3387" s="47">
        <v>1953</v>
      </c>
      <c r="B3387" s="2">
        <v>4441</v>
      </c>
      <c r="C3387" t="s">
        <v>856</v>
      </c>
      <c r="D3387" s="47" t="s">
        <v>1131</v>
      </c>
      <c r="E3387" s="47" t="s">
        <v>1129</v>
      </c>
      <c r="F3387" t="s">
        <v>185</v>
      </c>
      <c r="H3387" t="s">
        <v>47</v>
      </c>
      <c r="I3387" t="s">
        <v>30</v>
      </c>
      <c r="J3387" t="s">
        <v>35</v>
      </c>
      <c r="K3387"/>
      <c r="L3387" s="47" t="s">
        <v>239</v>
      </c>
      <c r="M3387" s="47" t="s">
        <v>1135</v>
      </c>
    </row>
    <row r="3388" spans="1:13" ht="15" customHeight="1">
      <c r="A3388" s="47">
        <v>1953</v>
      </c>
      <c r="B3388" s="2">
        <v>4442</v>
      </c>
      <c r="C3388" t="s">
        <v>856</v>
      </c>
      <c r="D3388" s="47" t="s">
        <v>1132</v>
      </c>
      <c r="E3388" s="47" t="s">
        <v>1129</v>
      </c>
      <c r="F3388" t="s">
        <v>185</v>
      </c>
      <c r="H3388" t="s">
        <v>47</v>
      </c>
      <c r="I3388" t="s">
        <v>30</v>
      </c>
      <c r="J3388" t="s">
        <v>35</v>
      </c>
      <c r="K3388"/>
      <c r="L3388" s="47" t="s">
        <v>239</v>
      </c>
      <c r="M3388" s="47" t="s">
        <v>1135</v>
      </c>
    </row>
    <row r="3389" spans="1:13" ht="15" customHeight="1">
      <c r="A3389" s="47">
        <v>1953</v>
      </c>
      <c r="B3389" s="2">
        <v>4443</v>
      </c>
      <c r="C3389" t="s">
        <v>856</v>
      </c>
      <c r="D3389" s="2" t="s">
        <v>1127</v>
      </c>
      <c r="E3389" s="47" t="s">
        <v>1126</v>
      </c>
      <c r="F3389" t="s">
        <v>185</v>
      </c>
      <c r="H3389" t="s">
        <v>47</v>
      </c>
      <c r="I3389" t="s">
        <v>30</v>
      </c>
      <c r="J3389" t="s">
        <v>35</v>
      </c>
      <c r="K3389"/>
      <c r="L3389" s="47" t="s">
        <v>314</v>
      </c>
      <c r="M3389" s="47" t="s">
        <v>1136</v>
      </c>
    </row>
    <row r="3390" spans="1:13" ht="15" customHeight="1">
      <c r="A3390" s="47">
        <v>1954</v>
      </c>
      <c r="B3390" s="2">
        <v>4444</v>
      </c>
      <c r="C3390" t="s">
        <v>856</v>
      </c>
      <c r="D3390" s="47" t="s">
        <v>1134</v>
      </c>
      <c r="E3390" s="2" t="s">
        <v>1125</v>
      </c>
      <c r="F3390" t="s">
        <v>185</v>
      </c>
      <c r="G3390"/>
      <c r="H3390" t="s">
        <v>47</v>
      </c>
      <c r="I3390" t="s">
        <v>30</v>
      </c>
      <c r="J3390" t="s">
        <v>35</v>
      </c>
      <c r="K3390"/>
      <c r="L3390" s="47" t="s">
        <v>180</v>
      </c>
      <c r="M3390" s="47" t="s">
        <v>1135</v>
      </c>
    </row>
    <row r="3391" spans="1:13" ht="15" customHeight="1">
      <c r="A3391" s="47">
        <v>1954</v>
      </c>
      <c r="B3391" s="2">
        <v>4445</v>
      </c>
      <c r="C3391" t="s">
        <v>856</v>
      </c>
      <c r="D3391" s="47" t="s">
        <v>1130</v>
      </c>
      <c r="E3391" s="47" t="s">
        <v>1128</v>
      </c>
      <c r="F3391" t="s">
        <v>185</v>
      </c>
      <c r="H3391" t="s">
        <v>47</v>
      </c>
      <c r="I3391" t="s">
        <v>30</v>
      </c>
      <c r="J3391" t="s">
        <v>35</v>
      </c>
      <c r="K3391"/>
      <c r="L3391" s="47" t="s">
        <v>180</v>
      </c>
      <c r="M3391" s="47" t="s">
        <v>197</v>
      </c>
    </row>
    <row r="3392" spans="1:13" ht="15" customHeight="1">
      <c r="A3392" s="47">
        <v>1954</v>
      </c>
      <c r="B3392" s="2">
        <v>4446</v>
      </c>
      <c r="C3392" t="s">
        <v>856</v>
      </c>
      <c r="D3392" s="47" t="s">
        <v>1131</v>
      </c>
      <c r="E3392" s="47" t="s">
        <v>1129</v>
      </c>
      <c r="F3392" t="s">
        <v>185</v>
      </c>
      <c r="H3392" t="s">
        <v>47</v>
      </c>
      <c r="I3392" t="s">
        <v>30</v>
      </c>
      <c r="J3392" t="s">
        <v>35</v>
      </c>
      <c r="K3392"/>
      <c r="L3392" s="47" t="s">
        <v>239</v>
      </c>
      <c r="M3392" s="47" t="s">
        <v>1135</v>
      </c>
    </row>
    <row r="3393" spans="1:31" ht="15" customHeight="1">
      <c r="A3393" s="47">
        <v>1954</v>
      </c>
      <c r="B3393" s="2">
        <v>4447</v>
      </c>
      <c r="C3393" t="s">
        <v>856</v>
      </c>
      <c r="D3393" s="47" t="s">
        <v>1132</v>
      </c>
      <c r="E3393" s="47" t="s">
        <v>1129</v>
      </c>
      <c r="F3393" t="s">
        <v>185</v>
      </c>
      <c r="H3393" t="s">
        <v>47</v>
      </c>
      <c r="I3393" t="s">
        <v>30</v>
      </c>
      <c r="J3393" t="s">
        <v>35</v>
      </c>
      <c r="K3393"/>
      <c r="L3393" s="47" t="s">
        <v>239</v>
      </c>
      <c r="M3393" s="47" t="s">
        <v>1135</v>
      </c>
    </row>
    <row r="3394" spans="1:31" ht="15" customHeight="1">
      <c r="A3394" s="47">
        <v>1954</v>
      </c>
      <c r="B3394" s="2">
        <v>4448</v>
      </c>
      <c r="C3394" t="s">
        <v>856</v>
      </c>
      <c r="D3394" s="2" t="s">
        <v>1127</v>
      </c>
      <c r="E3394" s="47" t="s">
        <v>1126</v>
      </c>
      <c r="F3394" t="s">
        <v>185</v>
      </c>
      <c r="H3394" t="s">
        <v>47</v>
      </c>
      <c r="I3394" t="s">
        <v>30</v>
      </c>
      <c r="J3394" t="s">
        <v>35</v>
      </c>
      <c r="K3394"/>
      <c r="L3394" s="47" t="s">
        <v>314</v>
      </c>
      <c r="M3394" s="47" t="s">
        <v>1136</v>
      </c>
    </row>
    <row r="3395" spans="1:31" ht="15" customHeight="1">
      <c r="A3395" s="47">
        <v>1955</v>
      </c>
      <c r="B3395" s="2">
        <v>4449</v>
      </c>
      <c r="C3395" t="s">
        <v>856</v>
      </c>
      <c r="D3395" s="47" t="s">
        <v>1134</v>
      </c>
      <c r="E3395" s="2" t="s">
        <v>1125</v>
      </c>
      <c r="F3395" t="s">
        <v>185</v>
      </c>
      <c r="G3395"/>
      <c r="H3395" t="s">
        <v>47</v>
      </c>
      <c r="I3395" t="s">
        <v>30</v>
      </c>
      <c r="J3395" t="s">
        <v>35</v>
      </c>
      <c r="K3395"/>
      <c r="L3395" s="47" t="s">
        <v>180</v>
      </c>
      <c r="M3395" s="47" t="s">
        <v>1135</v>
      </c>
    </row>
    <row r="3396" spans="1:31" ht="15" customHeight="1">
      <c r="A3396" s="47">
        <v>1955</v>
      </c>
      <c r="B3396" s="2">
        <v>4450</v>
      </c>
      <c r="C3396" t="s">
        <v>856</v>
      </c>
      <c r="D3396" s="47" t="s">
        <v>1130</v>
      </c>
      <c r="E3396" s="47" t="s">
        <v>1128</v>
      </c>
      <c r="F3396" t="s">
        <v>185</v>
      </c>
      <c r="H3396" t="s">
        <v>47</v>
      </c>
      <c r="I3396" t="s">
        <v>30</v>
      </c>
      <c r="J3396" t="s">
        <v>35</v>
      </c>
      <c r="K3396"/>
      <c r="L3396" s="47" t="s">
        <v>180</v>
      </c>
      <c r="M3396" s="47" t="s">
        <v>197</v>
      </c>
    </row>
    <row r="3397" spans="1:31" ht="15" customHeight="1">
      <c r="A3397" s="47">
        <v>1955</v>
      </c>
      <c r="B3397" s="2">
        <v>4451</v>
      </c>
      <c r="C3397" t="s">
        <v>856</v>
      </c>
      <c r="D3397" s="47" t="s">
        <v>1131</v>
      </c>
      <c r="E3397" s="47" t="s">
        <v>1129</v>
      </c>
      <c r="F3397" t="s">
        <v>185</v>
      </c>
      <c r="H3397" t="s">
        <v>47</v>
      </c>
      <c r="I3397" t="s">
        <v>30</v>
      </c>
      <c r="J3397" t="s">
        <v>35</v>
      </c>
      <c r="K3397"/>
      <c r="L3397" s="47" t="s">
        <v>239</v>
      </c>
      <c r="M3397" s="47" t="s">
        <v>1135</v>
      </c>
    </row>
    <row r="3398" spans="1:31" ht="15" customHeight="1">
      <c r="A3398" s="47">
        <v>1955</v>
      </c>
      <c r="B3398" s="2">
        <v>4452</v>
      </c>
      <c r="C3398" t="s">
        <v>856</v>
      </c>
      <c r="D3398" s="47" t="s">
        <v>1132</v>
      </c>
      <c r="E3398" s="47" t="s">
        <v>1129</v>
      </c>
      <c r="F3398" t="s">
        <v>185</v>
      </c>
      <c r="H3398" t="s">
        <v>47</v>
      </c>
      <c r="I3398" t="s">
        <v>30</v>
      </c>
      <c r="J3398" t="s">
        <v>35</v>
      </c>
      <c r="K3398"/>
      <c r="L3398" s="47" t="s">
        <v>239</v>
      </c>
      <c r="M3398" s="47" t="s">
        <v>1135</v>
      </c>
    </row>
    <row r="3399" spans="1:31" ht="15" customHeight="1">
      <c r="A3399" s="47">
        <v>1955</v>
      </c>
      <c r="B3399" s="2">
        <v>4453</v>
      </c>
      <c r="C3399" t="s">
        <v>856</v>
      </c>
      <c r="D3399" s="2" t="s">
        <v>1127</v>
      </c>
      <c r="E3399" s="47" t="s">
        <v>1126</v>
      </c>
      <c r="F3399" t="s">
        <v>185</v>
      </c>
      <c r="H3399" t="s">
        <v>47</v>
      </c>
      <c r="I3399" t="s">
        <v>30</v>
      </c>
      <c r="J3399" t="s">
        <v>35</v>
      </c>
      <c r="K3399"/>
      <c r="L3399" s="47" t="s">
        <v>314</v>
      </c>
      <c r="M3399" s="47" t="s">
        <v>1136</v>
      </c>
    </row>
    <row r="3400" spans="1:31" ht="15" customHeight="1">
      <c r="A3400" s="47">
        <v>1956</v>
      </c>
      <c r="B3400" s="2">
        <v>4454</v>
      </c>
      <c r="C3400" t="s">
        <v>856</v>
      </c>
      <c r="D3400" s="47" t="s">
        <v>1134</v>
      </c>
      <c r="E3400" s="2" t="s">
        <v>1125</v>
      </c>
      <c r="F3400" t="s">
        <v>185</v>
      </c>
      <c r="G3400"/>
      <c r="H3400" t="s">
        <v>47</v>
      </c>
      <c r="I3400" t="s">
        <v>30</v>
      </c>
      <c r="J3400" t="s">
        <v>35</v>
      </c>
      <c r="K3400"/>
      <c r="L3400" s="47" t="s">
        <v>180</v>
      </c>
      <c r="M3400" s="47" t="s">
        <v>1135</v>
      </c>
    </row>
    <row r="3401" spans="1:31" ht="15" customHeight="1">
      <c r="A3401" s="47">
        <v>1956</v>
      </c>
      <c r="B3401" s="2">
        <v>4455</v>
      </c>
      <c r="C3401" t="s">
        <v>856</v>
      </c>
      <c r="D3401" s="47" t="s">
        <v>1130</v>
      </c>
      <c r="E3401" s="47" t="s">
        <v>1128</v>
      </c>
      <c r="F3401" t="s">
        <v>185</v>
      </c>
      <c r="H3401" t="s">
        <v>47</v>
      </c>
      <c r="I3401" t="s">
        <v>30</v>
      </c>
      <c r="J3401" t="s">
        <v>35</v>
      </c>
      <c r="K3401"/>
      <c r="L3401" s="47" t="s">
        <v>180</v>
      </c>
      <c r="M3401" s="47" t="s">
        <v>197</v>
      </c>
    </row>
    <row r="3402" spans="1:31" ht="15" customHeight="1">
      <c r="A3402" s="47">
        <v>1956</v>
      </c>
      <c r="B3402" s="2">
        <v>4456</v>
      </c>
      <c r="C3402" t="s">
        <v>856</v>
      </c>
      <c r="D3402" s="47" t="s">
        <v>1131</v>
      </c>
      <c r="E3402" s="47" t="s">
        <v>1129</v>
      </c>
      <c r="F3402" t="s">
        <v>185</v>
      </c>
      <c r="H3402" t="s">
        <v>47</v>
      </c>
      <c r="I3402" t="s">
        <v>30</v>
      </c>
      <c r="J3402" t="s">
        <v>35</v>
      </c>
      <c r="K3402"/>
      <c r="L3402" s="47" t="s">
        <v>239</v>
      </c>
      <c r="M3402" s="47" t="s">
        <v>1135</v>
      </c>
    </row>
    <row r="3403" spans="1:31" ht="15" customHeight="1">
      <c r="A3403" s="47">
        <v>1956</v>
      </c>
      <c r="B3403" s="2">
        <v>4457</v>
      </c>
      <c r="C3403" t="s">
        <v>856</v>
      </c>
      <c r="D3403" s="47" t="s">
        <v>1132</v>
      </c>
      <c r="E3403" s="47" t="s">
        <v>1129</v>
      </c>
      <c r="F3403" t="s">
        <v>185</v>
      </c>
      <c r="H3403" t="s">
        <v>47</v>
      </c>
      <c r="I3403" t="s">
        <v>30</v>
      </c>
      <c r="J3403" t="s">
        <v>35</v>
      </c>
      <c r="K3403"/>
      <c r="L3403" s="47" t="s">
        <v>239</v>
      </c>
      <c r="M3403" s="47" t="s">
        <v>1135</v>
      </c>
      <c r="AC3403" s="48"/>
      <c r="AD3403" s="48"/>
      <c r="AE3403" s="48"/>
    </row>
    <row r="3404" spans="1:31" ht="15" customHeight="1">
      <c r="A3404" s="47">
        <v>1956</v>
      </c>
      <c r="B3404" s="2">
        <v>4458</v>
      </c>
      <c r="C3404" t="s">
        <v>856</v>
      </c>
      <c r="D3404" s="2" t="s">
        <v>1127</v>
      </c>
      <c r="E3404" s="47" t="s">
        <v>1126</v>
      </c>
      <c r="F3404" t="s">
        <v>185</v>
      </c>
      <c r="H3404" t="s">
        <v>47</v>
      </c>
      <c r="I3404" t="s">
        <v>30</v>
      </c>
      <c r="J3404" t="s">
        <v>35</v>
      </c>
      <c r="K3404"/>
      <c r="L3404" s="47" t="s">
        <v>314</v>
      </c>
      <c r="M3404" s="47" t="s">
        <v>1136</v>
      </c>
    </row>
    <row r="3405" spans="1:31" ht="15" customHeight="1">
      <c r="A3405" s="47">
        <v>1957</v>
      </c>
      <c r="B3405" s="2">
        <v>4459</v>
      </c>
      <c r="C3405" t="s">
        <v>856</v>
      </c>
      <c r="D3405" s="47" t="s">
        <v>1134</v>
      </c>
      <c r="E3405" s="2" t="s">
        <v>1125</v>
      </c>
      <c r="F3405" t="s">
        <v>185</v>
      </c>
      <c r="G3405"/>
      <c r="H3405" t="s">
        <v>47</v>
      </c>
      <c r="I3405" t="s">
        <v>30</v>
      </c>
      <c r="J3405" t="s">
        <v>35</v>
      </c>
      <c r="K3405"/>
      <c r="L3405" s="47" t="s">
        <v>180</v>
      </c>
      <c r="M3405" s="47" t="s">
        <v>1135</v>
      </c>
    </row>
    <row r="3406" spans="1:31" ht="15" customHeight="1">
      <c r="A3406" s="47">
        <v>1957</v>
      </c>
      <c r="B3406" s="2">
        <v>4460</v>
      </c>
      <c r="C3406" t="s">
        <v>856</v>
      </c>
      <c r="D3406" s="47" t="s">
        <v>1130</v>
      </c>
      <c r="E3406" s="47" t="s">
        <v>1128</v>
      </c>
      <c r="F3406" t="s">
        <v>185</v>
      </c>
      <c r="H3406" t="s">
        <v>47</v>
      </c>
      <c r="I3406" t="s">
        <v>30</v>
      </c>
      <c r="J3406" t="s">
        <v>35</v>
      </c>
      <c r="K3406"/>
      <c r="L3406" s="47" t="s">
        <v>180</v>
      </c>
      <c r="M3406" s="47" t="s">
        <v>197</v>
      </c>
    </row>
    <row r="3407" spans="1:31" ht="15" customHeight="1">
      <c r="A3407" s="47">
        <v>1957</v>
      </c>
      <c r="B3407" s="2">
        <v>4461</v>
      </c>
      <c r="C3407" t="s">
        <v>856</v>
      </c>
      <c r="D3407" s="47" t="s">
        <v>1131</v>
      </c>
      <c r="E3407" s="47" t="s">
        <v>1129</v>
      </c>
      <c r="F3407" t="s">
        <v>185</v>
      </c>
      <c r="H3407" t="s">
        <v>47</v>
      </c>
      <c r="I3407" t="s">
        <v>30</v>
      </c>
      <c r="J3407" t="s">
        <v>35</v>
      </c>
      <c r="K3407"/>
      <c r="L3407" s="47" t="s">
        <v>239</v>
      </c>
      <c r="M3407" s="47" t="s">
        <v>1135</v>
      </c>
    </row>
    <row r="3408" spans="1:31" ht="15" customHeight="1">
      <c r="A3408" s="47">
        <v>1957</v>
      </c>
      <c r="B3408" s="2">
        <v>4462</v>
      </c>
      <c r="C3408" t="s">
        <v>856</v>
      </c>
      <c r="D3408" s="47" t="s">
        <v>1132</v>
      </c>
      <c r="E3408" s="47" t="s">
        <v>1129</v>
      </c>
      <c r="F3408" t="s">
        <v>185</v>
      </c>
      <c r="H3408" t="s">
        <v>47</v>
      </c>
      <c r="I3408" t="s">
        <v>30</v>
      </c>
      <c r="J3408" t="s">
        <v>35</v>
      </c>
      <c r="K3408"/>
      <c r="L3408" s="47" t="s">
        <v>239</v>
      </c>
      <c r="M3408" s="47" t="s">
        <v>1135</v>
      </c>
    </row>
    <row r="3409" spans="1:13" ht="15" customHeight="1">
      <c r="A3409" s="47">
        <v>1957</v>
      </c>
      <c r="B3409" s="2">
        <v>4463</v>
      </c>
      <c r="C3409" t="s">
        <v>856</v>
      </c>
      <c r="D3409" s="2" t="s">
        <v>1127</v>
      </c>
      <c r="E3409" s="47" t="s">
        <v>1126</v>
      </c>
      <c r="F3409" t="s">
        <v>185</v>
      </c>
      <c r="H3409" t="s">
        <v>47</v>
      </c>
      <c r="I3409" t="s">
        <v>30</v>
      </c>
      <c r="J3409" t="s">
        <v>35</v>
      </c>
      <c r="K3409"/>
      <c r="L3409" s="47" t="s">
        <v>314</v>
      </c>
      <c r="M3409" s="47" t="s">
        <v>1136</v>
      </c>
    </row>
    <row r="3410" spans="1:13" ht="15" customHeight="1">
      <c r="A3410" s="47">
        <v>1958</v>
      </c>
      <c r="B3410" s="2">
        <v>4464</v>
      </c>
      <c r="C3410" t="s">
        <v>856</v>
      </c>
      <c r="D3410" s="47" t="s">
        <v>1134</v>
      </c>
      <c r="E3410" s="2" t="s">
        <v>1125</v>
      </c>
      <c r="F3410" t="s">
        <v>185</v>
      </c>
      <c r="G3410"/>
      <c r="H3410" t="s">
        <v>47</v>
      </c>
      <c r="I3410" t="s">
        <v>30</v>
      </c>
      <c r="J3410" t="s">
        <v>35</v>
      </c>
      <c r="K3410"/>
      <c r="L3410" s="47" t="s">
        <v>180</v>
      </c>
      <c r="M3410" s="47" t="s">
        <v>1135</v>
      </c>
    </row>
    <row r="3411" spans="1:13" ht="15" customHeight="1">
      <c r="A3411" s="47">
        <v>1958</v>
      </c>
      <c r="B3411" s="2">
        <v>4465</v>
      </c>
      <c r="C3411" t="s">
        <v>856</v>
      </c>
      <c r="D3411" s="47" t="s">
        <v>1130</v>
      </c>
      <c r="E3411" s="47" t="s">
        <v>1128</v>
      </c>
      <c r="F3411" t="s">
        <v>185</v>
      </c>
      <c r="H3411" t="s">
        <v>47</v>
      </c>
      <c r="I3411" t="s">
        <v>30</v>
      </c>
      <c r="J3411" t="s">
        <v>35</v>
      </c>
      <c r="K3411"/>
      <c r="L3411" s="47" t="s">
        <v>180</v>
      </c>
      <c r="M3411" s="47" t="s">
        <v>197</v>
      </c>
    </row>
    <row r="3412" spans="1:13" ht="15" customHeight="1">
      <c r="A3412" s="47">
        <v>1958</v>
      </c>
      <c r="B3412" s="2">
        <v>4466</v>
      </c>
      <c r="C3412" t="s">
        <v>856</v>
      </c>
      <c r="D3412" s="47" t="s">
        <v>1131</v>
      </c>
      <c r="E3412" s="47" t="s">
        <v>1129</v>
      </c>
      <c r="F3412" t="s">
        <v>185</v>
      </c>
      <c r="H3412" t="s">
        <v>47</v>
      </c>
      <c r="I3412" t="s">
        <v>30</v>
      </c>
      <c r="J3412" t="s">
        <v>35</v>
      </c>
      <c r="K3412"/>
      <c r="L3412" s="47" t="s">
        <v>239</v>
      </c>
      <c r="M3412" s="47" t="s">
        <v>1135</v>
      </c>
    </row>
    <row r="3413" spans="1:13" ht="15" customHeight="1">
      <c r="A3413" s="47">
        <v>1958</v>
      </c>
      <c r="B3413" s="2">
        <v>4467</v>
      </c>
      <c r="C3413" t="s">
        <v>856</v>
      </c>
      <c r="D3413" s="47" t="s">
        <v>1132</v>
      </c>
      <c r="E3413" s="47" t="s">
        <v>1129</v>
      </c>
      <c r="F3413" t="s">
        <v>185</v>
      </c>
      <c r="H3413" t="s">
        <v>47</v>
      </c>
      <c r="I3413" t="s">
        <v>30</v>
      </c>
      <c r="J3413" t="s">
        <v>35</v>
      </c>
      <c r="K3413"/>
      <c r="L3413" s="47" t="s">
        <v>239</v>
      </c>
      <c r="M3413" s="47" t="s">
        <v>1135</v>
      </c>
    </row>
    <row r="3414" spans="1:13" ht="15" customHeight="1">
      <c r="A3414" s="47">
        <v>1958</v>
      </c>
      <c r="B3414" s="2">
        <v>4468</v>
      </c>
      <c r="C3414" t="s">
        <v>856</v>
      </c>
      <c r="D3414" s="2" t="s">
        <v>1127</v>
      </c>
      <c r="E3414" s="47" t="s">
        <v>1126</v>
      </c>
      <c r="F3414" t="s">
        <v>185</v>
      </c>
      <c r="H3414" t="s">
        <v>47</v>
      </c>
      <c r="I3414" t="s">
        <v>30</v>
      </c>
      <c r="J3414" t="s">
        <v>35</v>
      </c>
      <c r="K3414"/>
      <c r="L3414" s="47" t="s">
        <v>314</v>
      </c>
      <c r="M3414" s="47" t="s">
        <v>1136</v>
      </c>
    </row>
    <row r="3415" spans="1:13" ht="15" customHeight="1">
      <c r="A3415" s="47">
        <v>1959</v>
      </c>
      <c r="B3415" s="2">
        <v>4469</v>
      </c>
      <c r="C3415" t="s">
        <v>856</v>
      </c>
      <c r="D3415" s="47" t="s">
        <v>1134</v>
      </c>
      <c r="E3415" s="2" t="s">
        <v>1125</v>
      </c>
      <c r="F3415" t="s">
        <v>185</v>
      </c>
      <c r="G3415"/>
      <c r="H3415" t="s">
        <v>47</v>
      </c>
      <c r="I3415" t="s">
        <v>30</v>
      </c>
      <c r="J3415" t="s">
        <v>35</v>
      </c>
      <c r="K3415"/>
      <c r="L3415" s="47" t="s">
        <v>180</v>
      </c>
      <c r="M3415" s="47" t="s">
        <v>1135</v>
      </c>
    </row>
    <row r="3416" spans="1:13" ht="15" customHeight="1">
      <c r="A3416" s="47">
        <v>1959</v>
      </c>
      <c r="B3416" s="2">
        <v>4470</v>
      </c>
      <c r="C3416" t="s">
        <v>856</v>
      </c>
      <c r="D3416" s="47" t="s">
        <v>1130</v>
      </c>
      <c r="E3416" s="47" t="s">
        <v>1128</v>
      </c>
      <c r="F3416" t="s">
        <v>185</v>
      </c>
      <c r="H3416" t="s">
        <v>47</v>
      </c>
      <c r="I3416" t="s">
        <v>30</v>
      </c>
      <c r="J3416" t="s">
        <v>35</v>
      </c>
      <c r="K3416"/>
      <c r="L3416" s="47" t="s">
        <v>180</v>
      </c>
      <c r="M3416" s="47" t="s">
        <v>197</v>
      </c>
    </row>
    <row r="3417" spans="1:13" ht="15" customHeight="1">
      <c r="A3417" s="47">
        <v>1959</v>
      </c>
      <c r="B3417" s="2">
        <v>4471</v>
      </c>
      <c r="C3417" t="s">
        <v>856</v>
      </c>
      <c r="D3417" s="47" t="s">
        <v>1131</v>
      </c>
      <c r="E3417" s="47" t="s">
        <v>1129</v>
      </c>
      <c r="F3417" t="s">
        <v>185</v>
      </c>
      <c r="H3417" t="s">
        <v>47</v>
      </c>
      <c r="I3417" t="s">
        <v>30</v>
      </c>
      <c r="J3417" t="s">
        <v>35</v>
      </c>
      <c r="K3417"/>
      <c r="L3417" s="47" t="s">
        <v>239</v>
      </c>
      <c r="M3417" s="47" t="s">
        <v>1135</v>
      </c>
    </row>
    <row r="3418" spans="1:13" ht="15" customHeight="1">
      <c r="A3418" s="47">
        <v>1959</v>
      </c>
      <c r="B3418" s="2">
        <v>4472</v>
      </c>
      <c r="C3418" t="s">
        <v>856</v>
      </c>
      <c r="D3418" s="47" t="s">
        <v>1132</v>
      </c>
      <c r="E3418" s="47" t="s">
        <v>1129</v>
      </c>
      <c r="F3418" t="s">
        <v>185</v>
      </c>
      <c r="H3418" t="s">
        <v>47</v>
      </c>
      <c r="I3418" t="s">
        <v>30</v>
      </c>
      <c r="J3418" t="s">
        <v>35</v>
      </c>
      <c r="K3418"/>
      <c r="L3418" s="47" t="s">
        <v>239</v>
      </c>
      <c r="M3418" s="47" t="s">
        <v>1135</v>
      </c>
    </row>
    <row r="3419" spans="1:13" ht="15" customHeight="1">
      <c r="A3419" s="47">
        <v>1959</v>
      </c>
      <c r="B3419" s="2">
        <v>4473</v>
      </c>
      <c r="C3419" t="s">
        <v>856</v>
      </c>
      <c r="D3419" s="2" t="s">
        <v>1127</v>
      </c>
      <c r="E3419" s="47" t="s">
        <v>1126</v>
      </c>
      <c r="F3419" t="s">
        <v>185</v>
      </c>
      <c r="H3419" t="s">
        <v>47</v>
      </c>
      <c r="I3419" t="s">
        <v>30</v>
      </c>
      <c r="J3419" t="s">
        <v>35</v>
      </c>
      <c r="K3419"/>
      <c r="L3419" s="47" t="s">
        <v>314</v>
      </c>
      <c r="M3419" s="47" t="s">
        <v>1136</v>
      </c>
    </row>
    <row r="3420" spans="1:13" ht="15" customHeight="1">
      <c r="A3420" s="47">
        <v>1960</v>
      </c>
      <c r="B3420" s="2">
        <v>4474</v>
      </c>
      <c r="C3420" t="s">
        <v>856</v>
      </c>
      <c r="D3420" s="47" t="s">
        <v>1134</v>
      </c>
      <c r="E3420" s="2" t="s">
        <v>1125</v>
      </c>
      <c r="F3420" t="s">
        <v>185</v>
      </c>
      <c r="G3420"/>
      <c r="H3420" t="s">
        <v>47</v>
      </c>
      <c r="I3420" t="s">
        <v>30</v>
      </c>
      <c r="J3420" t="s">
        <v>35</v>
      </c>
      <c r="K3420"/>
      <c r="L3420" s="47" t="s">
        <v>180</v>
      </c>
      <c r="M3420" s="47" t="s">
        <v>1135</v>
      </c>
    </row>
    <row r="3421" spans="1:13" ht="15" customHeight="1">
      <c r="A3421" s="47">
        <v>1960</v>
      </c>
      <c r="B3421" s="2">
        <v>4475</v>
      </c>
      <c r="C3421" t="s">
        <v>856</v>
      </c>
      <c r="D3421" s="47" t="s">
        <v>1130</v>
      </c>
      <c r="E3421" s="47" t="s">
        <v>1128</v>
      </c>
      <c r="F3421" t="s">
        <v>185</v>
      </c>
      <c r="H3421" t="s">
        <v>47</v>
      </c>
      <c r="I3421" t="s">
        <v>30</v>
      </c>
      <c r="J3421" t="s">
        <v>35</v>
      </c>
      <c r="K3421"/>
      <c r="L3421" s="47" t="s">
        <v>180</v>
      </c>
      <c r="M3421" s="47" t="s">
        <v>197</v>
      </c>
    </row>
    <row r="3422" spans="1:13" ht="15" customHeight="1">
      <c r="A3422" s="47">
        <v>1960</v>
      </c>
      <c r="B3422" s="2">
        <v>4476</v>
      </c>
      <c r="C3422" t="s">
        <v>856</v>
      </c>
      <c r="D3422" s="47" t="s">
        <v>1131</v>
      </c>
      <c r="E3422" s="47" t="s">
        <v>1129</v>
      </c>
      <c r="F3422" t="s">
        <v>185</v>
      </c>
      <c r="H3422" t="s">
        <v>47</v>
      </c>
      <c r="I3422" t="s">
        <v>30</v>
      </c>
      <c r="J3422" t="s">
        <v>35</v>
      </c>
      <c r="K3422"/>
      <c r="L3422" s="47" t="s">
        <v>239</v>
      </c>
      <c r="M3422" s="47" t="s">
        <v>1135</v>
      </c>
    </row>
    <row r="3423" spans="1:13" ht="15" customHeight="1">
      <c r="A3423" s="47">
        <v>1960</v>
      </c>
      <c r="B3423" s="2">
        <v>4477</v>
      </c>
      <c r="C3423" t="s">
        <v>856</v>
      </c>
      <c r="D3423" s="47" t="s">
        <v>1132</v>
      </c>
      <c r="E3423" s="47" t="s">
        <v>1129</v>
      </c>
      <c r="F3423" t="s">
        <v>185</v>
      </c>
      <c r="H3423" t="s">
        <v>47</v>
      </c>
      <c r="I3423" t="s">
        <v>30</v>
      </c>
      <c r="J3423" t="s">
        <v>35</v>
      </c>
      <c r="K3423"/>
      <c r="L3423" s="47" t="s">
        <v>239</v>
      </c>
      <c r="M3423" s="47" t="s">
        <v>1135</v>
      </c>
    </row>
    <row r="3424" spans="1:13" ht="15" customHeight="1">
      <c r="A3424" s="47">
        <v>1960</v>
      </c>
      <c r="B3424" s="2">
        <v>4478</v>
      </c>
      <c r="C3424" t="s">
        <v>856</v>
      </c>
      <c r="D3424" s="2" t="s">
        <v>1127</v>
      </c>
      <c r="E3424" s="47" t="s">
        <v>1126</v>
      </c>
      <c r="F3424" t="s">
        <v>185</v>
      </c>
      <c r="H3424" t="s">
        <v>47</v>
      </c>
      <c r="I3424" t="s">
        <v>30</v>
      </c>
      <c r="J3424" t="s">
        <v>35</v>
      </c>
      <c r="K3424"/>
      <c r="L3424" s="47" t="s">
        <v>314</v>
      </c>
      <c r="M3424" s="47" t="s">
        <v>1136</v>
      </c>
    </row>
    <row r="3425" spans="1:13" ht="15" customHeight="1">
      <c r="A3425" s="47">
        <v>1961</v>
      </c>
      <c r="B3425" s="2">
        <v>4479</v>
      </c>
      <c r="C3425" t="s">
        <v>856</v>
      </c>
      <c r="D3425" s="47" t="s">
        <v>1134</v>
      </c>
      <c r="E3425" s="2" t="s">
        <v>1125</v>
      </c>
      <c r="F3425" t="s">
        <v>185</v>
      </c>
      <c r="G3425"/>
      <c r="H3425" t="s">
        <v>47</v>
      </c>
      <c r="I3425" t="s">
        <v>30</v>
      </c>
      <c r="J3425" t="s">
        <v>35</v>
      </c>
      <c r="K3425"/>
      <c r="L3425" s="47" t="s">
        <v>180</v>
      </c>
      <c r="M3425" s="47" t="s">
        <v>1135</v>
      </c>
    </row>
    <row r="3426" spans="1:13" ht="15" customHeight="1">
      <c r="A3426" s="47">
        <v>1961</v>
      </c>
      <c r="B3426" s="2">
        <v>4480</v>
      </c>
      <c r="C3426" t="s">
        <v>856</v>
      </c>
      <c r="D3426" s="47" t="s">
        <v>1130</v>
      </c>
      <c r="E3426" s="47" t="s">
        <v>1128</v>
      </c>
      <c r="F3426" t="s">
        <v>185</v>
      </c>
      <c r="H3426" t="s">
        <v>47</v>
      </c>
      <c r="I3426" t="s">
        <v>30</v>
      </c>
      <c r="J3426" t="s">
        <v>35</v>
      </c>
      <c r="K3426"/>
      <c r="L3426" s="47" t="s">
        <v>180</v>
      </c>
      <c r="M3426" s="47" t="s">
        <v>197</v>
      </c>
    </row>
    <row r="3427" spans="1:13" ht="15" customHeight="1">
      <c r="A3427" s="47">
        <v>1961</v>
      </c>
      <c r="B3427" s="2">
        <v>4481</v>
      </c>
      <c r="C3427" t="s">
        <v>856</v>
      </c>
      <c r="D3427" s="47" t="s">
        <v>1131</v>
      </c>
      <c r="E3427" s="47" t="s">
        <v>1129</v>
      </c>
      <c r="F3427" t="s">
        <v>185</v>
      </c>
      <c r="H3427" t="s">
        <v>47</v>
      </c>
      <c r="I3427" t="s">
        <v>30</v>
      </c>
      <c r="J3427" t="s">
        <v>35</v>
      </c>
      <c r="K3427"/>
      <c r="L3427" s="47" t="s">
        <v>239</v>
      </c>
      <c r="M3427" s="47" t="s">
        <v>1135</v>
      </c>
    </row>
    <row r="3428" spans="1:13" ht="15" customHeight="1">
      <c r="A3428" s="47">
        <v>1961</v>
      </c>
      <c r="B3428" s="2">
        <v>4482</v>
      </c>
      <c r="C3428" t="s">
        <v>856</v>
      </c>
      <c r="D3428" s="47" t="s">
        <v>1132</v>
      </c>
      <c r="E3428" s="47" t="s">
        <v>1129</v>
      </c>
      <c r="F3428" t="s">
        <v>185</v>
      </c>
      <c r="H3428" t="s">
        <v>47</v>
      </c>
      <c r="I3428" t="s">
        <v>30</v>
      </c>
      <c r="J3428" t="s">
        <v>35</v>
      </c>
      <c r="K3428"/>
      <c r="L3428" s="47" t="s">
        <v>239</v>
      </c>
      <c r="M3428" s="47" t="s">
        <v>1135</v>
      </c>
    </row>
    <row r="3429" spans="1:13" ht="15" customHeight="1">
      <c r="A3429" s="47">
        <v>1961</v>
      </c>
      <c r="B3429" s="2">
        <v>4483</v>
      </c>
      <c r="C3429" t="s">
        <v>856</v>
      </c>
      <c r="D3429" s="2" t="s">
        <v>1127</v>
      </c>
      <c r="E3429" s="47" t="s">
        <v>1126</v>
      </c>
      <c r="F3429" t="s">
        <v>185</v>
      </c>
      <c r="H3429" t="s">
        <v>47</v>
      </c>
      <c r="I3429" t="s">
        <v>30</v>
      </c>
      <c r="J3429" t="s">
        <v>35</v>
      </c>
      <c r="K3429"/>
      <c r="L3429" s="47" t="s">
        <v>314</v>
      </c>
      <c r="M3429" s="47" t="s">
        <v>1136</v>
      </c>
    </row>
    <row r="3430" spans="1:13" ht="15" customHeight="1">
      <c r="A3430" s="47">
        <v>1962</v>
      </c>
      <c r="B3430" s="2">
        <v>4484</v>
      </c>
      <c r="C3430" t="s">
        <v>856</v>
      </c>
      <c r="D3430" s="47" t="s">
        <v>1134</v>
      </c>
      <c r="E3430" s="2" t="s">
        <v>1125</v>
      </c>
      <c r="F3430" t="s">
        <v>185</v>
      </c>
      <c r="G3430"/>
      <c r="H3430" t="s">
        <v>47</v>
      </c>
      <c r="I3430" t="s">
        <v>30</v>
      </c>
      <c r="J3430" t="s">
        <v>35</v>
      </c>
      <c r="K3430"/>
      <c r="L3430" s="47" t="s">
        <v>180</v>
      </c>
      <c r="M3430" s="47" t="s">
        <v>1135</v>
      </c>
    </row>
    <row r="3431" spans="1:13" ht="15" customHeight="1">
      <c r="A3431" s="47">
        <v>1962</v>
      </c>
      <c r="B3431" s="2">
        <v>4485</v>
      </c>
      <c r="C3431" t="s">
        <v>856</v>
      </c>
      <c r="D3431" s="47" t="s">
        <v>1130</v>
      </c>
      <c r="E3431" s="47" t="s">
        <v>1128</v>
      </c>
      <c r="F3431" t="s">
        <v>185</v>
      </c>
      <c r="H3431" t="s">
        <v>47</v>
      </c>
      <c r="I3431" t="s">
        <v>30</v>
      </c>
      <c r="J3431" t="s">
        <v>35</v>
      </c>
      <c r="K3431"/>
      <c r="L3431" s="47" t="s">
        <v>180</v>
      </c>
      <c r="M3431" s="47" t="s">
        <v>197</v>
      </c>
    </row>
    <row r="3432" spans="1:13" ht="15" customHeight="1">
      <c r="A3432" s="47">
        <v>1962</v>
      </c>
      <c r="B3432" s="2">
        <v>4486</v>
      </c>
      <c r="C3432" t="s">
        <v>856</v>
      </c>
      <c r="D3432" s="47" t="s">
        <v>1131</v>
      </c>
      <c r="E3432" s="47" t="s">
        <v>1129</v>
      </c>
      <c r="F3432" t="s">
        <v>185</v>
      </c>
      <c r="H3432" t="s">
        <v>47</v>
      </c>
      <c r="I3432" t="s">
        <v>30</v>
      </c>
      <c r="J3432" t="s">
        <v>35</v>
      </c>
      <c r="K3432"/>
      <c r="L3432" s="47" t="s">
        <v>239</v>
      </c>
      <c r="M3432" s="47" t="s">
        <v>1135</v>
      </c>
    </row>
    <row r="3433" spans="1:13" ht="15" customHeight="1">
      <c r="A3433" s="47">
        <v>1962</v>
      </c>
      <c r="B3433" s="2">
        <v>4487</v>
      </c>
      <c r="C3433" t="s">
        <v>856</v>
      </c>
      <c r="D3433" s="47" t="s">
        <v>1132</v>
      </c>
      <c r="E3433" s="47" t="s">
        <v>1129</v>
      </c>
      <c r="F3433" t="s">
        <v>185</v>
      </c>
      <c r="H3433" t="s">
        <v>47</v>
      </c>
      <c r="I3433" t="s">
        <v>30</v>
      </c>
      <c r="J3433" t="s">
        <v>35</v>
      </c>
      <c r="K3433"/>
      <c r="L3433" s="47" t="s">
        <v>239</v>
      </c>
      <c r="M3433" s="47" t="s">
        <v>1135</v>
      </c>
    </row>
    <row r="3434" spans="1:13" ht="15" customHeight="1">
      <c r="A3434" s="47">
        <v>1962</v>
      </c>
      <c r="B3434" s="2">
        <v>4488</v>
      </c>
      <c r="C3434" t="s">
        <v>856</v>
      </c>
      <c r="D3434" s="2" t="s">
        <v>1127</v>
      </c>
      <c r="E3434" s="47" t="s">
        <v>1126</v>
      </c>
      <c r="F3434" t="s">
        <v>185</v>
      </c>
      <c r="H3434" t="s">
        <v>47</v>
      </c>
      <c r="I3434" t="s">
        <v>30</v>
      </c>
      <c r="J3434" t="s">
        <v>35</v>
      </c>
      <c r="K3434"/>
      <c r="L3434" s="47" t="s">
        <v>314</v>
      </c>
      <c r="M3434" s="47" t="s">
        <v>1136</v>
      </c>
    </row>
    <row r="3435" spans="1:13" ht="15" customHeight="1">
      <c r="A3435" s="47">
        <v>1963</v>
      </c>
      <c r="B3435" s="2">
        <v>4489</v>
      </c>
      <c r="C3435" t="s">
        <v>856</v>
      </c>
      <c r="D3435" s="47" t="s">
        <v>1134</v>
      </c>
      <c r="E3435" s="2" t="s">
        <v>1125</v>
      </c>
      <c r="F3435" t="s">
        <v>185</v>
      </c>
      <c r="G3435"/>
      <c r="H3435" t="s">
        <v>47</v>
      </c>
      <c r="I3435" t="s">
        <v>30</v>
      </c>
      <c r="J3435" t="s">
        <v>35</v>
      </c>
      <c r="K3435"/>
      <c r="L3435" s="47" t="s">
        <v>180</v>
      </c>
      <c r="M3435" s="47" t="s">
        <v>1135</v>
      </c>
    </row>
    <row r="3436" spans="1:13" ht="15" customHeight="1">
      <c r="A3436" s="47">
        <v>1963</v>
      </c>
      <c r="B3436" s="2">
        <v>4490</v>
      </c>
      <c r="C3436" t="s">
        <v>856</v>
      </c>
      <c r="D3436" s="47" t="s">
        <v>1130</v>
      </c>
      <c r="E3436" s="47" t="s">
        <v>1128</v>
      </c>
      <c r="F3436" t="s">
        <v>185</v>
      </c>
      <c r="H3436" t="s">
        <v>47</v>
      </c>
      <c r="I3436" t="s">
        <v>30</v>
      </c>
      <c r="J3436" t="s">
        <v>35</v>
      </c>
      <c r="K3436"/>
      <c r="L3436" s="47" t="s">
        <v>180</v>
      </c>
      <c r="M3436" s="47" t="s">
        <v>197</v>
      </c>
    </row>
    <row r="3437" spans="1:13" ht="15" customHeight="1">
      <c r="A3437" s="47">
        <v>1963</v>
      </c>
      <c r="B3437" s="2">
        <v>4491</v>
      </c>
      <c r="C3437" t="s">
        <v>856</v>
      </c>
      <c r="D3437" s="47" t="s">
        <v>1131</v>
      </c>
      <c r="E3437" s="47" t="s">
        <v>1129</v>
      </c>
      <c r="F3437" t="s">
        <v>185</v>
      </c>
      <c r="H3437" t="s">
        <v>47</v>
      </c>
      <c r="I3437" t="s">
        <v>30</v>
      </c>
      <c r="J3437" t="s">
        <v>35</v>
      </c>
      <c r="K3437"/>
      <c r="L3437" s="47" t="s">
        <v>239</v>
      </c>
      <c r="M3437" s="47" t="s">
        <v>1135</v>
      </c>
    </row>
    <row r="3438" spans="1:13" ht="15" customHeight="1">
      <c r="A3438" s="47">
        <v>1963</v>
      </c>
      <c r="B3438" s="2">
        <v>4492</v>
      </c>
      <c r="C3438" t="s">
        <v>856</v>
      </c>
      <c r="D3438" s="47" t="s">
        <v>1132</v>
      </c>
      <c r="E3438" s="47" t="s">
        <v>1129</v>
      </c>
      <c r="F3438" t="s">
        <v>185</v>
      </c>
      <c r="H3438" t="s">
        <v>47</v>
      </c>
      <c r="I3438" t="s">
        <v>30</v>
      </c>
      <c r="J3438" t="s">
        <v>35</v>
      </c>
      <c r="K3438"/>
      <c r="L3438" s="47" t="s">
        <v>239</v>
      </c>
      <c r="M3438" s="47" t="s">
        <v>1135</v>
      </c>
    </row>
    <row r="3439" spans="1:13" ht="15" customHeight="1">
      <c r="A3439" s="47">
        <v>1963</v>
      </c>
      <c r="B3439" s="2">
        <v>4493</v>
      </c>
      <c r="C3439" t="s">
        <v>856</v>
      </c>
      <c r="D3439" s="2" t="s">
        <v>1127</v>
      </c>
      <c r="E3439" s="47" t="s">
        <v>1126</v>
      </c>
      <c r="F3439" t="s">
        <v>185</v>
      </c>
      <c r="H3439" t="s">
        <v>47</v>
      </c>
      <c r="I3439" t="s">
        <v>30</v>
      </c>
      <c r="J3439" t="s">
        <v>35</v>
      </c>
      <c r="K3439"/>
      <c r="L3439" s="47" t="s">
        <v>314</v>
      </c>
      <c r="M3439" s="47" t="s">
        <v>1136</v>
      </c>
    </row>
    <row r="3440" spans="1:13" ht="15" customHeight="1">
      <c r="A3440" s="47">
        <v>1964</v>
      </c>
      <c r="B3440" s="2">
        <v>4494</v>
      </c>
      <c r="C3440" t="s">
        <v>856</v>
      </c>
      <c r="D3440" s="47" t="s">
        <v>1134</v>
      </c>
      <c r="E3440" s="2" t="s">
        <v>1125</v>
      </c>
      <c r="F3440" t="s">
        <v>185</v>
      </c>
      <c r="G3440"/>
      <c r="H3440" t="s">
        <v>47</v>
      </c>
      <c r="I3440" t="s">
        <v>30</v>
      </c>
      <c r="J3440" t="s">
        <v>35</v>
      </c>
      <c r="K3440"/>
      <c r="L3440" s="47" t="s">
        <v>180</v>
      </c>
      <c r="M3440" s="47" t="s">
        <v>1135</v>
      </c>
    </row>
    <row r="3441" spans="1:35" ht="15" customHeight="1">
      <c r="A3441" s="47">
        <v>1964</v>
      </c>
      <c r="B3441" s="2">
        <v>4495</v>
      </c>
      <c r="C3441" t="s">
        <v>856</v>
      </c>
      <c r="D3441" s="47" t="s">
        <v>1130</v>
      </c>
      <c r="E3441" s="47" t="s">
        <v>1128</v>
      </c>
      <c r="F3441" t="s">
        <v>185</v>
      </c>
      <c r="H3441" t="s">
        <v>47</v>
      </c>
      <c r="I3441" t="s">
        <v>30</v>
      </c>
      <c r="J3441" t="s">
        <v>35</v>
      </c>
      <c r="K3441"/>
      <c r="L3441" s="47" t="s">
        <v>180</v>
      </c>
      <c r="M3441" s="47" t="s">
        <v>197</v>
      </c>
      <c r="AC3441" s="48"/>
      <c r="AD3441" s="48"/>
      <c r="AE3441" s="48"/>
    </row>
    <row r="3442" spans="1:35" ht="15" customHeight="1">
      <c r="A3442" s="47">
        <v>1964</v>
      </c>
      <c r="B3442" s="2">
        <v>4496</v>
      </c>
      <c r="C3442" t="s">
        <v>856</v>
      </c>
      <c r="D3442" s="47" t="s">
        <v>1131</v>
      </c>
      <c r="E3442" s="47" t="s">
        <v>1129</v>
      </c>
      <c r="F3442" t="s">
        <v>185</v>
      </c>
      <c r="H3442" t="s">
        <v>47</v>
      </c>
      <c r="I3442" t="s">
        <v>30</v>
      </c>
      <c r="J3442" t="s">
        <v>35</v>
      </c>
      <c r="K3442"/>
      <c r="L3442" s="47" t="s">
        <v>239</v>
      </c>
      <c r="M3442" s="47" t="s">
        <v>1135</v>
      </c>
      <c r="AF3442" s="48"/>
      <c r="AG3442" s="48"/>
      <c r="AH3442" s="48"/>
      <c r="AI3442" s="48"/>
    </row>
    <row r="3443" spans="1:35" ht="15" customHeight="1">
      <c r="A3443" s="47">
        <v>1964</v>
      </c>
      <c r="B3443" s="2">
        <v>4497</v>
      </c>
      <c r="C3443" t="s">
        <v>856</v>
      </c>
      <c r="D3443" s="47" t="s">
        <v>1132</v>
      </c>
      <c r="E3443" s="47" t="s">
        <v>1129</v>
      </c>
      <c r="F3443" t="s">
        <v>185</v>
      </c>
      <c r="H3443" t="s">
        <v>47</v>
      </c>
      <c r="I3443" t="s">
        <v>30</v>
      </c>
      <c r="J3443" t="s">
        <v>35</v>
      </c>
      <c r="K3443"/>
      <c r="L3443" s="47" t="s">
        <v>239</v>
      </c>
      <c r="M3443" s="47" t="s">
        <v>1135</v>
      </c>
      <c r="AF3443" s="48"/>
      <c r="AG3443" s="48"/>
      <c r="AH3443" s="48"/>
      <c r="AI3443" s="48"/>
    </row>
    <row r="3444" spans="1:35" ht="15" customHeight="1">
      <c r="A3444" s="47">
        <v>1964</v>
      </c>
      <c r="B3444" s="2">
        <v>4498</v>
      </c>
      <c r="C3444" t="s">
        <v>856</v>
      </c>
      <c r="D3444" s="2" t="s">
        <v>1127</v>
      </c>
      <c r="E3444" s="47" t="s">
        <v>1126</v>
      </c>
      <c r="F3444" t="s">
        <v>185</v>
      </c>
      <c r="H3444" t="s">
        <v>47</v>
      </c>
      <c r="I3444" t="s">
        <v>30</v>
      </c>
      <c r="J3444" t="s">
        <v>35</v>
      </c>
      <c r="K3444"/>
      <c r="L3444" s="47" t="s">
        <v>314</v>
      </c>
      <c r="M3444" s="47" t="s">
        <v>1136</v>
      </c>
      <c r="AF3444" s="48"/>
      <c r="AG3444" s="48"/>
      <c r="AH3444" s="48"/>
      <c r="AI3444" s="48"/>
    </row>
    <row r="3445" spans="1:35" ht="15" customHeight="1">
      <c r="A3445" s="47">
        <v>1965</v>
      </c>
      <c r="B3445" s="2">
        <v>4499</v>
      </c>
      <c r="C3445" t="s">
        <v>856</v>
      </c>
      <c r="D3445" s="47" t="s">
        <v>1134</v>
      </c>
      <c r="E3445" s="2" t="s">
        <v>1125</v>
      </c>
      <c r="F3445" t="s">
        <v>185</v>
      </c>
      <c r="G3445"/>
      <c r="H3445" t="s">
        <v>47</v>
      </c>
      <c r="I3445" t="s">
        <v>30</v>
      </c>
      <c r="J3445" t="s">
        <v>35</v>
      </c>
      <c r="K3445"/>
      <c r="L3445" s="47" t="s">
        <v>180</v>
      </c>
      <c r="M3445" s="47" t="s">
        <v>1135</v>
      </c>
    </row>
    <row r="3446" spans="1:35" ht="15" customHeight="1">
      <c r="A3446" s="47">
        <v>1965</v>
      </c>
      <c r="B3446" s="2">
        <v>4500</v>
      </c>
      <c r="C3446" t="s">
        <v>856</v>
      </c>
      <c r="D3446" s="47" t="s">
        <v>1130</v>
      </c>
      <c r="E3446" s="47" t="s">
        <v>1128</v>
      </c>
      <c r="F3446" t="s">
        <v>185</v>
      </c>
      <c r="H3446" t="s">
        <v>47</v>
      </c>
      <c r="I3446" t="s">
        <v>30</v>
      </c>
      <c r="J3446" t="s">
        <v>35</v>
      </c>
      <c r="K3446"/>
      <c r="L3446" s="47" t="s">
        <v>180</v>
      </c>
      <c r="M3446" s="47" t="s">
        <v>197</v>
      </c>
    </row>
    <row r="3447" spans="1:35" ht="15" customHeight="1">
      <c r="A3447" s="47">
        <v>1965</v>
      </c>
      <c r="B3447" s="2">
        <v>4501</v>
      </c>
      <c r="C3447" t="s">
        <v>856</v>
      </c>
      <c r="D3447" s="47" t="s">
        <v>1131</v>
      </c>
      <c r="E3447" s="47" t="s">
        <v>1129</v>
      </c>
      <c r="F3447" t="s">
        <v>185</v>
      </c>
      <c r="H3447" t="s">
        <v>47</v>
      </c>
      <c r="I3447" t="s">
        <v>30</v>
      </c>
      <c r="J3447" t="s">
        <v>35</v>
      </c>
      <c r="K3447"/>
      <c r="L3447" s="47" t="s">
        <v>239</v>
      </c>
      <c r="M3447" s="47" t="s">
        <v>1135</v>
      </c>
    </row>
    <row r="3448" spans="1:35" ht="15" customHeight="1">
      <c r="A3448" s="47">
        <v>1965</v>
      </c>
      <c r="B3448" s="2">
        <v>4502</v>
      </c>
      <c r="C3448" t="s">
        <v>856</v>
      </c>
      <c r="D3448" s="47" t="s">
        <v>1132</v>
      </c>
      <c r="E3448" s="47" t="s">
        <v>1129</v>
      </c>
      <c r="F3448" t="s">
        <v>185</v>
      </c>
      <c r="H3448" t="s">
        <v>47</v>
      </c>
      <c r="I3448" t="s">
        <v>30</v>
      </c>
      <c r="J3448" t="s">
        <v>35</v>
      </c>
      <c r="K3448"/>
      <c r="L3448" s="47" t="s">
        <v>239</v>
      </c>
      <c r="M3448" s="47" t="s">
        <v>1135</v>
      </c>
    </row>
    <row r="3449" spans="1:35" ht="15" customHeight="1">
      <c r="A3449" s="47">
        <v>1965</v>
      </c>
      <c r="B3449" s="2">
        <v>4503</v>
      </c>
      <c r="C3449" t="s">
        <v>856</v>
      </c>
      <c r="D3449" s="2" t="s">
        <v>1127</v>
      </c>
      <c r="E3449" s="47" t="s">
        <v>1126</v>
      </c>
      <c r="F3449" t="s">
        <v>185</v>
      </c>
      <c r="H3449" t="s">
        <v>47</v>
      </c>
      <c r="I3449" t="s">
        <v>30</v>
      </c>
      <c r="J3449" t="s">
        <v>35</v>
      </c>
      <c r="K3449"/>
      <c r="L3449" s="47" t="s">
        <v>314</v>
      </c>
      <c r="M3449" s="47" t="s">
        <v>1136</v>
      </c>
    </row>
    <row r="3450" spans="1:35" ht="15" customHeight="1">
      <c r="A3450" s="47">
        <v>1966</v>
      </c>
      <c r="B3450" s="2">
        <v>4504</v>
      </c>
      <c r="C3450" t="s">
        <v>856</v>
      </c>
      <c r="D3450" s="47" t="s">
        <v>1134</v>
      </c>
      <c r="E3450" s="2" t="s">
        <v>1125</v>
      </c>
      <c r="F3450" t="s">
        <v>185</v>
      </c>
      <c r="G3450"/>
      <c r="H3450" t="s">
        <v>47</v>
      </c>
      <c r="I3450" t="s">
        <v>30</v>
      </c>
      <c r="J3450" t="s">
        <v>35</v>
      </c>
      <c r="K3450"/>
      <c r="L3450" s="47" t="s">
        <v>180</v>
      </c>
      <c r="M3450" s="47" t="s">
        <v>1135</v>
      </c>
    </row>
    <row r="3451" spans="1:35" ht="15" customHeight="1">
      <c r="A3451" s="47">
        <v>1966</v>
      </c>
      <c r="B3451" s="2">
        <v>4505</v>
      </c>
      <c r="C3451" t="s">
        <v>856</v>
      </c>
      <c r="D3451" s="47" t="s">
        <v>1130</v>
      </c>
      <c r="E3451" s="47" t="s">
        <v>1128</v>
      </c>
      <c r="F3451" t="s">
        <v>185</v>
      </c>
      <c r="H3451" t="s">
        <v>47</v>
      </c>
      <c r="I3451" t="s">
        <v>30</v>
      </c>
      <c r="J3451" t="s">
        <v>35</v>
      </c>
      <c r="K3451"/>
      <c r="L3451" s="47" t="s">
        <v>180</v>
      </c>
      <c r="M3451" s="47" t="s">
        <v>197</v>
      </c>
    </row>
    <row r="3452" spans="1:35" ht="15" customHeight="1">
      <c r="A3452" s="47">
        <v>1966</v>
      </c>
      <c r="B3452" s="2">
        <v>4506</v>
      </c>
      <c r="C3452" t="s">
        <v>856</v>
      </c>
      <c r="D3452" s="47" t="s">
        <v>1131</v>
      </c>
      <c r="E3452" s="47" t="s">
        <v>1129</v>
      </c>
      <c r="F3452" t="s">
        <v>185</v>
      </c>
      <c r="H3452" t="s">
        <v>47</v>
      </c>
      <c r="I3452" t="s">
        <v>30</v>
      </c>
      <c r="J3452" t="s">
        <v>35</v>
      </c>
      <c r="K3452"/>
      <c r="L3452" s="47" t="s">
        <v>239</v>
      </c>
      <c r="M3452" s="47" t="s">
        <v>1135</v>
      </c>
    </row>
    <row r="3453" spans="1:35" ht="15" customHeight="1">
      <c r="A3453" s="47">
        <v>1966</v>
      </c>
      <c r="B3453" s="2">
        <v>4507</v>
      </c>
      <c r="C3453" t="s">
        <v>856</v>
      </c>
      <c r="D3453" s="47" t="s">
        <v>1132</v>
      </c>
      <c r="E3453" s="47" t="s">
        <v>1129</v>
      </c>
      <c r="F3453" t="s">
        <v>185</v>
      </c>
      <c r="H3453" t="s">
        <v>47</v>
      </c>
      <c r="I3453" t="s">
        <v>30</v>
      </c>
      <c r="J3453" t="s">
        <v>35</v>
      </c>
      <c r="K3453"/>
      <c r="L3453" s="47" t="s">
        <v>239</v>
      </c>
      <c r="M3453" s="47" t="s">
        <v>1135</v>
      </c>
    </row>
    <row r="3454" spans="1:35" ht="15" customHeight="1">
      <c r="A3454" s="47">
        <v>1966</v>
      </c>
      <c r="B3454" s="2">
        <v>4508</v>
      </c>
      <c r="C3454" t="s">
        <v>856</v>
      </c>
      <c r="D3454" s="2" t="s">
        <v>1127</v>
      </c>
      <c r="E3454" s="47" t="s">
        <v>1126</v>
      </c>
      <c r="F3454" t="s">
        <v>185</v>
      </c>
      <c r="H3454" t="s">
        <v>47</v>
      </c>
      <c r="I3454" t="s">
        <v>30</v>
      </c>
      <c r="J3454" t="s">
        <v>35</v>
      </c>
      <c r="K3454"/>
      <c r="L3454" s="47" t="s">
        <v>314</v>
      </c>
      <c r="M3454" s="47" t="s">
        <v>1136</v>
      </c>
    </row>
    <row r="3455" spans="1:35" ht="15" customHeight="1">
      <c r="A3455" s="47">
        <v>1967</v>
      </c>
      <c r="B3455" s="2">
        <v>4509</v>
      </c>
      <c r="C3455" t="s">
        <v>856</v>
      </c>
      <c r="D3455" s="47" t="s">
        <v>1134</v>
      </c>
      <c r="E3455" s="2" t="s">
        <v>1125</v>
      </c>
      <c r="F3455" t="s">
        <v>185</v>
      </c>
      <c r="G3455"/>
      <c r="H3455" t="s">
        <v>47</v>
      </c>
      <c r="I3455" t="s">
        <v>30</v>
      </c>
      <c r="J3455" t="s">
        <v>35</v>
      </c>
      <c r="K3455"/>
      <c r="L3455" s="47" t="s">
        <v>180</v>
      </c>
      <c r="M3455" s="47" t="s">
        <v>1135</v>
      </c>
    </row>
    <row r="3456" spans="1:35" ht="15" customHeight="1">
      <c r="A3456" s="47">
        <v>1967</v>
      </c>
      <c r="B3456" s="2">
        <v>4510</v>
      </c>
      <c r="C3456" t="s">
        <v>856</v>
      </c>
      <c r="D3456" s="47" t="s">
        <v>1130</v>
      </c>
      <c r="E3456" s="47" t="s">
        <v>1128</v>
      </c>
      <c r="F3456" t="s">
        <v>185</v>
      </c>
      <c r="H3456" t="s">
        <v>47</v>
      </c>
      <c r="I3456" t="s">
        <v>30</v>
      </c>
      <c r="J3456" t="s">
        <v>35</v>
      </c>
      <c r="K3456"/>
      <c r="L3456" s="47" t="s">
        <v>180</v>
      </c>
      <c r="M3456" s="47" t="s">
        <v>197</v>
      </c>
    </row>
    <row r="3457" spans="1:13" ht="15" customHeight="1">
      <c r="A3457" s="47">
        <v>1967</v>
      </c>
      <c r="B3457" s="2">
        <v>4511</v>
      </c>
      <c r="C3457" t="s">
        <v>856</v>
      </c>
      <c r="D3457" s="47" t="s">
        <v>1131</v>
      </c>
      <c r="E3457" s="47" t="s">
        <v>1129</v>
      </c>
      <c r="F3457" t="s">
        <v>185</v>
      </c>
      <c r="H3457" t="s">
        <v>47</v>
      </c>
      <c r="I3457" t="s">
        <v>30</v>
      </c>
      <c r="J3457" t="s">
        <v>35</v>
      </c>
      <c r="K3457"/>
      <c r="L3457" s="47" t="s">
        <v>239</v>
      </c>
      <c r="M3457" s="47" t="s">
        <v>1135</v>
      </c>
    </row>
    <row r="3458" spans="1:13" ht="15" customHeight="1">
      <c r="A3458" s="47">
        <v>1967</v>
      </c>
      <c r="B3458" s="2">
        <v>4512</v>
      </c>
      <c r="C3458" t="s">
        <v>856</v>
      </c>
      <c r="D3458" s="47" t="s">
        <v>1132</v>
      </c>
      <c r="E3458" s="47" t="s">
        <v>1129</v>
      </c>
      <c r="F3458" t="s">
        <v>185</v>
      </c>
      <c r="H3458" t="s">
        <v>47</v>
      </c>
      <c r="I3458" t="s">
        <v>30</v>
      </c>
      <c r="J3458" t="s">
        <v>35</v>
      </c>
      <c r="K3458"/>
      <c r="L3458" s="47" t="s">
        <v>239</v>
      </c>
      <c r="M3458" s="47" t="s">
        <v>1135</v>
      </c>
    </row>
    <row r="3459" spans="1:13" ht="15" customHeight="1">
      <c r="A3459" s="47">
        <v>1967</v>
      </c>
      <c r="B3459" s="2">
        <v>4513</v>
      </c>
      <c r="C3459" t="s">
        <v>856</v>
      </c>
      <c r="D3459" s="2" t="s">
        <v>1127</v>
      </c>
      <c r="E3459" s="47" t="s">
        <v>1126</v>
      </c>
      <c r="F3459" t="s">
        <v>185</v>
      </c>
      <c r="H3459" t="s">
        <v>47</v>
      </c>
      <c r="I3459" t="s">
        <v>30</v>
      </c>
      <c r="J3459" t="s">
        <v>35</v>
      </c>
      <c r="K3459"/>
      <c r="L3459" s="47" t="s">
        <v>314</v>
      </c>
      <c r="M3459" s="47" t="s">
        <v>1136</v>
      </c>
    </row>
    <row r="3460" spans="1:13" ht="15" customHeight="1">
      <c r="A3460" s="47">
        <v>1968</v>
      </c>
      <c r="B3460" s="2">
        <v>4514</v>
      </c>
      <c r="C3460" t="s">
        <v>856</v>
      </c>
      <c r="D3460" s="47" t="s">
        <v>1134</v>
      </c>
      <c r="E3460" s="2" t="s">
        <v>1125</v>
      </c>
      <c r="F3460" t="s">
        <v>185</v>
      </c>
      <c r="G3460"/>
      <c r="H3460" t="s">
        <v>47</v>
      </c>
      <c r="I3460" t="s">
        <v>30</v>
      </c>
      <c r="J3460" t="s">
        <v>35</v>
      </c>
      <c r="K3460"/>
      <c r="L3460" s="47" t="s">
        <v>180</v>
      </c>
      <c r="M3460" s="47" t="s">
        <v>1135</v>
      </c>
    </row>
    <row r="3461" spans="1:13" ht="15" customHeight="1">
      <c r="A3461" s="47">
        <v>1968</v>
      </c>
      <c r="B3461" s="2">
        <v>4515</v>
      </c>
      <c r="C3461" t="s">
        <v>856</v>
      </c>
      <c r="D3461" s="47" t="s">
        <v>1130</v>
      </c>
      <c r="E3461" s="47" t="s">
        <v>1128</v>
      </c>
      <c r="F3461" t="s">
        <v>185</v>
      </c>
      <c r="H3461" t="s">
        <v>47</v>
      </c>
      <c r="I3461" t="s">
        <v>30</v>
      </c>
      <c r="J3461" t="s">
        <v>35</v>
      </c>
      <c r="K3461"/>
      <c r="L3461" s="47" t="s">
        <v>180</v>
      </c>
      <c r="M3461" s="47" t="s">
        <v>197</v>
      </c>
    </row>
    <row r="3462" spans="1:13" ht="15" customHeight="1">
      <c r="A3462" s="47">
        <v>1968</v>
      </c>
      <c r="B3462" s="2">
        <v>4516</v>
      </c>
      <c r="C3462" t="s">
        <v>856</v>
      </c>
      <c r="D3462" s="47" t="s">
        <v>1131</v>
      </c>
      <c r="E3462" s="47" t="s">
        <v>1129</v>
      </c>
      <c r="F3462" t="s">
        <v>185</v>
      </c>
      <c r="H3462" t="s">
        <v>47</v>
      </c>
      <c r="I3462" t="s">
        <v>30</v>
      </c>
      <c r="J3462" t="s">
        <v>35</v>
      </c>
      <c r="K3462"/>
      <c r="L3462" s="47" t="s">
        <v>239</v>
      </c>
      <c r="M3462" s="47" t="s">
        <v>1135</v>
      </c>
    </row>
    <row r="3463" spans="1:13" ht="15" customHeight="1">
      <c r="A3463" s="47">
        <v>1968</v>
      </c>
      <c r="B3463" s="2">
        <v>4517</v>
      </c>
      <c r="C3463" t="s">
        <v>856</v>
      </c>
      <c r="D3463" s="47" t="s">
        <v>1132</v>
      </c>
      <c r="E3463" s="47" t="s">
        <v>1129</v>
      </c>
      <c r="F3463" t="s">
        <v>185</v>
      </c>
      <c r="H3463" t="s">
        <v>47</v>
      </c>
      <c r="I3463" t="s">
        <v>30</v>
      </c>
      <c r="J3463" t="s">
        <v>35</v>
      </c>
      <c r="K3463"/>
      <c r="L3463" s="47" t="s">
        <v>239</v>
      </c>
      <c r="M3463" s="47" t="s">
        <v>1135</v>
      </c>
    </row>
    <row r="3464" spans="1:13" ht="15" customHeight="1">
      <c r="A3464" s="47">
        <v>1968</v>
      </c>
      <c r="B3464" s="2">
        <v>4518</v>
      </c>
      <c r="C3464" t="s">
        <v>856</v>
      </c>
      <c r="D3464" s="2" t="s">
        <v>1127</v>
      </c>
      <c r="E3464" s="47" t="s">
        <v>1126</v>
      </c>
      <c r="F3464" t="s">
        <v>185</v>
      </c>
      <c r="H3464" t="s">
        <v>47</v>
      </c>
      <c r="I3464" t="s">
        <v>30</v>
      </c>
      <c r="J3464" t="s">
        <v>35</v>
      </c>
      <c r="K3464"/>
      <c r="L3464" s="47" t="s">
        <v>314</v>
      </c>
      <c r="M3464" s="47" t="s">
        <v>1136</v>
      </c>
    </row>
    <row r="3465" spans="1:13" ht="15" customHeight="1">
      <c r="A3465" s="47">
        <v>1969</v>
      </c>
      <c r="B3465" s="2">
        <v>4519</v>
      </c>
      <c r="C3465" t="s">
        <v>856</v>
      </c>
      <c r="D3465" s="47" t="s">
        <v>1134</v>
      </c>
      <c r="E3465" s="2" t="s">
        <v>1125</v>
      </c>
      <c r="F3465" t="s">
        <v>185</v>
      </c>
      <c r="G3465"/>
      <c r="H3465" t="s">
        <v>47</v>
      </c>
      <c r="I3465" t="s">
        <v>30</v>
      </c>
      <c r="J3465" t="s">
        <v>35</v>
      </c>
      <c r="K3465"/>
      <c r="L3465" s="47" t="s">
        <v>180</v>
      </c>
      <c r="M3465" s="47" t="s">
        <v>1135</v>
      </c>
    </row>
    <row r="3466" spans="1:13" ht="15" customHeight="1">
      <c r="A3466" s="47">
        <v>1969</v>
      </c>
      <c r="B3466" s="2">
        <v>4520</v>
      </c>
      <c r="C3466" t="s">
        <v>856</v>
      </c>
      <c r="D3466" s="47" t="s">
        <v>1130</v>
      </c>
      <c r="E3466" s="47" t="s">
        <v>1128</v>
      </c>
      <c r="F3466" t="s">
        <v>185</v>
      </c>
      <c r="H3466" t="s">
        <v>47</v>
      </c>
      <c r="I3466" t="s">
        <v>30</v>
      </c>
      <c r="J3466" t="s">
        <v>35</v>
      </c>
      <c r="K3466"/>
      <c r="L3466" s="47" t="s">
        <v>180</v>
      </c>
      <c r="M3466" s="47" t="s">
        <v>197</v>
      </c>
    </row>
    <row r="3467" spans="1:13" ht="15" customHeight="1">
      <c r="A3467" s="47">
        <v>1969</v>
      </c>
      <c r="B3467" s="2">
        <v>4521</v>
      </c>
      <c r="C3467" t="s">
        <v>856</v>
      </c>
      <c r="D3467" s="47" t="s">
        <v>1131</v>
      </c>
      <c r="E3467" s="47" t="s">
        <v>1129</v>
      </c>
      <c r="F3467" t="s">
        <v>185</v>
      </c>
      <c r="H3467" t="s">
        <v>47</v>
      </c>
      <c r="I3467" t="s">
        <v>30</v>
      </c>
      <c r="J3467" t="s">
        <v>35</v>
      </c>
      <c r="K3467"/>
      <c r="L3467" s="47" t="s">
        <v>239</v>
      </c>
      <c r="M3467" s="47" t="s">
        <v>1135</v>
      </c>
    </row>
    <row r="3468" spans="1:13" ht="15" customHeight="1">
      <c r="A3468" s="47">
        <v>1969</v>
      </c>
      <c r="B3468" s="2">
        <v>4522</v>
      </c>
      <c r="C3468" t="s">
        <v>856</v>
      </c>
      <c r="D3468" s="47" t="s">
        <v>1132</v>
      </c>
      <c r="E3468" s="47" t="s">
        <v>1129</v>
      </c>
      <c r="F3468" t="s">
        <v>185</v>
      </c>
      <c r="H3468" t="s">
        <v>47</v>
      </c>
      <c r="I3468" t="s">
        <v>30</v>
      </c>
      <c r="J3468" t="s">
        <v>35</v>
      </c>
      <c r="K3468"/>
      <c r="L3468" s="47" t="s">
        <v>239</v>
      </c>
      <c r="M3468" s="47" t="s">
        <v>1135</v>
      </c>
    </row>
    <row r="3469" spans="1:13" ht="15" customHeight="1">
      <c r="A3469" s="47">
        <v>1969</v>
      </c>
      <c r="B3469" s="2">
        <v>4523</v>
      </c>
      <c r="C3469" t="s">
        <v>856</v>
      </c>
      <c r="D3469" s="2" t="s">
        <v>1127</v>
      </c>
      <c r="E3469" s="47" t="s">
        <v>1126</v>
      </c>
      <c r="F3469" t="s">
        <v>185</v>
      </c>
      <c r="H3469" t="s">
        <v>47</v>
      </c>
      <c r="I3469" t="s">
        <v>30</v>
      </c>
      <c r="J3469" t="s">
        <v>35</v>
      </c>
      <c r="K3469"/>
      <c r="L3469" s="47" t="s">
        <v>314</v>
      </c>
      <c r="M3469" s="47" t="s">
        <v>1136</v>
      </c>
    </row>
    <row r="3470" spans="1:13" ht="15" customHeight="1">
      <c r="A3470" s="47">
        <v>1970</v>
      </c>
      <c r="B3470" s="2">
        <v>4524</v>
      </c>
      <c r="C3470" t="s">
        <v>856</v>
      </c>
      <c r="D3470" s="47" t="s">
        <v>1134</v>
      </c>
      <c r="E3470" s="2" t="s">
        <v>1125</v>
      </c>
      <c r="F3470" t="s">
        <v>185</v>
      </c>
      <c r="G3470"/>
      <c r="H3470" t="s">
        <v>47</v>
      </c>
      <c r="I3470" t="s">
        <v>30</v>
      </c>
      <c r="J3470" t="s">
        <v>35</v>
      </c>
      <c r="K3470"/>
      <c r="L3470" s="47" t="s">
        <v>180</v>
      </c>
      <c r="M3470" s="47" t="s">
        <v>1135</v>
      </c>
    </row>
    <row r="3471" spans="1:13" ht="15" customHeight="1">
      <c r="A3471" s="47">
        <v>1970</v>
      </c>
      <c r="B3471" s="2">
        <v>4525</v>
      </c>
      <c r="C3471" t="s">
        <v>856</v>
      </c>
      <c r="D3471" s="47" t="s">
        <v>1130</v>
      </c>
      <c r="E3471" s="47" t="s">
        <v>1128</v>
      </c>
      <c r="F3471" t="s">
        <v>185</v>
      </c>
      <c r="H3471" t="s">
        <v>47</v>
      </c>
      <c r="I3471" t="s">
        <v>30</v>
      </c>
      <c r="J3471" t="s">
        <v>35</v>
      </c>
      <c r="K3471"/>
      <c r="L3471" s="47" t="s">
        <v>180</v>
      </c>
      <c r="M3471" s="47" t="s">
        <v>197</v>
      </c>
    </row>
    <row r="3472" spans="1:13" ht="15" customHeight="1">
      <c r="A3472" s="47">
        <v>1970</v>
      </c>
      <c r="B3472" s="2">
        <v>4526</v>
      </c>
      <c r="C3472" t="s">
        <v>856</v>
      </c>
      <c r="D3472" s="47" t="s">
        <v>1131</v>
      </c>
      <c r="E3472" s="47" t="s">
        <v>1129</v>
      </c>
      <c r="F3472" t="s">
        <v>185</v>
      </c>
      <c r="H3472" t="s">
        <v>47</v>
      </c>
      <c r="I3472" t="s">
        <v>30</v>
      </c>
      <c r="J3472" t="s">
        <v>35</v>
      </c>
      <c r="K3472"/>
      <c r="L3472" s="47" t="s">
        <v>239</v>
      </c>
      <c r="M3472" s="47" t="s">
        <v>1135</v>
      </c>
    </row>
    <row r="3473" spans="1:13" ht="15" customHeight="1">
      <c r="A3473" s="47">
        <v>1970</v>
      </c>
      <c r="B3473" s="2">
        <v>4527</v>
      </c>
      <c r="C3473" t="s">
        <v>856</v>
      </c>
      <c r="D3473" s="47" t="s">
        <v>1132</v>
      </c>
      <c r="E3473" s="47" t="s">
        <v>1129</v>
      </c>
      <c r="F3473" t="s">
        <v>185</v>
      </c>
      <c r="H3473" t="s">
        <v>47</v>
      </c>
      <c r="I3473" t="s">
        <v>30</v>
      </c>
      <c r="J3473" t="s">
        <v>35</v>
      </c>
      <c r="K3473"/>
      <c r="L3473" s="47" t="s">
        <v>239</v>
      </c>
      <c r="M3473" s="47" t="s">
        <v>1135</v>
      </c>
    </row>
    <row r="3474" spans="1:13" ht="15" customHeight="1">
      <c r="A3474" s="47">
        <v>1970</v>
      </c>
      <c r="B3474" s="2">
        <v>4528</v>
      </c>
      <c r="C3474" t="s">
        <v>856</v>
      </c>
      <c r="D3474" s="2" t="s">
        <v>1127</v>
      </c>
      <c r="E3474" s="47" t="s">
        <v>1126</v>
      </c>
      <c r="F3474" t="s">
        <v>185</v>
      </c>
      <c r="H3474" t="s">
        <v>47</v>
      </c>
      <c r="I3474" t="s">
        <v>30</v>
      </c>
      <c r="J3474" t="s">
        <v>35</v>
      </c>
      <c r="K3474"/>
      <c r="L3474" s="47" t="s">
        <v>314</v>
      </c>
      <c r="M3474" s="47" t="s">
        <v>1136</v>
      </c>
    </row>
    <row r="3475" spans="1:13" ht="15" customHeight="1">
      <c r="A3475" s="47">
        <v>1971</v>
      </c>
      <c r="B3475" s="2">
        <v>4529</v>
      </c>
      <c r="C3475" t="s">
        <v>856</v>
      </c>
      <c r="D3475" s="47" t="s">
        <v>1134</v>
      </c>
      <c r="E3475" s="2" t="s">
        <v>1125</v>
      </c>
      <c r="F3475" t="s">
        <v>185</v>
      </c>
      <c r="G3475"/>
      <c r="H3475" t="s">
        <v>47</v>
      </c>
      <c r="I3475" t="s">
        <v>30</v>
      </c>
      <c r="J3475" t="s">
        <v>35</v>
      </c>
      <c r="K3475"/>
      <c r="L3475" s="47" t="s">
        <v>180</v>
      </c>
      <c r="M3475" s="47" t="s">
        <v>1135</v>
      </c>
    </row>
    <row r="3476" spans="1:13" ht="15" customHeight="1">
      <c r="A3476" s="47">
        <v>1971</v>
      </c>
      <c r="B3476" s="2">
        <v>4530</v>
      </c>
      <c r="C3476" t="s">
        <v>856</v>
      </c>
      <c r="D3476" s="47" t="s">
        <v>1130</v>
      </c>
      <c r="E3476" s="47" t="s">
        <v>1128</v>
      </c>
      <c r="F3476" t="s">
        <v>185</v>
      </c>
      <c r="H3476" t="s">
        <v>47</v>
      </c>
      <c r="I3476" t="s">
        <v>30</v>
      </c>
      <c r="J3476" t="s">
        <v>35</v>
      </c>
      <c r="K3476"/>
      <c r="L3476" s="47" t="s">
        <v>180</v>
      </c>
      <c r="M3476" s="47" t="s">
        <v>197</v>
      </c>
    </row>
    <row r="3477" spans="1:13" ht="15" customHeight="1">
      <c r="A3477" s="47">
        <v>1971</v>
      </c>
      <c r="B3477" s="2">
        <v>4531</v>
      </c>
      <c r="C3477" t="s">
        <v>856</v>
      </c>
      <c r="D3477" s="47" t="s">
        <v>1131</v>
      </c>
      <c r="E3477" s="47" t="s">
        <v>1129</v>
      </c>
      <c r="F3477" t="s">
        <v>185</v>
      </c>
      <c r="H3477" t="s">
        <v>47</v>
      </c>
      <c r="I3477" t="s">
        <v>30</v>
      </c>
      <c r="J3477" t="s">
        <v>35</v>
      </c>
      <c r="K3477"/>
      <c r="L3477" s="47" t="s">
        <v>239</v>
      </c>
      <c r="M3477" s="47" t="s">
        <v>1135</v>
      </c>
    </row>
    <row r="3478" spans="1:13" ht="15" customHeight="1">
      <c r="A3478" s="47">
        <v>1971</v>
      </c>
      <c r="B3478" s="2">
        <v>4532</v>
      </c>
      <c r="C3478" t="s">
        <v>856</v>
      </c>
      <c r="D3478" s="47" t="s">
        <v>1132</v>
      </c>
      <c r="E3478" s="47" t="s">
        <v>1129</v>
      </c>
      <c r="F3478" t="s">
        <v>185</v>
      </c>
      <c r="H3478" t="s">
        <v>47</v>
      </c>
      <c r="I3478" t="s">
        <v>30</v>
      </c>
      <c r="J3478" t="s">
        <v>35</v>
      </c>
      <c r="K3478"/>
      <c r="L3478" s="47" t="s">
        <v>239</v>
      </c>
      <c r="M3478" s="47" t="s">
        <v>1135</v>
      </c>
    </row>
    <row r="3479" spans="1:13" ht="15" customHeight="1">
      <c r="A3479" s="47">
        <v>1971</v>
      </c>
      <c r="B3479" s="2">
        <v>4533</v>
      </c>
      <c r="C3479" t="s">
        <v>856</v>
      </c>
      <c r="D3479" s="2" t="s">
        <v>1127</v>
      </c>
      <c r="E3479" s="47" t="s">
        <v>1126</v>
      </c>
      <c r="F3479" t="s">
        <v>185</v>
      </c>
      <c r="H3479" t="s">
        <v>47</v>
      </c>
      <c r="I3479" t="s">
        <v>30</v>
      </c>
      <c r="J3479" t="s">
        <v>35</v>
      </c>
      <c r="K3479"/>
      <c r="L3479" s="47" t="s">
        <v>314</v>
      </c>
      <c r="M3479" s="47" t="s">
        <v>1136</v>
      </c>
    </row>
    <row r="3480" spans="1:13" ht="15" customHeight="1">
      <c r="A3480" s="47">
        <v>2202</v>
      </c>
      <c r="B3480" s="2">
        <v>4534</v>
      </c>
      <c r="C3480" t="s">
        <v>914</v>
      </c>
      <c r="D3480" s="47" t="s">
        <v>1134</v>
      </c>
      <c r="E3480" s="2" t="s">
        <v>1125</v>
      </c>
      <c r="F3480" t="s">
        <v>185</v>
      </c>
      <c r="G3480"/>
      <c r="H3480" t="s">
        <v>47</v>
      </c>
      <c r="I3480" t="s">
        <v>30</v>
      </c>
      <c r="J3480" t="s">
        <v>35</v>
      </c>
      <c r="K3480"/>
      <c r="L3480" s="47" t="s">
        <v>180</v>
      </c>
      <c r="M3480" s="47" t="s">
        <v>1135</v>
      </c>
    </row>
    <row r="3481" spans="1:13" ht="15" customHeight="1">
      <c r="A3481" s="47">
        <v>2202</v>
      </c>
      <c r="B3481" s="2">
        <v>4535</v>
      </c>
      <c r="C3481" t="s">
        <v>914</v>
      </c>
      <c r="D3481" s="47" t="s">
        <v>1130</v>
      </c>
      <c r="E3481" s="47" t="s">
        <v>1128</v>
      </c>
      <c r="F3481" t="s">
        <v>185</v>
      </c>
      <c r="H3481" t="s">
        <v>47</v>
      </c>
      <c r="I3481" t="s">
        <v>30</v>
      </c>
      <c r="J3481" t="s">
        <v>35</v>
      </c>
      <c r="K3481"/>
      <c r="L3481" s="47" t="s">
        <v>180</v>
      </c>
      <c r="M3481" s="47" t="s">
        <v>197</v>
      </c>
    </row>
    <row r="3482" spans="1:13" ht="15" customHeight="1">
      <c r="A3482" s="47">
        <v>2202</v>
      </c>
      <c r="B3482" s="2">
        <v>4536</v>
      </c>
      <c r="C3482" t="s">
        <v>914</v>
      </c>
      <c r="D3482" s="47" t="s">
        <v>1131</v>
      </c>
      <c r="E3482" s="47" t="s">
        <v>1129</v>
      </c>
      <c r="F3482" t="s">
        <v>185</v>
      </c>
      <c r="H3482" t="s">
        <v>47</v>
      </c>
      <c r="I3482" t="s">
        <v>30</v>
      </c>
      <c r="J3482" t="s">
        <v>35</v>
      </c>
      <c r="K3482"/>
      <c r="L3482" s="47" t="s">
        <v>239</v>
      </c>
      <c r="M3482" s="47" t="s">
        <v>1135</v>
      </c>
    </row>
    <row r="3483" spans="1:13" ht="15" customHeight="1">
      <c r="A3483" s="47">
        <v>2202</v>
      </c>
      <c r="B3483" s="2">
        <v>4537</v>
      </c>
      <c r="C3483" t="s">
        <v>914</v>
      </c>
      <c r="D3483" s="47" t="s">
        <v>1132</v>
      </c>
      <c r="E3483" s="47" t="s">
        <v>1129</v>
      </c>
      <c r="F3483" t="s">
        <v>185</v>
      </c>
      <c r="H3483" t="s">
        <v>47</v>
      </c>
      <c r="I3483" t="s">
        <v>30</v>
      </c>
      <c r="J3483" t="s">
        <v>35</v>
      </c>
      <c r="K3483"/>
      <c r="L3483" s="47" t="s">
        <v>239</v>
      </c>
      <c r="M3483" s="47" t="s">
        <v>1135</v>
      </c>
    </row>
    <row r="3484" spans="1:13" ht="15" customHeight="1">
      <c r="A3484" s="47">
        <v>2202</v>
      </c>
      <c r="B3484" s="2">
        <v>4538</v>
      </c>
      <c r="C3484" t="s">
        <v>914</v>
      </c>
      <c r="D3484" s="2" t="s">
        <v>1127</v>
      </c>
      <c r="E3484" s="47" t="s">
        <v>1126</v>
      </c>
      <c r="F3484" t="s">
        <v>185</v>
      </c>
      <c r="H3484" t="s">
        <v>47</v>
      </c>
      <c r="I3484" t="s">
        <v>30</v>
      </c>
      <c r="J3484" t="s">
        <v>35</v>
      </c>
      <c r="K3484"/>
      <c r="L3484" s="47" t="s">
        <v>314</v>
      </c>
      <c r="M3484" s="47" t="s">
        <v>1136</v>
      </c>
    </row>
    <row r="3485" spans="1:13" ht="15" customHeight="1">
      <c r="A3485" s="47">
        <v>2203</v>
      </c>
      <c r="B3485" s="2">
        <v>4539</v>
      </c>
      <c r="C3485" t="s">
        <v>914</v>
      </c>
      <c r="D3485" s="47" t="s">
        <v>1134</v>
      </c>
      <c r="E3485" s="2" t="s">
        <v>1125</v>
      </c>
      <c r="F3485" t="s">
        <v>185</v>
      </c>
      <c r="G3485"/>
      <c r="H3485" t="s">
        <v>47</v>
      </c>
      <c r="I3485" t="s">
        <v>30</v>
      </c>
      <c r="J3485" t="s">
        <v>35</v>
      </c>
      <c r="K3485"/>
      <c r="L3485" s="47" t="s">
        <v>180</v>
      </c>
      <c r="M3485" s="47" t="s">
        <v>1135</v>
      </c>
    </row>
    <row r="3486" spans="1:13" ht="15" customHeight="1">
      <c r="A3486" s="47">
        <v>2203</v>
      </c>
      <c r="B3486" s="2">
        <v>4540</v>
      </c>
      <c r="C3486" t="s">
        <v>914</v>
      </c>
      <c r="D3486" s="47" t="s">
        <v>1130</v>
      </c>
      <c r="E3486" s="47" t="s">
        <v>1128</v>
      </c>
      <c r="F3486" t="s">
        <v>185</v>
      </c>
      <c r="H3486" t="s">
        <v>47</v>
      </c>
      <c r="I3486" t="s">
        <v>30</v>
      </c>
      <c r="J3486" t="s">
        <v>35</v>
      </c>
      <c r="K3486"/>
      <c r="L3486" s="47" t="s">
        <v>180</v>
      </c>
      <c r="M3486" s="47" t="s">
        <v>197</v>
      </c>
    </row>
    <row r="3487" spans="1:13" ht="15" customHeight="1">
      <c r="A3487" s="47">
        <v>2203</v>
      </c>
      <c r="B3487" s="2">
        <v>4541</v>
      </c>
      <c r="C3487" t="s">
        <v>914</v>
      </c>
      <c r="D3487" s="47" t="s">
        <v>1131</v>
      </c>
      <c r="E3487" s="47" t="s">
        <v>1129</v>
      </c>
      <c r="F3487" t="s">
        <v>185</v>
      </c>
      <c r="H3487" t="s">
        <v>47</v>
      </c>
      <c r="I3487" t="s">
        <v>30</v>
      </c>
      <c r="J3487" t="s">
        <v>35</v>
      </c>
      <c r="K3487"/>
      <c r="L3487" s="47" t="s">
        <v>239</v>
      </c>
      <c r="M3487" s="47" t="s">
        <v>1135</v>
      </c>
    </row>
    <row r="3488" spans="1:13" ht="15" customHeight="1">
      <c r="A3488" s="47">
        <v>2203</v>
      </c>
      <c r="B3488" s="2">
        <v>4542</v>
      </c>
      <c r="C3488" t="s">
        <v>914</v>
      </c>
      <c r="D3488" s="47" t="s">
        <v>1132</v>
      </c>
      <c r="E3488" s="47" t="s">
        <v>1129</v>
      </c>
      <c r="F3488" t="s">
        <v>185</v>
      </c>
      <c r="H3488" t="s">
        <v>47</v>
      </c>
      <c r="I3488" t="s">
        <v>30</v>
      </c>
      <c r="J3488" t="s">
        <v>35</v>
      </c>
      <c r="K3488"/>
      <c r="L3488" s="47" t="s">
        <v>239</v>
      </c>
      <c r="M3488" s="47" t="s">
        <v>1135</v>
      </c>
    </row>
    <row r="3489" spans="1:13" ht="15" customHeight="1">
      <c r="A3489" s="47">
        <v>2203</v>
      </c>
      <c r="B3489" s="2">
        <v>4543</v>
      </c>
      <c r="C3489" t="s">
        <v>914</v>
      </c>
      <c r="D3489" s="2" t="s">
        <v>1127</v>
      </c>
      <c r="E3489" s="47" t="s">
        <v>1126</v>
      </c>
      <c r="F3489" t="s">
        <v>185</v>
      </c>
      <c r="H3489" t="s">
        <v>47</v>
      </c>
      <c r="I3489" t="s">
        <v>30</v>
      </c>
      <c r="J3489" t="s">
        <v>35</v>
      </c>
      <c r="K3489"/>
      <c r="L3489" s="47" t="s">
        <v>314</v>
      </c>
      <c r="M3489" s="47" t="s">
        <v>1136</v>
      </c>
    </row>
    <row r="3490" spans="1:13" ht="15" customHeight="1">
      <c r="A3490" s="47">
        <v>2204</v>
      </c>
      <c r="B3490" s="2">
        <v>4544</v>
      </c>
      <c r="C3490" t="s">
        <v>914</v>
      </c>
      <c r="D3490" s="47" t="s">
        <v>1134</v>
      </c>
      <c r="E3490" s="2" t="s">
        <v>1125</v>
      </c>
      <c r="F3490" t="s">
        <v>185</v>
      </c>
      <c r="G3490"/>
      <c r="H3490" t="s">
        <v>47</v>
      </c>
      <c r="I3490" t="s">
        <v>30</v>
      </c>
      <c r="J3490" t="s">
        <v>35</v>
      </c>
      <c r="K3490"/>
      <c r="L3490" s="47" t="s">
        <v>180</v>
      </c>
      <c r="M3490" s="47" t="s">
        <v>1135</v>
      </c>
    </row>
    <row r="3491" spans="1:13" ht="15" customHeight="1">
      <c r="A3491" s="47">
        <v>2204</v>
      </c>
      <c r="B3491" s="2">
        <v>4545</v>
      </c>
      <c r="C3491" t="s">
        <v>914</v>
      </c>
      <c r="D3491" s="47" t="s">
        <v>1130</v>
      </c>
      <c r="E3491" s="47" t="s">
        <v>1128</v>
      </c>
      <c r="F3491" t="s">
        <v>185</v>
      </c>
      <c r="H3491" t="s">
        <v>47</v>
      </c>
      <c r="I3491" t="s">
        <v>30</v>
      </c>
      <c r="J3491" t="s">
        <v>35</v>
      </c>
      <c r="K3491"/>
      <c r="L3491" s="47" t="s">
        <v>180</v>
      </c>
      <c r="M3491" s="47" t="s">
        <v>197</v>
      </c>
    </row>
    <row r="3492" spans="1:13" ht="15" customHeight="1">
      <c r="A3492" s="47">
        <v>2204</v>
      </c>
      <c r="B3492" s="2">
        <v>4546</v>
      </c>
      <c r="C3492" t="s">
        <v>914</v>
      </c>
      <c r="D3492" s="47" t="s">
        <v>1131</v>
      </c>
      <c r="E3492" s="47" t="s">
        <v>1129</v>
      </c>
      <c r="F3492" t="s">
        <v>185</v>
      </c>
      <c r="H3492" t="s">
        <v>47</v>
      </c>
      <c r="I3492" t="s">
        <v>30</v>
      </c>
      <c r="J3492" t="s">
        <v>35</v>
      </c>
      <c r="K3492"/>
      <c r="L3492" s="47" t="s">
        <v>239</v>
      </c>
      <c r="M3492" s="47" t="s">
        <v>1135</v>
      </c>
    </row>
    <row r="3493" spans="1:13" ht="15" customHeight="1">
      <c r="A3493" s="47">
        <v>2204</v>
      </c>
      <c r="B3493" s="2">
        <v>4547</v>
      </c>
      <c r="C3493" t="s">
        <v>914</v>
      </c>
      <c r="D3493" s="47" t="s">
        <v>1132</v>
      </c>
      <c r="E3493" s="47" t="s">
        <v>1129</v>
      </c>
      <c r="F3493" t="s">
        <v>185</v>
      </c>
      <c r="H3493" t="s">
        <v>47</v>
      </c>
      <c r="I3493" t="s">
        <v>30</v>
      </c>
      <c r="J3493" t="s">
        <v>35</v>
      </c>
      <c r="K3493"/>
      <c r="L3493" s="47" t="s">
        <v>239</v>
      </c>
      <c r="M3493" s="47" t="s">
        <v>1135</v>
      </c>
    </row>
    <row r="3494" spans="1:13" ht="15" customHeight="1">
      <c r="A3494" s="47">
        <v>2204</v>
      </c>
      <c r="B3494" s="2">
        <v>4548</v>
      </c>
      <c r="C3494" t="s">
        <v>914</v>
      </c>
      <c r="D3494" s="2" t="s">
        <v>1127</v>
      </c>
      <c r="E3494" s="47" t="s">
        <v>1126</v>
      </c>
      <c r="F3494" t="s">
        <v>185</v>
      </c>
      <c r="H3494" t="s">
        <v>47</v>
      </c>
      <c r="I3494" t="s">
        <v>30</v>
      </c>
      <c r="J3494" t="s">
        <v>35</v>
      </c>
      <c r="K3494"/>
      <c r="L3494" s="47" t="s">
        <v>314</v>
      </c>
      <c r="M3494" s="47" t="s">
        <v>1136</v>
      </c>
    </row>
    <row r="3495" spans="1:13" ht="15" customHeight="1">
      <c r="A3495" s="47">
        <v>2205</v>
      </c>
      <c r="B3495" s="2">
        <v>4549</v>
      </c>
      <c r="C3495" t="s">
        <v>914</v>
      </c>
      <c r="D3495" s="47" t="s">
        <v>1134</v>
      </c>
      <c r="E3495" s="2" t="s">
        <v>1125</v>
      </c>
      <c r="F3495" t="s">
        <v>185</v>
      </c>
      <c r="G3495"/>
      <c r="H3495" t="s">
        <v>47</v>
      </c>
      <c r="I3495" t="s">
        <v>30</v>
      </c>
      <c r="J3495" t="s">
        <v>35</v>
      </c>
      <c r="K3495"/>
      <c r="L3495" s="47" t="s">
        <v>180</v>
      </c>
      <c r="M3495" s="47" t="s">
        <v>1135</v>
      </c>
    </row>
    <row r="3496" spans="1:13" ht="15" customHeight="1">
      <c r="A3496" s="47">
        <v>2205</v>
      </c>
      <c r="B3496" s="2">
        <v>4550</v>
      </c>
      <c r="C3496" t="s">
        <v>914</v>
      </c>
      <c r="D3496" s="47" t="s">
        <v>1130</v>
      </c>
      <c r="E3496" s="47" t="s">
        <v>1128</v>
      </c>
      <c r="F3496" t="s">
        <v>185</v>
      </c>
      <c r="H3496" t="s">
        <v>47</v>
      </c>
      <c r="I3496" t="s">
        <v>30</v>
      </c>
      <c r="J3496" t="s">
        <v>35</v>
      </c>
      <c r="K3496"/>
      <c r="L3496" s="47" t="s">
        <v>180</v>
      </c>
      <c r="M3496" s="47" t="s">
        <v>197</v>
      </c>
    </row>
    <row r="3497" spans="1:13" ht="15" customHeight="1">
      <c r="A3497" s="47">
        <v>2205</v>
      </c>
      <c r="B3497" s="2">
        <v>4551</v>
      </c>
      <c r="C3497" t="s">
        <v>914</v>
      </c>
      <c r="D3497" s="47" t="s">
        <v>1131</v>
      </c>
      <c r="E3497" s="47" t="s">
        <v>1129</v>
      </c>
      <c r="F3497" t="s">
        <v>185</v>
      </c>
      <c r="H3497" t="s">
        <v>47</v>
      </c>
      <c r="I3497" t="s">
        <v>30</v>
      </c>
      <c r="J3497" t="s">
        <v>35</v>
      </c>
      <c r="K3497"/>
      <c r="L3497" s="47" t="s">
        <v>239</v>
      </c>
      <c r="M3497" s="47" t="s">
        <v>1135</v>
      </c>
    </row>
    <row r="3498" spans="1:13" ht="15" customHeight="1">
      <c r="A3498" s="47">
        <v>2205</v>
      </c>
      <c r="B3498" s="2">
        <v>4552</v>
      </c>
      <c r="C3498" t="s">
        <v>914</v>
      </c>
      <c r="D3498" s="47" t="s">
        <v>1132</v>
      </c>
      <c r="E3498" s="47" t="s">
        <v>1129</v>
      </c>
      <c r="F3498" t="s">
        <v>185</v>
      </c>
      <c r="H3498" t="s">
        <v>47</v>
      </c>
      <c r="I3498" t="s">
        <v>30</v>
      </c>
      <c r="J3498" t="s">
        <v>35</v>
      </c>
      <c r="K3498"/>
      <c r="L3498" s="47" t="s">
        <v>239</v>
      </c>
      <c r="M3498" s="47" t="s">
        <v>1135</v>
      </c>
    </row>
    <row r="3499" spans="1:13" ht="15" customHeight="1">
      <c r="A3499" s="47">
        <v>2205</v>
      </c>
      <c r="B3499" s="2">
        <v>4553</v>
      </c>
      <c r="C3499" t="s">
        <v>914</v>
      </c>
      <c r="D3499" s="2" t="s">
        <v>1127</v>
      </c>
      <c r="E3499" s="47" t="s">
        <v>1126</v>
      </c>
      <c r="F3499" t="s">
        <v>185</v>
      </c>
      <c r="H3499" t="s">
        <v>47</v>
      </c>
      <c r="I3499" t="s">
        <v>30</v>
      </c>
      <c r="J3499" t="s">
        <v>35</v>
      </c>
      <c r="K3499"/>
      <c r="L3499" s="47" t="s">
        <v>314</v>
      </c>
      <c r="M3499" s="47" t="s">
        <v>1136</v>
      </c>
    </row>
    <row r="3500" spans="1:13" ht="15" customHeight="1">
      <c r="A3500" s="47">
        <v>2206</v>
      </c>
      <c r="B3500" s="2">
        <v>4554</v>
      </c>
      <c r="C3500" t="s">
        <v>914</v>
      </c>
      <c r="D3500" s="47" t="s">
        <v>1134</v>
      </c>
      <c r="E3500" s="2" t="s">
        <v>1125</v>
      </c>
      <c r="F3500" t="s">
        <v>185</v>
      </c>
      <c r="G3500"/>
      <c r="H3500" t="s">
        <v>47</v>
      </c>
      <c r="I3500" t="s">
        <v>30</v>
      </c>
      <c r="J3500" t="s">
        <v>35</v>
      </c>
      <c r="K3500"/>
      <c r="L3500" s="47" t="s">
        <v>180</v>
      </c>
      <c r="M3500" s="47" t="s">
        <v>1135</v>
      </c>
    </row>
    <row r="3501" spans="1:13" ht="15" customHeight="1">
      <c r="A3501" s="47">
        <v>2206</v>
      </c>
      <c r="B3501" s="2">
        <v>4555</v>
      </c>
      <c r="C3501" t="s">
        <v>914</v>
      </c>
      <c r="D3501" s="47" t="s">
        <v>1130</v>
      </c>
      <c r="E3501" s="47" t="s">
        <v>1128</v>
      </c>
      <c r="F3501" t="s">
        <v>185</v>
      </c>
      <c r="H3501" t="s">
        <v>47</v>
      </c>
      <c r="I3501" t="s">
        <v>30</v>
      </c>
      <c r="J3501" t="s">
        <v>35</v>
      </c>
      <c r="K3501"/>
      <c r="L3501" s="47" t="s">
        <v>180</v>
      </c>
      <c r="M3501" s="47" t="s">
        <v>197</v>
      </c>
    </row>
    <row r="3502" spans="1:13" ht="15" customHeight="1">
      <c r="A3502" s="47">
        <v>2206</v>
      </c>
      <c r="B3502" s="2">
        <v>4556</v>
      </c>
      <c r="C3502" t="s">
        <v>914</v>
      </c>
      <c r="D3502" s="47" t="s">
        <v>1131</v>
      </c>
      <c r="E3502" s="47" t="s">
        <v>1129</v>
      </c>
      <c r="F3502" t="s">
        <v>185</v>
      </c>
      <c r="H3502" t="s">
        <v>47</v>
      </c>
      <c r="I3502" t="s">
        <v>30</v>
      </c>
      <c r="J3502" t="s">
        <v>35</v>
      </c>
      <c r="K3502"/>
      <c r="L3502" s="47" t="s">
        <v>239</v>
      </c>
      <c r="M3502" s="47" t="s">
        <v>1135</v>
      </c>
    </row>
    <row r="3503" spans="1:13" ht="15" customHeight="1">
      <c r="A3503" s="47">
        <v>2206</v>
      </c>
      <c r="B3503" s="2">
        <v>4557</v>
      </c>
      <c r="C3503" t="s">
        <v>914</v>
      </c>
      <c r="D3503" s="47" t="s">
        <v>1132</v>
      </c>
      <c r="E3503" s="47" t="s">
        <v>1129</v>
      </c>
      <c r="F3503" t="s">
        <v>185</v>
      </c>
      <c r="H3503" t="s">
        <v>47</v>
      </c>
      <c r="I3503" t="s">
        <v>30</v>
      </c>
      <c r="J3503" t="s">
        <v>35</v>
      </c>
      <c r="K3503"/>
      <c r="L3503" s="47" t="s">
        <v>239</v>
      </c>
      <c r="M3503" s="47" t="s">
        <v>1135</v>
      </c>
    </row>
    <row r="3504" spans="1:13" ht="15" customHeight="1">
      <c r="A3504" s="47">
        <v>2206</v>
      </c>
      <c r="B3504" s="2">
        <v>4558</v>
      </c>
      <c r="C3504" t="s">
        <v>914</v>
      </c>
      <c r="D3504" s="2" t="s">
        <v>1127</v>
      </c>
      <c r="E3504" s="47" t="s">
        <v>1126</v>
      </c>
      <c r="F3504" t="s">
        <v>185</v>
      </c>
      <c r="H3504" t="s">
        <v>47</v>
      </c>
      <c r="I3504" t="s">
        <v>30</v>
      </c>
      <c r="J3504" t="s">
        <v>35</v>
      </c>
      <c r="K3504"/>
      <c r="L3504" s="47" t="s">
        <v>314</v>
      </c>
      <c r="M3504" s="47" t="s">
        <v>1136</v>
      </c>
    </row>
    <row r="3505" spans="1:13" ht="15" customHeight="1">
      <c r="A3505" s="47">
        <v>2207</v>
      </c>
      <c r="B3505" s="2">
        <v>4559</v>
      </c>
      <c r="C3505" t="s">
        <v>914</v>
      </c>
      <c r="D3505" s="47" t="s">
        <v>1134</v>
      </c>
      <c r="E3505" s="2" t="s">
        <v>1125</v>
      </c>
      <c r="F3505" t="s">
        <v>185</v>
      </c>
      <c r="G3505"/>
      <c r="H3505" t="s">
        <v>47</v>
      </c>
      <c r="I3505" t="s">
        <v>30</v>
      </c>
      <c r="J3505" t="s">
        <v>35</v>
      </c>
      <c r="K3505"/>
      <c r="L3505" s="47" t="s">
        <v>180</v>
      </c>
      <c r="M3505" s="47" t="s">
        <v>1135</v>
      </c>
    </row>
    <row r="3506" spans="1:13" ht="15" customHeight="1">
      <c r="A3506" s="47">
        <v>2207</v>
      </c>
      <c r="B3506" s="2">
        <v>4560</v>
      </c>
      <c r="C3506" t="s">
        <v>914</v>
      </c>
      <c r="D3506" s="47" t="s">
        <v>1130</v>
      </c>
      <c r="E3506" s="47" t="s">
        <v>1128</v>
      </c>
      <c r="F3506" t="s">
        <v>185</v>
      </c>
      <c r="H3506" t="s">
        <v>47</v>
      </c>
      <c r="I3506" t="s">
        <v>30</v>
      </c>
      <c r="J3506" t="s">
        <v>35</v>
      </c>
      <c r="K3506"/>
      <c r="L3506" s="47" t="s">
        <v>180</v>
      </c>
      <c r="M3506" s="47" t="s">
        <v>197</v>
      </c>
    </row>
    <row r="3507" spans="1:13" ht="15" customHeight="1">
      <c r="A3507" s="47">
        <v>2207</v>
      </c>
      <c r="B3507" s="2">
        <v>4561</v>
      </c>
      <c r="C3507" t="s">
        <v>914</v>
      </c>
      <c r="D3507" s="47" t="s">
        <v>1131</v>
      </c>
      <c r="E3507" s="47" t="s">
        <v>1129</v>
      </c>
      <c r="F3507" t="s">
        <v>185</v>
      </c>
      <c r="H3507" t="s">
        <v>47</v>
      </c>
      <c r="I3507" t="s">
        <v>30</v>
      </c>
      <c r="J3507" t="s">
        <v>35</v>
      </c>
      <c r="K3507"/>
      <c r="L3507" s="47" t="s">
        <v>239</v>
      </c>
      <c r="M3507" s="47" t="s">
        <v>1135</v>
      </c>
    </row>
    <row r="3508" spans="1:13" ht="15" customHeight="1">
      <c r="A3508" s="47">
        <v>2207</v>
      </c>
      <c r="B3508" s="2">
        <v>4562</v>
      </c>
      <c r="C3508" t="s">
        <v>914</v>
      </c>
      <c r="D3508" s="47" t="s">
        <v>1132</v>
      </c>
      <c r="E3508" s="47" t="s">
        <v>1129</v>
      </c>
      <c r="F3508" t="s">
        <v>185</v>
      </c>
      <c r="H3508" t="s">
        <v>47</v>
      </c>
      <c r="I3508" t="s">
        <v>30</v>
      </c>
      <c r="J3508" t="s">
        <v>35</v>
      </c>
      <c r="K3508"/>
      <c r="L3508" s="47" t="s">
        <v>239</v>
      </c>
      <c r="M3508" s="47" t="s">
        <v>1135</v>
      </c>
    </row>
    <row r="3509" spans="1:13" ht="15" customHeight="1">
      <c r="A3509" s="47">
        <v>2207</v>
      </c>
      <c r="B3509" s="2">
        <v>4563</v>
      </c>
      <c r="C3509" t="s">
        <v>914</v>
      </c>
      <c r="D3509" s="2" t="s">
        <v>1127</v>
      </c>
      <c r="E3509" s="47" t="s">
        <v>1126</v>
      </c>
      <c r="F3509" t="s">
        <v>185</v>
      </c>
      <c r="H3509" t="s">
        <v>47</v>
      </c>
      <c r="I3509" t="s">
        <v>30</v>
      </c>
      <c r="J3509" t="s">
        <v>35</v>
      </c>
      <c r="K3509"/>
      <c r="L3509" s="47" t="s">
        <v>314</v>
      </c>
      <c r="M3509" s="47" t="s">
        <v>1136</v>
      </c>
    </row>
    <row r="3510" spans="1:13" ht="15" customHeight="1">
      <c r="A3510" s="47">
        <v>2208</v>
      </c>
      <c r="B3510" s="2">
        <v>4564</v>
      </c>
      <c r="C3510" t="s">
        <v>914</v>
      </c>
      <c r="D3510" s="47" t="s">
        <v>1134</v>
      </c>
      <c r="E3510" s="2" t="s">
        <v>1125</v>
      </c>
      <c r="F3510" t="s">
        <v>185</v>
      </c>
      <c r="G3510"/>
      <c r="H3510" t="s">
        <v>47</v>
      </c>
      <c r="I3510" t="s">
        <v>30</v>
      </c>
      <c r="J3510" t="s">
        <v>35</v>
      </c>
      <c r="K3510"/>
      <c r="L3510" s="47" t="s">
        <v>180</v>
      </c>
      <c r="M3510" s="47" t="s">
        <v>1135</v>
      </c>
    </row>
    <row r="3511" spans="1:13" ht="15" customHeight="1">
      <c r="A3511" s="47">
        <v>2208</v>
      </c>
      <c r="B3511" s="2">
        <v>4565</v>
      </c>
      <c r="C3511" t="s">
        <v>914</v>
      </c>
      <c r="D3511" s="47" t="s">
        <v>1130</v>
      </c>
      <c r="E3511" s="47" t="s">
        <v>1128</v>
      </c>
      <c r="F3511" t="s">
        <v>185</v>
      </c>
      <c r="H3511" t="s">
        <v>47</v>
      </c>
      <c r="I3511" t="s">
        <v>30</v>
      </c>
      <c r="J3511" t="s">
        <v>35</v>
      </c>
      <c r="K3511"/>
      <c r="L3511" s="47" t="s">
        <v>180</v>
      </c>
      <c r="M3511" s="47" t="s">
        <v>197</v>
      </c>
    </row>
    <row r="3512" spans="1:13" ht="15" customHeight="1">
      <c r="A3512" s="47">
        <v>2208</v>
      </c>
      <c r="B3512" s="2">
        <v>4566</v>
      </c>
      <c r="C3512" t="s">
        <v>914</v>
      </c>
      <c r="D3512" s="47" t="s">
        <v>1131</v>
      </c>
      <c r="E3512" s="47" t="s">
        <v>1129</v>
      </c>
      <c r="F3512" t="s">
        <v>185</v>
      </c>
      <c r="H3512" t="s">
        <v>47</v>
      </c>
      <c r="I3512" t="s">
        <v>30</v>
      </c>
      <c r="J3512" t="s">
        <v>35</v>
      </c>
      <c r="K3512"/>
      <c r="L3512" s="47" t="s">
        <v>239</v>
      </c>
      <c r="M3512" s="47" t="s">
        <v>1135</v>
      </c>
    </row>
    <row r="3513" spans="1:13" ht="15" customHeight="1">
      <c r="A3513" s="47">
        <v>2208</v>
      </c>
      <c r="B3513" s="2">
        <v>4567</v>
      </c>
      <c r="C3513" t="s">
        <v>914</v>
      </c>
      <c r="D3513" s="47" t="s">
        <v>1132</v>
      </c>
      <c r="E3513" s="47" t="s">
        <v>1129</v>
      </c>
      <c r="F3513" t="s">
        <v>185</v>
      </c>
      <c r="H3513" t="s">
        <v>47</v>
      </c>
      <c r="I3513" t="s">
        <v>30</v>
      </c>
      <c r="J3513" t="s">
        <v>35</v>
      </c>
      <c r="K3513"/>
      <c r="L3513" s="47" t="s">
        <v>239</v>
      </c>
      <c r="M3513" s="47" t="s">
        <v>1135</v>
      </c>
    </row>
    <row r="3514" spans="1:13" ht="15" customHeight="1">
      <c r="A3514" s="47">
        <v>2208</v>
      </c>
      <c r="B3514" s="2">
        <v>4568</v>
      </c>
      <c r="C3514" t="s">
        <v>914</v>
      </c>
      <c r="D3514" s="2" t="s">
        <v>1127</v>
      </c>
      <c r="E3514" s="47" t="s">
        <v>1126</v>
      </c>
      <c r="F3514" t="s">
        <v>185</v>
      </c>
      <c r="H3514" t="s">
        <v>47</v>
      </c>
      <c r="I3514" t="s">
        <v>30</v>
      </c>
      <c r="J3514" t="s">
        <v>35</v>
      </c>
      <c r="K3514"/>
      <c r="L3514" s="47" t="s">
        <v>314</v>
      </c>
      <c r="M3514" s="47" t="s">
        <v>1136</v>
      </c>
    </row>
    <row r="3515" spans="1:13" ht="15" customHeight="1">
      <c r="A3515" s="47">
        <v>2209</v>
      </c>
      <c r="B3515" s="2">
        <v>4569</v>
      </c>
      <c r="C3515" t="s">
        <v>914</v>
      </c>
      <c r="D3515" s="47" t="s">
        <v>1134</v>
      </c>
      <c r="E3515" s="2" t="s">
        <v>1125</v>
      </c>
      <c r="F3515" t="s">
        <v>185</v>
      </c>
      <c r="G3515"/>
      <c r="H3515" t="s">
        <v>47</v>
      </c>
      <c r="I3515" t="s">
        <v>30</v>
      </c>
      <c r="J3515" t="s">
        <v>35</v>
      </c>
      <c r="K3515"/>
      <c r="L3515" s="47" t="s">
        <v>180</v>
      </c>
      <c r="M3515" s="47" t="s">
        <v>1135</v>
      </c>
    </row>
    <row r="3516" spans="1:13" ht="15" customHeight="1">
      <c r="A3516" s="47">
        <v>2209</v>
      </c>
      <c r="B3516" s="2">
        <v>4570</v>
      </c>
      <c r="C3516" t="s">
        <v>914</v>
      </c>
      <c r="D3516" s="47" t="s">
        <v>1130</v>
      </c>
      <c r="E3516" s="47" t="s">
        <v>1128</v>
      </c>
      <c r="F3516" t="s">
        <v>185</v>
      </c>
      <c r="H3516" t="s">
        <v>47</v>
      </c>
      <c r="I3516" t="s">
        <v>30</v>
      </c>
      <c r="J3516" t="s">
        <v>35</v>
      </c>
      <c r="K3516"/>
      <c r="L3516" s="47" t="s">
        <v>180</v>
      </c>
      <c r="M3516" s="47" t="s">
        <v>197</v>
      </c>
    </row>
    <row r="3517" spans="1:13" ht="15" customHeight="1">
      <c r="A3517" s="47">
        <v>2209</v>
      </c>
      <c r="B3517" s="2">
        <v>4571</v>
      </c>
      <c r="C3517" t="s">
        <v>914</v>
      </c>
      <c r="D3517" s="47" t="s">
        <v>1131</v>
      </c>
      <c r="E3517" s="47" t="s">
        <v>1129</v>
      </c>
      <c r="F3517" t="s">
        <v>185</v>
      </c>
      <c r="H3517" t="s">
        <v>47</v>
      </c>
      <c r="I3517" t="s">
        <v>30</v>
      </c>
      <c r="J3517" t="s">
        <v>35</v>
      </c>
      <c r="K3517"/>
      <c r="L3517" s="47" t="s">
        <v>239</v>
      </c>
      <c r="M3517" s="47" t="s">
        <v>1135</v>
      </c>
    </row>
    <row r="3518" spans="1:13" ht="15" customHeight="1">
      <c r="A3518" s="47">
        <v>2209</v>
      </c>
      <c r="B3518" s="2">
        <v>4572</v>
      </c>
      <c r="C3518" t="s">
        <v>914</v>
      </c>
      <c r="D3518" s="47" t="s">
        <v>1132</v>
      </c>
      <c r="E3518" s="47" t="s">
        <v>1129</v>
      </c>
      <c r="F3518" t="s">
        <v>185</v>
      </c>
      <c r="H3518" t="s">
        <v>47</v>
      </c>
      <c r="I3518" t="s">
        <v>30</v>
      </c>
      <c r="J3518" t="s">
        <v>35</v>
      </c>
      <c r="K3518"/>
      <c r="L3518" s="47" t="s">
        <v>239</v>
      </c>
      <c r="M3518" s="47" t="s">
        <v>1135</v>
      </c>
    </row>
    <row r="3519" spans="1:13" ht="15" customHeight="1">
      <c r="A3519" s="47">
        <v>2209</v>
      </c>
      <c r="B3519" s="2">
        <v>4573</v>
      </c>
      <c r="C3519" t="s">
        <v>914</v>
      </c>
      <c r="D3519" s="2" t="s">
        <v>1127</v>
      </c>
      <c r="E3519" s="47" t="s">
        <v>1126</v>
      </c>
      <c r="F3519" t="s">
        <v>185</v>
      </c>
      <c r="H3519" t="s">
        <v>47</v>
      </c>
      <c r="I3519" t="s">
        <v>30</v>
      </c>
      <c r="J3519" t="s">
        <v>35</v>
      </c>
      <c r="K3519"/>
      <c r="L3519" s="47" t="s">
        <v>314</v>
      </c>
      <c r="M3519" s="47" t="s">
        <v>1136</v>
      </c>
    </row>
    <row r="3520" spans="1:13" ht="15" customHeight="1">
      <c r="A3520" s="47">
        <v>2210</v>
      </c>
      <c r="B3520" s="2">
        <v>4574</v>
      </c>
      <c r="C3520" t="s">
        <v>914</v>
      </c>
      <c r="D3520" s="47" t="s">
        <v>1134</v>
      </c>
      <c r="E3520" s="2" t="s">
        <v>1125</v>
      </c>
      <c r="F3520" t="s">
        <v>185</v>
      </c>
      <c r="G3520"/>
      <c r="H3520" t="s">
        <v>47</v>
      </c>
      <c r="I3520" t="s">
        <v>30</v>
      </c>
      <c r="J3520" t="s">
        <v>35</v>
      </c>
      <c r="K3520"/>
      <c r="L3520" s="47" t="s">
        <v>180</v>
      </c>
      <c r="M3520" s="47" t="s">
        <v>1135</v>
      </c>
    </row>
    <row r="3521" spans="1:13" ht="15" customHeight="1">
      <c r="A3521" s="47">
        <v>2210</v>
      </c>
      <c r="B3521" s="2">
        <v>4575</v>
      </c>
      <c r="C3521" t="s">
        <v>914</v>
      </c>
      <c r="D3521" s="47" t="s">
        <v>1130</v>
      </c>
      <c r="E3521" s="47" t="s">
        <v>1128</v>
      </c>
      <c r="F3521" t="s">
        <v>185</v>
      </c>
      <c r="H3521" t="s">
        <v>47</v>
      </c>
      <c r="I3521" t="s">
        <v>30</v>
      </c>
      <c r="J3521" t="s">
        <v>35</v>
      </c>
      <c r="K3521"/>
      <c r="L3521" s="47" t="s">
        <v>180</v>
      </c>
      <c r="M3521" s="47" t="s">
        <v>197</v>
      </c>
    </row>
    <row r="3522" spans="1:13" ht="15" customHeight="1">
      <c r="A3522" s="47">
        <v>2210</v>
      </c>
      <c r="B3522" s="2">
        <v>4576</v>
      </c>
      <c r="C3522" t="s">
        <v>914</v>
      </c>
      <c r="D3522" s="47" t="s">
        <v>1131</v>
      </c>
      <c r="E3522" s="47" t="s">
        <v>1129</v>
      </c>
      <c r="F3522" t="s">
        <v>185</v>
      </c>
      <c r="H3522" t="s">
        <v>47</v>
      </c>
      <c r="I3522" t="s">
        <v>30</v>
      </c>
      <c r="J3522" t="s">
        <v>35</v>
      </c>
      <c r="K3522"/>
      <c r="L3522" s="47" t="s">
        <v>239</v>
      </c>
      <c r="M3522" s="47" t="s">
        <v>1135</v>
      </c>
    </row>
    <row r="3523" spans="1:13" ht="15" customHeight="1">
      <c r="A3523" s="47">
        <v>2210</v>
      </c>
      <c r="B3523" s="2">
        <v>4577</v>
      </c>
      <c r="C3523" t="s">
        <v>914</v>
      </c>
      <c r="D3523" s="47" t="s">
        <v>1132</v>
      </c>
      <c r="E3523" s="47" t="s">
        <v>1129</v>
      </c>
      <c r="F3523" t="s">
        <v>185</v>
      </c>
      <c r="H3523" t="s">
        <v>47</v>
      </c>
      <c r="I3523" t="s">
        <v>30</v>
      </c>
      <c r="J3523" t="s">
        <v>35</v>
      </c>
      <c r="K3523"/>
      <c r="L3523" s="47" t="s">
        <v>239</v>
      </c>
      <c r="M3523" s="47" t="s">
        <v>1135</v>
      </c>
    </row>
    <row r="3524" spans="1:13" ht="15" customHeight="1">
      <c r="A3524" s="47">
        <v>2210</v>
      </c>
      <c r="B3524" s="2">
        <v>4578</v>
      </c>
      <c r="C3524" t="s">
        <v>914</v>
      </c>
      <c r="D3524" s="2" t="s">
        <v>1127</v>
      </c>
      <c r="E3524" s="47" t="s">
        <v>1126</v>
      </c>
      <c r="F3524" t="s">
        <v>185</v>
      </c>
      <c r="H3524" t="s">
        <v>47</v>
      </c>
      <c r="I3524" t="s">
        <v>30</v>
      </c>
      <c r="J3524" t="s">
        <v>35</v>
      </c>
      <c r="K3524"/>
      <c r="L3524" s="47" t="s">
        <v>314</v>
      </c>
      <c r="M3524" s="47" t="s">
        <v>1136</v>
      </c>
    </row>
    <row r="3525" spans="1:13" ht="15" customHeight="1">
      <c r="A3525" s="47">
        <v>2211</v>
      </c>
      <c r="B3525" s="2">
        <v>4579</v>
      </c>
      <c r="C3525" t="s">
        <v>914</v>
      </c>
      <c r="D3525" s="47" t="s">
        <v>1134</v>
      </c>
      <c r="E3525" s="2" t="s">
        <v>1125</v>
      </c>
      <c r="F3525" t="s">
        <v>185</v>
      </c>
      <c r="G3525"/>
      <c r="H3525" t="s">
        <v>47</v>
      </c>
      <c r="I3525" t="s">
        <v>30</v>
      </c>
      <c r="J3525" t="s">
        <v>35</v>
      </c>
      <c r="K3525"/>
      <c r="L3525" s="47" t="s">
        <v>180</v>
      </c>
      <c r="M3525" s="47" t="s">
        <v>1135</v>
      </c>
    </row>
    <row r="3526" spans="1:13" ht="15" customHeight="1">
      <c r="A3526" s="47">
        <v>2211</v>
      </c>
      <c r="B3526" s="2">
        <v>4580</v>
      </c>
      <c r="C3526" t="s">
        <v>914</v>
      </c>
      <c r="D3526" s="47" t="s">
        <v>1130</v>
      </c>
      <c r="E3526" s="47" t="s">
        <v>1128</v>
      </c>
      <c r="F3526" t="s">
        <v>185</v>
      </c>
      <c r="H3526" t="s">
        <v>47</v>
      </c>
      <c r="I3526" t="s">
        <v>30</v>
      </c>
      <c r="J3526" t="s">
        <v>35</v>
      </c>
      <c r="K3526"/>
      <c r="L3526" s="47" t="s">
        <v>180</v>
      </c>
      <c r="M3526" s="47" t="s">
        <v>197</v>
      </c>
    </row>
    <row r="3527" spans="1:13" ht="15" customHeight="1">
      <c r="A3527" s="47">
        <v>2211</v>
      </c>
      <c r="B3527" s="2">
        <v>4581</v>
      </c>
      <c r="C3527" t="s">
        <v>914</v>
      </c>
      <c r="D3527" s="47" t="s">
        <v>1131</v>
      </c>
      <c r="E3527" s="47" t="s">
        <v>1129</v>
      </c>
      <c r="F3527" t="s">
        <v>185</v>
      </c>
      <c r="H3527" t="s">
        <v>47</v>
      </c>
      <c r="I3527" t="s">
        <v>30</v>
      </c>
      <c r="J3527" t="s">
        <v>35</v>
      </c>
      <c r="K3527"/>
      <c r="L3527" s="47" t="s">
        <v>239</v>
      </c>
      <c r="M3527" s="47" t="s">
        <v>1135</v>
      </c>
    </row>
    <row r="3528" spans="1:13" ht="15" customHeight="1">
      <c r="A3528" s="47">
        <v>2211</v>
      </c>
      <c r="B3528" s="2">
        <v>4582</v>
      </c>
      <c r="C3528" t="s">
        <v>914</v>
      </c>
      <c r="D3528" s="47" t="s">
        <v>1132</v>
      </c>
      <c r="E3528" s="47" t="s">
        <v>1129</v>
      </c>
      <c r="F3528" t="s">
        <v>185</v>
      </c>
      <c r="H3528" t="s">
        <v>47</v>
      </c>
      <c r="I3528" t="s">
        <v>30</v>
      </c>
      <c r="J3528" t="s">
        <v>35</v>
      </c>
      <c r="K3528"/>
      <c r="L3528" s="47" t="s">
        <v>239</v>
      </c>
      <c r="M3528" s="47" t="s">
        <v>1135</v>
      </c>
    </row>
    <row r="3529" spans="1:13" ht="15" customHeight="1">
      <c r="A3529" s="47">
        <v>2211</v>
      </c>
      <c r="B3529" s="2">
        <v>4583</v>
      </c>
      <c r="C3529" t="s">
        <v>914</v>
      </c>
      <c r="D3529" s="2" t="s">
        <v>1127</v>
      </c>
      <c r="E3529" s="47" t="s">
        <v>1126</v>
      </c>
      <c r="F3529" t="s">
        <v>185</v>
      </c>
      <c r="H3529" t="s">
        <v>47</v>
      </c>
      <c r="I3529" t="s">
        <v>30</v>
      </c>
      <c r="J3529" t="s">
        <v>35</v>
      </c>
      <c r="K3529"/>
      <c r="L3529" s="47" t="s">
        <v>314</v>
      </c>
      <c r="M3529" s="47" t="s">
        <v>1136</v>
      </c>
    </row>
    <row r="3530" spans="1:13" ht="15" customHeight="1">
      <c r="A3530" s="47">
        <v>2212</v>
      </c>
      <c r="B3530" s="2">
        <v>4584</v>
      </c>
      <c r="C3530" t="s">
        <v>914</v>
      </c>
      <c r="D3530" s="47" t="s">
        <v>1134</v>
      </c>
      <c r="E3530" s="2" t="s">
        <v>1125</v>
      </c>
      <c r="F3530" t="s">
        <v>185</v>
      </c>
      <c r="G3530"/>
      <c r="H3530" t="s">
        <v>47</v>
      </c>
      <c r="I3530" t="s">
        <v>30</v>
      </c>
      <c r="J3530" t="s">
        <v>35</v>
      </c>
      <c r="K3530"/>
      <c r="L3530" s="47" t="s">
        <v>180</v>
      </c>
      <c r="M3530" s="47" t="s">
        <v>1135</v>
      </c>
    </row>
    <row r="3531" spans="1:13" ht="15" customHeight="1">
      <c r="A3531" s="47">
        <v>2212</v>
      </c>
      <c r="B3531" s="2">
        <v>4585</v>
      </c>
      <c r="C3531" t="s">
        <v>914</v>
      </c>
      <c r="D3531" s="47" t="s">
        <v>1130</v>
      </c>
      <c r="E3531" s="47" t="s">
        <v>1128</v>
      </c>
      <c r="F3531" t="s">
        <v>185</v>
      </c>
      <c r="H3531" t="s">
        <v>47</v>
      </c>
      <c r="I3531" t="s">
        <v>30</v>
      </c>
      <c r="J3531" t="s">
        <v>35</v>
      </c>
      <c r="K3531"/>
      <c r="L3531" s="47" t="s">
        <v>180</v>
      </c>
      <c r="M3531" s="47" t="s">
        <v>197</v>
      </c>
    </row>
    <row r="3532" spans="1:13" ht="15" customHeight="1">
      <c r="A3532" s="47">
        <v>2212</v>
      </c>
      <c r="B3532" s="2">
        <v>4586</v>
      </c>
      <c r="C3532" t="s">
        <v>914</v>
      </c>
      <c r="D3532" s="47" t="s">
        <v>1131</v>
      </c>
      <c r="E3532" s="47" t="s">
        <v>1129</v>
      </c>
      <c r="F3532" t="s">
        <v>185</v>
      </c>
      <c r="H3532" t="s">
        <v>47</v>
      </c>
      <c r="I3532" t="s">
        <v>30</v>
      </c>
      <c r="J3532" t="s">
        <v>35</v>
      </c>
      <c r="K3532"/>
      <c r="L3532" s="47" t="s">
        <v>239</v>
      </c>
      <c r="M3532" s="47" t="s">
        <v>1135</v>
      </c>
    </row>
    <row r="3533" spans="1:13" ht="15" customHeight="1">
      <c r="A3533" s="47">
        <v>2212</v>
      </c>
      <c r="B3533" s="2">
        <v>4587</v>
      </c>
      <c r="C3533" t="s">
        <v>914</v>
      </c>
      <c r="D3533" s="47" t="s">
        <v>1132</v>
      </c>
      <c r="E3533" s="47" t="s">
        <v>1129</v>
      </c>
      <c r="F3533" t="s">
        <v>185</v>
      </c>
      <c r="H3533" t="s">
        <v>47</v>
      </c>
      <c r="I3533" t="s">
        <v>30</v>
      </c>
      <c r="J3533" t="s">
        <v>35</v>
      </c>
      <c r="K3533"/>
      <c r="L3533" s="47" t="s">
        <v>239</v>
      </c>
      <c r="M3533" s="47" t="s">
        <v>1135</v>
      </c>
    </row>
    <row r="3534" spans="1:13" ht="15" customHeight="1">
      <c r="A3534" s="47">
        <v>2212</v>
      </c>
      <c r="B3534" s="2">
        <v>4588</v>
      </c>
      <c r="C3534" t="s">
        <v>914</v>
      </c>
      <c r="D3534" s="2" t="s">
        <v>1127</v>
      </c>
      <c r="E3534" s="47" t="s">
        <v>1126</v>
      </c>
      <c r="F3534" t="s">
        <v>185</v>
      </c>
      <c r="H3534" t="s">
        <v>47</v>
      </c>
      <c r="I3534" t="s">
        <v>30</v>
      </c>
      <c r="J3534" t="s">
        <v>35</v>
      </c>
      <c r="K3534"/>
      <c r="L3534" s="47" t="s">
        <v>314</v>
      </c>
      <c r="M3534" s="47" t="s">
        <v>1136</v>
      </c>
    </row>
    <row r="3535" spans="1:13" ht="15" customHeight="1">
      <c r="A3535" s="47">
        <v>2213</v>
      </c>
      <c r="B3535" s="2">
        <v>4589</v>
      </c>
      <c r="C3535" t="s">
        <v>914</v>
      </c>
      <c r="D3535" s="47" t="s">
        <v>1134</v>
      </c>
      <c r="E3535" s="2" t="s">
        <v>1125</v>
      </c>
      <c r="F3535" t="s">
        <v>185</v>
      </c>
      <c r="G3535"/>
      <c r="H3535" t="s">
        <v>47</v>
      </c>
      <c r="I3535" t="s">
        <v>30</v>
      </c>
      <c r="J3535" t="s">
        <v>35</v>
      </c>
      <c r="K3535"/>
      <c r="L3535" s="47" t="s">
        <v>180</v>
      </c>
      <c r="M3535" s="47" t="s">
        <v>1135</v>
      </c>
    </row>
    <row r="3536" spans="1:13" ht="15" customHeight="1">
      <c r="A3536" s="47">
        <v>2213</v>
      </c>
      <c r="B3536" s="2">
        <v>4590</v>
      </c>
      <c r="C3536" t="s">
        <v>914</v>
      </c>
      <c r="D3536" s="47" t="s">
        <v>1130</v>
      </c>
      <c r="E3536" s="47" t="s">
        <v>1128</v>
      </c>
      <c r="F3536" t="s">
        <v>185</v>
      </c>
      <c r="H3536" t="s">
        <v>47</v>
      </c>
      <c r="I3536" t="s">
        <v>30</v>
      </c>
      <c r="J3536" t="s">
        <v>35</v>
      </c>
      <c r="K3536"/>
      <c r="L3536" s="47" t="s">
        <v>180</v>
      </c>
      <c r="M3536" s="47" t="s">
        <v>197</v>
      </c>
    </row>
    <row r="3537" spans="1:13" ht="15" customHeight="1">
      <c r="A3537" s="47">
        <v>2213</v>
      </c>
      <c r="B3537" s="2">
        <v>4591</v>
      </c>
      <c r="C3537" t="s">
        <v>914</v>
      </c>
      <c r="D3537" s="47" t="s">
        <v>1131</v>
      </c>
      <c r="E3537" s="47" t="s">
        <v>1129</v>
      </c>
      <c r="F3537" t="s">
        <v>185</v>
      </c>
      <c r="H3537" t="s">
        <v>47</v>
      </c>
      <c r="I3537" t="s">
        <v>30</v>
      </c>
      <c r="J3537" t="s">
        <v>35</v>
      </c>
      <c r="K3537"/>
      <c r="L3537" s="47" t="s">
        <v>239</v>
      </c>
      <c r="M3537" s="47" t="s">
        <v>1135</v>
      </c>
    </row>
    <row r="3538" spans="1:13" ht="15" customHeight="1">
      <c r="A3538" s="47">
        <v>2213</v>
      </c>
      <c r="B3538" s="2">
        <v>4592</v>
      </c>
      <c r="C3538" t="s">
        <v>914</v>
      </c>
      <c r="D3538" s="47" t="s">
        <v>1132</v>
      </c>
      <c r="E3538" s="47" t="s">
        <v>1129</v>
      </c>
      <c r="F3538" t="s">
        <v>185</v>
      </c>
      <c r="H3538" t="s">
        <v>47</v>
      </c>
      <c r="I3538" t="s">
        <v>30</v>
      </c>
      <c r="J3538" t="s">
        <v>35</v>
      </c>
      <c r="K3538"/>
      <c r="L3538" s="47" t="s">
        <v>239</v>
      </c>
      <c r="M3538" s="47" t="s">
        <v>1135</v>
      </c>
    </row>
    <row r="3539" spans="1:13" ht="15" customHeight="1">
      <c r="A3539" s="47">
        <v>2213</v>
      </c>
      <c r="B3539" s="2">
        <v>4593</v>
      </c>
      <c r="C3539" t="s">
        <v>914</v>
      </c>
      <c r="D3539" s="2" t="s">
        <v>1127</v>
      </c>
      <c r="E3539" s="47" t="s">
        <v>1126</v>
      </c>
      <c r="F3539" t="s">
        <v>185</v>
      </c>
      <c r="H3539" t="s">
        <v>47</v>
      </c>
      <c r="I3539" t="s">
        <v>30</v>
      </c>
      <c r="J3539" t="s">
        <v>35</v>
      </c>
      <c r="K3539"/>
      <c r="L3539" s="47" t="s">
        <v>314</v>
      </c>
      <c r="M3539" s="47" t="s">
        <v>1136</v>
      </c>
    </row>
    <row r="3540" spans="1:13" ht="15" customHeight="1">
      <c r="A3540" s="47">
        <v>2214</v>
      </c>
      <c r="B3540" s="2">
        <v>4594</v>
      </c>
      <c r="C3540" t="s">
        <v>914</v>
      </c>
      <c r="D3540" s="47" t="s">
        <v>1134</v>
      </c>
      <c r="E3540" s="2" t="s">
        <v>1125</v>
      </c>
      <c r="F3540" t="s">
        <v>185</v>
      </c>
      <c r="G3540"/>
      <c r="H3540" t="s">
        <v>47</v>
      </c>
      <c r="I3540" t="s">
        <v>30</v>
      </c>
      <c r="J3540" t="s">
        <v>35</v>
      </c>
      <c r="K3540"/>
      <c r="L3540" s="47" t="s">
        <v>180</v>
      </c>
      <c r="M3540" s="47" t="s">
        <v>1135</v>
      </c>
    </row>
    <row r="3541" spans="1:13" ht="15" customHeight="1">
      <c r="A3541" s="47">
        <v>2214</v>
      </c>
      <c r="B3541" s="2">
        <v>4595</v>
      </c>
      <c r="C3541" t="s">
        <v>914</v>
      </c>
      <c r="D3541" s="47" t="s">
        <v>1130</v>
      </c>
      <c r="E3541" s="47" t="s">
        <v>1128</v>
      </c>
      <c r="F3541" t="s">
        <v>185</v>
      </c>
      <c r="H3541" t="s">
        <v>47</v>
      </c>
      <c r="I3541" t="s">
        <v>30</v>
      </c>
      <c r="J3541" t="s">
        <v>35</v>
      </c>
      <c r="K3541"/>
      <c r="L3541" s="47" t="s">
        <v>180</v>
      </c>
      <c r="M3541" s="47" t="s">
        <v>197</v>
      </c>
    </row>
    <row r="3542" spans="1:13" ht="15" customHeight="1">
      <c r="A3542" s="47">
        <v>2214</v>
      </c>
      <c r="B3542" s="2">
        <v>4596</v>
      </c>
      <c r="C3542" t="s">
        <v>914</v>
      </c>
      <c r="D3542" s="47" t="s">
        <v>1131</v>
      </c>
      <c r="E3542" s="47" t="s">
        <v>1129</v>
      </c>
      <c r="F3542" t="s">
        <v>185</v>
      </c>
      <c r="H3542" t="s">
        <v>47</v>
      </c>
      <c r="I3542" t="s">
        <v>30</v>
      </c>
      <c r="J3542" t="s">
        <v>35</v>
      </c>
      <c r="K3542"/>
      <c r="L3542" s="47" t="s">
        <v>239</v>
      </c>
      <c r="M3542" s="47" t="s">
        <v>1135</v>
      </c>
    </row>
    <row r="3543" spans="1:13" ht="15" customHeight="1">
      <c r="A3543" s="47">
        <v>2214</v>
      </c>
      <c r="B3543" s="2">
        <v>4597</v>
      </c>
      <c r="C3543" t="s">
        <v>914</v>
      </c>
      <c r="D3543" s="47" t="s">
        <v>1132</v>
      </c>
      <c r="E3543" s="47" t="s">
        <v>1129</v>
      </c>
      <c r="F3543" t="s">
        <v>185</v>
      </c>
      <c r="H3543" t="s">
        <v>47</v>
      </c>
      <c r="I3543" t="s">
        <v>30</v>
      </c>
      <c r="J3543" t="s">
        <v>35</v>
      </c>
      <c r="K3543"/>
      <c r="L3543" s="47" t="s">
        <v>239</v>
      </c>
      <c r="M3543" s="47" t="s">
        <v>1135</v>
      </c>
    </row>
    <row r="3544" spans="1:13" ht="15" customHeight="1">
      <c r="A3544" s="47">
        <v>2214</v>
      </c>
      <c r="B3544" s="2">
        <v>4598</v>
      </c>
      <c r="C3544" t="s">
        <v>914</v>
      </c>
      <c r="D3544" s="2" t="s">
        <v>1127</v>
      </c>
      <c r="E3544" s="47" t="s">
        <v>1126</v>
      </c>
      <c r="F3544" t="s">
        <v>185</v>
      </c>
      <c r="H3544" t="s">
        <v>47</v>
      </c>
      <c r="I3544" t="s">
        <v>30</v>
      </c>
      <c r="J3544" t="s">
        <v>35</v>
      </c>
      <c r="K3544"/>
      <c r="L3544" s="47" t="s">
        <v>314</v>
      </c>
      <c r="M3544" s="47" t="s">
        <v>1136</v>
      </c>
    </row>
    <row r="3545" spans="1:13" ht="15" customHeight="1">
      <c r="A3545" s="47">
        <v>2215</v>
      </c>
      <c r="B3545" s="2">
        <v>4599</v>
      </c>
      <c r="C3545" t="s">
        <v>914</v>
      </c>
      <c r="D3545" s="47" t="s">
        <v>1134</v>
      </c>
      <c r="E3545" s="2" t="s">
        <v>1125</v>
      </c>
      <c r="F3545" t="s">
        <v>185</v>
      </c>
      <c r="G3545"/>
      <c r="H3545" t="s">
        <v>47</v>
      </c>
      <c r="I3545" t="s">
        <v>30</v>
      </c>
      <c r="J3545" t="s">
        <v>35</v>
      </c>
      <c r="K3545"/>
      <c r="L3545" s="47" t="s">
        <v>180</v>
      </c>
      <c r="M3545" s="47" t="s">
        <v>1135</v>
      </c>
    </row>
    <row r="3546" spans="1:13" ht="15" customHeight="1">
      <c r="A3546" s="47">
        <v>2215</v>
      </c>
      <c r="B3546" s="2">
        <v>4600</v>
      </c>
      <c r="C3546" t="s">
        <v>914</v>
      </c>
      <c r="D3546" s="47" t="s">
        <v>1130</v>
      </c>
      <c r="E3546" s="47" t="s">
        <v>1128</v>
      </c>
      <c r="F3546" t="s">
        <v>185</v>
      </c>
      <c r="H3546" t="s">
        <v>47</v>
      </c>
      <c r="I3546" t="s">
        <v>30</v>
      </c>
      <c r="J3546" t="s">
        <v>35</v>
      </c>
      <c r="K3546"/>
      <c r="L3546" s="47" t="s">
        <v>180</v>
      </c>
      <c r="M3546" s="47" t="s">
        <v>197</v>
      </c>
    </row>
    <row r="3547" spans="1:13" ht="15" customHeight="1">
      <c r="A3547" s="47">
        <v>2215</v>
      </c>
      <c r="B3547" s="2">
        <v>4601</v>
      </c>
      <c r="C3547" t="s">
        <v>914</v>
      </c>
      <c r="D3547" s="47" t="s">
        <v>1131</v>
      </c>
      <c r="E3547" s="47" t="s">
        <v>1129</v>
      </c>
      <c r="F3547" t="s">
        <v>185</v>
      </c>
      <c r="H3547" t="s">
        <v>47</v>
      </c>
      <c r="I3547" t="s">
        <v>30</v>
      </c>
      <c r="J3547" t="s">
        <v>35</v>
      </c>
      <c r="K3547"/>
      <c r="L3547" s="47" t="s">
        <v>239</v>
      </c>
      <c r="M3547" s="47" t="s">
        <v>1135</v>
      </c>
    </row>
    <row r="3548" spans="1:13" ht="15" customHeight="1">
      <c r="A3548" s="47">
        <v>2215</v>
      </c>
      <c r="B3548" s="2">
        <v>4602</v>
      </c>
      <c r="C3548" t="s">
        <v>914</v>
      </c>
      <c r="D3548" s="47" t="s">
        <v>1132</v>
      </c>
      <c r="E3548" s="47" t="s">
        <v>1129</v>
      </c>
      <c r="F3548" t="s">
        <v>185</v>
      </c>
      <c r="H3548" t="s">
        <v>47</v>
      </c>
      <c r="I3548" t="s">
        <v>30</v>
      </c>
      <c r="J3548" t="s">
        <v>35</v>
      </c>
      <c r="K3548"/>
      <c r="L3548" s="47" t="s">
        <v>239</v>
      </c>
      <c r="M3548" s="47" t="s">
        <v>1135</v>
      </c>
    </row>
    <row r="3549" spans="1:13" ht="15" customHeight="1">
      <c r="A3549" s="47">
        <v>2215</v>
      </c>
      <c r="B3549" s="2">
        <v>4603</v>
      </c>
      <c r="C3549" t="s">
        <v>914</v>
      </c>
      <c r="D3549" s="2" t="s">
        <v>1127</v>
      </c>
      <c r="E3549" s="47" t="s">
        <v>1126</v>
      </c>
      <c r="F3549" t="s">
        <v>185</v>
      </c>
      <c r="H3549" t="s">
        <v>47</v>
      </c>
      <c r="I3549" t="s">
        <v>30</v>
      </c>
      <c r="J3549" t="s">
        <v>35</v>
      </c>
      <c r="K3549"/>
      <c r="L3549" s="47" t="s">
        <v>314</v>
      </c>
      <c r="M3549" s="47" t="s">
        <v>1136</v>
      </c>
    </row>
    <row r="3550" spans="1:13" ht="15" customHeight="1">
      <c r="A3550" s="47">
        <v>2216</v>
      </c>
      <c r="B3550" s="2">
        <v>4604</v>
      </c>
      <c r="C3550" t="s">
        <v>914</v>
      </c>
      <c r="D3550" s="47" t="s">
        <v>1134</v>
      </c>
      <c r="E3550" s="2" t="s">
        <v>1125</v>
      </c>
      <c r="F3550" t="s">
        <v>185</v>
      </c>
      <c r="G3550"/>
      <c r="H3550" t="s">
        <v>47</v>
      </c>
      <c r="I3550" t="s">
        <v>30</v>
      </c>
      <c r="J3550" t="s">
        <v>35</v>
      </c>
      <c r="K3550"/>
      <c r="L3550" s="47" t="s">
        <v>180</v>
      </c>
      <c r="M3550" s="47" t="s">
        <v>1135</v>
      </c>
    </row>
    <row r="3551" spans="1:13" ht="15" customHeight="1">
      <c r="A3551" s="47">
        <v>2216</v>
      </c>
      <c r="B3551" s="2">
        <v>4605</v>
      </c>
      <c r="C3551" t="s">
        <v>914</v>
      </c>
      <c r="D3551" s="47" t="s">
        <v>1130</v>
      </c>
      <c r="E3551" s="47" t="s">
        <v>1128</v>
      </c>
      <c r="F3551" t="s">
        <v>185</v>
      </c>
      <c r="H3551" t="s">
        <v>47</v>
      </c>
      <c r="I3551" t="s">
        <v>30</v>
      </c>
      <c r="J3551" t="s">
        <v>35</v>
      </c>
      <c r="K3551"/>
      <c r="L3551" s="47" t="s">
        <v>180</v>
      </c>
      <c r="M3551" s="47" t="s">
        <v>197</v>
      </c>
    </row>
    <row r="3552" spans="1:13" ht="15" customHeight="1">
      <c r="A3552" s="47">
        <v>2216</v>
      </c>
      <c r="B3552" s="2">
        <v>4606</v>
      </c>
      <c r="C3552" t="s">
        <v>914</v>
      </c>
      <c r="D3552" s="47" t="s">
        <v>1131</v>
      </c>
      <c r="E3552" s="47" t="s">
        <v>1129</v>
      </c>
      <c r="F3552" t="s">
        <v>185</v>
      </c>
      <c r="H3552" t="s">
        <v>47</v>
      </c>
      <c r="I3552" t="s">
        <v>30</v>
      </c>
      <c r="J3552" t="s">
        <v>35</v>
      </c>
      <c r="K3552"/>
      <c r="L3552" s="47" t="s">
        <v>239</v>
      </c>
      <c r="M3552" s="47" t="s">
        <v>1135</v>
      </c>
    </row>
    <row r="3553" spans="1:13" ht="15" customHeight="1">
      <c r="A3553" s="47">
        <v>2216</v>
      </c>
      <c r="B3553" s="2">
        <v>4607</v>
      </c>
      <c r="C3553" t="s">
        <v>914</v>
      </c>
      <c r="D3553" s="47" t="s">
        <v>1132</v>
      </c>
      <c r="E3553" s="47" t="s">
        <v>1129</v>
      </c>
      <c r="F3553" t="s">
        <v>185</v>
      </c>
      <c r="H3553" t="s">
        <v>47</v>
      </c>
      <c r="I3553" t="s">
        <v>30</v>
      </c>
      <c r="J3553" t="s">
        <v>35</v>
      </c>
      <c r="K3553"/>
      <c r="L3553" s="47" t="s">
        <v>239</v>
      </c>
      <c r="M3553" s="47" t="s">
        <v>1135</v>
      </c>
    </row>
    <row r="3554" spans="1:13" ht="15" customHeight="1">
      <c r="A3554" s="47">
        <v>2216</v>
      </c>
      <c r="B3554" s="2">
        <v>4608</v>
      </c>
      <c r="C3554" t="s">
        <v>914</v>
      </c>
      <c r="D3554" s="2" t="s">
        <v>1127</v>
      </c>
      <c r="E3554" s="47" t="s">
        <v>1126</v>
      </c>
      <c r="F3554" t="s">
        <v>185</v>
      </c>
      <c r="H3554" t="s">
        <v>47</v>
      </c>
      <c r="I3554" t="s">
        <v>30</v>
      </c>
      <c r="J3554" t="s">
        <v>35</v>
      </c>
      <c r="K3554"/>
      <c r="L3554" s="47" t="s">
        <v>314</v>
      </c>
      <c r="M3554" s="47" t="s">
        <v>1136</v>
      </c>
    </row>
    <row r="3555" spans="1:13" ht="15" customHeight="1">
      <c r="A3555" s="47">
        <v>2217</v>
      </c>
      <c r="B3555" s="2">
        <v>4609</v>
      </c>
      <c r="C3555" t="s">
        <v>914</v>
      </c>
      <c r="D3555" s="47" t="s">
        <v>1134</v>
      </c>
      <c r="E3555" s="2" t="s">
        <v>1125</v>
      </c>
      <c r="F3555" t="s">
        <v>185</v>
      </c>
      <c r="G3555"/>
      <c r="H3555" t="s">
        <v>47</v>
      </c>
      <c r="I3555" t="s">
        <v>30</v>
      </c>
      <c r="J3555" t="s">
        <v>35</v>
      </c>
      <c r="K3555"/>
      <c r="L3555" s="47" t="s">
        <v>180</v>
      </c>
      <c r="M3555" s="47" t="s">
        <v>1135</v>
      </c>
    </row>
    <row r="3556" spans="1:13" ht="15" customHeight="1">
      <c r="A3556" s="47">
        <v>2217</v>
      </c>
      <c r="B3556" s="2">
        <v>4610</v>
      </c>
      <c r="C3556" t="s">
        <v>914</v>
      </c>
      <c r="D3556" s="47" t="s">
        <v>1130</v>
      </c>
      <c r="E3556" s="47" t="s">
        <v>1128</v>
      </c>
      <c r="F3556" t="s">
        <v>185</v>
      </c>
      <c r="H3556" t="s">
        <v>47</v>
      </c>
      <c r="I3556" t="s">
        <v>30</v>
      </c>
      <c r="J3556" t="s">
        <v>35</v>
      </c>
      <c r="K3556"/>
      <c r="L3556" s="47" t="s">
        <v>180</v>
      </c>
      <c r="M3556" s="47" t="s">
        <v>197</v>
      </c>
    </row>
    <row r="3557" spans="1:13" ht="15" customHeight="1">
      <c r="A3557" s="47">
        <v>2217</v>
      </c>
      <c r="B3557" s="2">
        <v>4611</v>
      </c>
      <c r="C3557" t="s">
        <v>914</v>
      </c>
      <c r="D3557" s="47" t="s">
        <v>1131</v>
      </c>
      <c r="E3557" s="47" t="s">
        <v>1129</v>
      </c>
      <c r="F3557" t="s">
        <v>185</v>
      </c>
      <c r="H3557" t="s">
        <v>47</v>
      </c>
      <c r="I3557" t="s">
        <v>30</v>
      </c>
      <c r="J3557" t="s">
        <v>35</v>
      </c>
      <c r="K3557"/>
      <c r="L3557" s="47" t="s">
        <v>239</v>
      </c>
      <c r="M3557" s="47" t="s">
        <v>1135</v>
      </c>
    </row>
    <row r="3558" spans="1:13" ht="15" customHeight="1">
      <c r="A3558" s="47">
        <v>2217</v>
      </c>
      <c r="B3558" s="2">
        <v>4612</v>
      </c>
      <c r="C3558" t="s">
        <v>914</v>
      </c>
      <c r="D3558" s="47" t="s">
        <v>1132</v>
      </c>
      <c r="E3558" s="47" t="s">
        <v>1129</v>
      </c>
      <c r="F3558" t="s">
        <v>185</v>
      </c>
      <c r="H3558" t="s">
        <v>47</v>
      </c>
      <c r="I3558" t="s">
        <v>30</v>
      </c>
      <c r="J3558" t="s">
        <v>35</v>
      </c>
      <c r="K3558"/>
      <c r="L3558" s="47" t="s">
        <v>239</v>
      </c>
      <c r="M3558" s="47" t="s">
        <v>1135</v>
      </c>
    </row>
    <row r="3559" spans="1:13" ht="15" customHeight="1">
      <c r="A3559" s="47">
        <v>2217</v>
      </c>
      <c r="B3559" s="2">
        <v>4613</v>
      </c>
      <c r="C3559" t="s">
        <v>914</v>
      </c>
      <c r="D3559" s="2" t="s">
        <v>1127</v>
      </c>
      <c r="E3559" s="47" t="s">
        <v>1126</v>
      </c>
      <c r="F3559" t="s">
        <v>185</v>
      </c>
      <c r="H3559" t="s">
        <v>47</v>
      </c>
      <c r="I3559" t="s">
        <v>30</v>
      </c>
      <c r="J3559" t="s">
        <v>35</v>
      </c>
      <c r="K3559"/>
      <c r="L3559" s="47" t="s">
        <v>314</v>
      </c>
      <c r="M3559" s="47" t="s">
        <v>1136</v>
      </c>
    </row>
    <row r="3560" spans="1:13" ht="15" customHeight="1">
      <c r="A3560" s="47">
        <v>2218</v>
      </c>
      <c r="B3560" s="2">
        <v>4614</v>
      </c>
      <c r="C3560" t="s">
        <v>914</v>
      </c>
      <c r="D3560" s="47" t="s">
        <v>1134</v>
      </c>
      <c r="E3560" s="2" t="s">
        <v>1125</v>
      </c>
      <c r="F3560" t="s">
        <v>185</v>
      </c>
      <c r="G3560"/>
      <c r="H3560" t="s">
        <v>47</v>
      </c>
      <c r="I3560" t="s">
        <v>30</v>
      </c>
      <c r="J3560" t="s">
        <v>35</v>
      </c>
      <c r="K3560"/>
      <c r="L3560" s="47" t="s">
        <v>180</v>
      </c>
      <c r="M3560" s="47" t="s">
        <v>1135</v>
      </c>
    </row>
    <row r="3561" spans="1:13" ht="15" customHeight="1">
      <c r="A3561" s="47">
        <v>2218</v>
      </c>
      <c r="B3561" s="2">
        <v>4615</v>
      </c>
      <c r="C3561" t="s">
        <v>914</v>
      </c>
      <c r="D3561" s="47" t="s">
        <v>1130</v>
      </c>
      <c r="E3561" s="47" t="s">
        <v>1128</v>
      </c>
      <c r="F3561" t="s">
        <v>185</v>
      </c>
      <c r="H3561" t="s">
        <v>47</v>
      </c>
      <c r="I3561" t="s">
        <v>30</v>
      </c>
      <c r="J3561" t="s">
        <v>35</v>
      </c>
      <c r="K3561"/>
      <c r="L3561" s="47" t="s">
        <v>180</v>
      </c>
      <c r="M3561" s="47" t="s">
        <v>197</v>
      </c>
    </row>
    <row r="3562" spans="1:13" ht="15" customHeight="1">
      <c r="A3562" s="47">
        <v>2218</v>
      </c>
      <c r="B3562" s="2">
        <v>4616</v>
      </c>
      <c r="C3562" t="s">
        <v>914</v>
      </c>
      <c r="D3562" s="47" t="s">
        <v>1131</v>
      </c>
      <c r="E3562" s="47" t="s">
        <v>1129</v>
      </c>
      <c r="F3562" t="s">
        <v>185</v>
      </c>
      <c r="H3562" t="s">
        <v>47</v>
      </c>
      <c r="I3562" t="s">
        <v>30</v>
      </c>
      <c r="J3562" t="s">
        <v>35</v>
      </c>
      <c r="K3562"/>
      <c r="L3562" s="47" t="s">
        <v>239</v>
      </c>
      <c r="M3562" s="47" t="s">
        <v>1135</v>
      </c>
    </row>
    <row r="3563" spans="1:13" ht="15" customHeight="1">
      <c r="A3563" s="47">
        <v>2218</v>
      </c>
      <c r="B3563" s="2">
        <v>4617</v>
      </c>
      <c r="C3563" t="s">
        <v>914</v>
      </c>
      <c r="D3563" s="47" t="s">
        <v>1132</v>
      </c>
      <c r="E3563" s="47" t="s">
        <v>1129</v>
      </c>
      <c r="F3563" t="s">
        <v>185</v>
      </c>
      <c r="H3563" t="s">
        <v>47</v>
      </c>
      <c r="I3563" t="s">
        <v>30</v>
      </c>
      <c r="J3563" t="s">
        <v>35</v>
      </c>
      <c r="K3563"/>
      <c r="L3563" s="47" t="s">
        <v>239</v>
      </c>
      <c r="M3563" s="47" t="s">
        <v>1135</v>
      </c>
    </row>
    <row r="3564" spans="1:13" ht="15" customHeight="1">
      <c r="A3564" s="47">
        <v>2218</v>
      </c>
      <c r="B3564" s="2">
        <v>4618</v>
      </c>
      <c r="C3564" t="s">
        <v>914</v>
      </c>
      <c r="D3564" s="2" t="s">
        <v>1127</v>
      </c>
      <c r="E3564" s="47" t="s">
        <v>1126</v>
      </c>
      <c r="F3564" t="s">
        <v>185</v>
      </c>
      <c r="H3564" t="s">
        <v>47</v>
      </c>
      <c r="I3564" t="s">
        <v>30</v>
      </c>
      <c r="J3564" t="s">
        <v>35</v>
      </c>
      <c r="K3564"/>
      <c r="L3564" s="47" t="s">
        <v>314</v>
      </c>
      <c r="M3564" s="47" t="s">
        <v>1136</v>
      </c>
    </row>
    <row r="3565" spans="1:13" ht="15" customHeight="1">
      <c r="A3565" s="47">
        <v>2219</v>
      </c>
      <c r="B3565" s="2">
        <v>4619</v>
      </c>
      <c r="C3565" t="s">
        <v>914</v>
      </c>
      <c r="D3565" s="47" t="s">
        <v>1134</v>
      </c>
      <c r="E3565" s="2" t="s">
        <v>1125</v>
      </c>
      <c r="F3565" t="s">
        <v>185</v>
      </c>
      <c r="G3565"/>
      <c r="H3565" t="s">
        <v>47</v>
      </c>
      <c r="I3565" t="s">
        <v>30</v>
      </c>
      <c r="J3565" t="s">
        <v>35</v>
      </c>
      <c r="K3565"/>
      <c r="L3565" s="47" t="s">
        <v>180</v>
      </c>
      <c r="M3565" s="47" t="s">
        <v>1135</v>
      </c>
    </row>
    <row r="3566" spans="1:13" ht="15" customHeight="1">
      <c r="A3566" s="47">
        <v>2219</v>
      </c>
      <c r="B3566" s="2">
        <v>4620</v>
      </c>
      <c r="C3566" t="s">
        <v>914</v>
      </c>
      <c r="D3566" s="47" t="s">
        <v>1130</v>
      </c>
      <c r="E3566" s="47" t="s">
        <v>1128</v>
      </c>
      <c r="F3566" t="s">
        <v>185</v>
      </c>
      <c r="H3566" t="s">
        <v>47</v>
      </c>
      <c r="I3566" t="s">
        <v>30</v>
      </c>
      <c r="J3566" t="s">
        <v>35</v>
      </c>
      <c r="K3566"/>
      <c r="L3566" s="47" t="s">
        <v>180</v>
      </c>
      <c r="M3566" s="47" t="s">
        <v>197</v>
      </c>
    </row>
    <row r="3567" spans="1:13" ht="15" customHeight="1">
      <c r="A3567" s="47">
        <v>2219</v>
      </c>
      <c r="B3567" s="2">
        <v>4621</v>
      </c>
      <c r="C3567" t="s">
        <v>914</v>
      </c>
      <c r="D3567" s="47" t="s">
        <v>1131</v>
      </c>
      <c r="E3567" s="47" t="s">
        <v>1129</v>
      </c>
      <c r="F3567" t="s">
        <v>185</v>
      </c>
      <c r="H3567" t="s">
        <v>47</v>
      </c>
      <c r="I3567" t="s">
        <v>30</v>
      </c>
      <c r="J3567" t="s">
        <v>35</v>
      </c>
      <c r="K3567"/>
      <c r="L3567" s="47" t="s">
        <v>239</v>
      </c>
      <c r="M3567" s="47" t="s">
        <v>1135</v>
      </c>
    </row>
    <row r="3568" spans="1:13" ht="15" customHeight="1">
      <c r="A3568" s="47">
        <v>2219</v>
      </c>
      <c r="B3568" s="2">
        <v>4622</v>
      </c>
      <c r="C3568" t="s">
        <v>914</v>
      </c>
      <c r="D3568" s="47" t="s">
        <v>1132</v>
      </c>
      <c r="E3568" s="47" t="s">
        <v>1129</v>
      </c>
      <c r="F3568" t="s">
        <v>185</v>
      </c>
      <c r="H3568" t="s">
        <v>47</v>
      </c>
      <c r="I3568" t="s">
        <v>30</v>
      </c>
      <c r="J3568" t="s">
        <v>35</v>
      </c>
      <c r="K3568"/>
      <c r="L3568" s="47" t="s">
        <v>239</v>
      </c>
      <c r="M3568" s="47" t="s">
        <v>1135</v>
      </c>
    </row>
    <row r="3569" spans="1:35" ht="15" customHeight="1">
      <c r="A3569" s="47">
        <v>2219</v>
      </c>
      <c r="B3569" s="2">
        <v>4623</v>
      </c>
      <c r="C3569" t="s">
        <v>914</v>
      </c>
      <c r="D3569" s="2" t="s">
        <v>1127</v>
      </c>
      <c r="E3569" s="47" t="s">
        <v>1126</v>
      </c>
      <c r="F3569" t="s">
        <v>185</v>
      </c>
      <c r="H3569" t="s">
        <v>47</v>
      </c>
      <c r="I3569" t="s">
        <v>30</v>
      </c>
      <c r="J3569" t="s">
        <v>35</v>
      </c>
      <c r="K3569"/>
      <c r="L3569" s="47" t="s">
        <v>314</v>
      </c>
      <c r="M3569" s="47" t="s">
        <v>1136</v>
      </c>
    </row>
    <row r="3570" spans="1:35" ht="15" customHeight="1">
      <c r="A3570" s="47">
        <v>2220</v>
      </c>
      <c r="B3570" s="2">
        <v>4624</v>
      </c>
      <c r="C3570" t="s">
        <v>914</v>
      </c>
      <c r="D3570" s="47" t="s">
        <v>1134</v>
      </c>
      <c r="E3570" s="2" t="s">
        <v>1125</v>
      </c>
      <c r="F3570" t="s">
        <v>185</v>
      </c>
      <c r="G3570"/>
      <c r="H3570" t="s">
        <v>47</v>
      </c>
      <c r="I3570" t="s">
        <v>30</v>
      </c>
      <c r="J3570" t="s">
        <v>35</v>
      </c>
      <c r="K3570"/>
      <c r="L3570" s="47" t="s">
        <v>180</v>
      </c>
      <c r="M3570" s="47" t="s">
        <v>1135</v>
      </c>
    </row>
    <row r="3571" spans="1:35" ht="15" customHeight="1">
      <c r="A3571" s="47">
        <v>2220</v>
      </c>
      <c r="B3571" s="2">
        <v>4625</v>
      </c>
      <c r="C3571" t="s">
        <v>914</v>
      </c>
      <c r="D3571" s="47" t="s">
        <v>1130</v>
      </c>
      <c r="E3571" s="47" t="s">
        <v>1128</v>
      </c>
      <c r="F3571" t="s">
        <v>185</v>
      </c>
      <c r="H3571" t="s">
        <v>47</v>
      </c>
      <c r="I3571" t="s">
        <v>30</v>
      </c>
      <c r="J3571" t="s">
        <v>35</v>
      </c>
      <c r="K3571"/>
      <c r="L3571" s="47" t="s">
        <v>180</v>
      </c>
      <c r="M3571" s="47" t="s">
        <v>197</v>
      </c>
      <c r="AC3571" s="2"/>
      <c r="AD3571" s="2"/>
      <c r="AE3571" s="2"/>
      <c r="AF3571" s="2"/>
      <c r="AG3571" s="2"/>
      <c r="AH3571" s="2"/>
      <c r="AI3571" s="2"/>
    </row>
    <row r="3572" spans="1:35" ht="15" customHeight="1">
      <c r="A3572" s="47">
        <v>2220</v>
      </c>
      <c r="B3572" s="2">
        <v>4626</v>
      </c>
      <c r="C3572" t="s">
        <v>914</v>
      </c>
      <c r="D3572" s="47" t="s">
        <v>1131</v>
      </c>
      <c r="E3572" s="47" t="s">
        <v>1129</v>
      </c>
      <c r="F3572" t="s">
        <v>185</v>
      </c>
      <c r="H3572" t="s">
        <v>47</v>
      </c>
      <c r="I3572" t="s">
        <v>30</v>
      </c>
      <c r="J3572" t="s">
        <v>35</v>
      </c>
      <c r="K3572"/>
      <c r="L3572" s="47" t="s">
        <v>239</v>
      </c>
      <c r="M3572" s="47" t="s">
        <v>1135</v>
      </c>
      <c r="AC3572" s="2"/>
      <c r="AD3572" s="2"/>
      <c r="AE3572" s="2"/>
      <c r="AF3572" s="2"/>
      <c r="AG3572" s="2"/>
      <c r="AH3572" s="2"/>
      <c r="AI3572" s="2"/>
    </row>
    <row r="3573" spans="1:35" ht="15" customHeight="1">
      <c r="A3573" s="47">
        <v>2220</v>
      </c>
      <c r="B3573" s="2">
        <v>4627</v>
      </c>
      <c r="C3573" t="s">
        <v>914</v>
      </c>
      <c r="D3573" s="47" t="s">
        <v>1132</v>
      </c>
      <c r="E3573" s="47" t="s">
        <v>1129</v>
      </c>
      <c r="F3573" t="s">
        <v>185</v>
      </c>
      <c r="H3573" t="s">
        <v>47</v>
      </c>
      <c r="I3573" t="s">
        <v>30</v>
      </c>
      <c r="J3573" t="s">
        <v>35</v>
      </c>
      <c r="K3573"/>
      <c r="L3573" s="47" t="s">
        <v>239</v>
      </c>
      <c r="M3573" s="47" t="s">
        <v>1135</v>
      </c>
      <c r="AC3573" s="2"/>
      <c r="AD3573" s="2"/>
      <c r="AE3573" s="2"/>
      <c r="AF3573" s="2"/>
      <c r="AG3573" s="2"/>
      <c r="AH3573" s="2"/>
      <c r="AI3573" s="2"/>
    </row>
    <row r="3574" spans="1:35" ht="15" customHeight="1">
      <c r="A3574" s="47">
        <v>2220</v>
      </c>
      <c r="B3574" s="2">
        <v>4628</v>
      </c>
      <c r="C3574" t="s">
        <v>914</v>
      </c>
      <c r="D3574" s="2" t="s">
        <v>1127</v>
      </c>
      <c r="E3574" s="47" t="s">
        <v>1126</v>
      </c>
      <c r="F3574" t="s">
        <v>185</v>
      </c>
      <c r="H3574" t="s">
        <v>47</v>
      </c>
      <c r="I3574" t="s">
        <v>30</v>
      </c>
      <c r="J3574" t="s">
        <v>35</v>
      </c>
      <c r="K3574"/>
      <c r="L3574" s="47" t="s">
        <v>314</v>
      </c>
      <c r="M3574" s="47" t="s">
        <v>1136</v>
      </c>
      <c r="AC3574" s="2"/>
      <c r="AD3574" s="2"/>
      <c r="AE3574" s="2"/>
      <c r="AF3574" s="2"/>
      <c r="AG3574" s="2"/>
      <c r="AH3574" s="2"/>
      <c r="AI3574" s="2"/>
    </row>
    <row r="3575" spans="1:35" ht="15" customHeight="1">
      <c r="A3575" s="47">
        <v>2221</v>
      </c>
      <c r="B3575" s="2">
        <v>4629</v>
      </c>
      <c r="C3575" t="s">
        <v>914</v>
      </c>
      <c r="D3575" s="47" t="s">
        <v>1134</v>
      </c>
      <c r="E3575" s="2" t="s">
        <v>1125</v>
      </c>
      <c r="F3575" t="s">
        <v>185</v>
      </c>
      <c r="G3575"/>
      <c r="H3575" t="s">
        <v>47</v>
      </c>
      <c r="I3575" t="s">
        <v>30</v>
      </c>
      <c r="J3575" t="s">
        <v>35</v>
      </c>
      <c r="K3575"/>
      <c r="L3575" s="47" t="s">
        <v>180</v>
      </c>
      <c r="M3575" s="47" t="s">
        <v>1135</v>
      </c>
      <c r="AC3575" s="2"/>
      <c r="AD3575" s="2"/>
      <c r="AE3575" s="2"/>
      <c r="AF3575" s="2"/>
      <c r="AG3575" s="2"/>
      <c r="AH3575" s="2"/>
      <c r="AI3575"/>
    </row>
    <row r="3576" spans="1:35" ht="15" customHeight="1">
      <c r="A3576" s="47">
        <v>2221</v>
      </c>
      <c r="B3576" s="2">
        <v>4630</v>
      </c>
      <c r="C3576" t="s">
        <v>914</v>
      </c>
      <c r="D3576" s="47" t="s">
        <v>1130</v>
      </c>
      <c r="E3576" s="47" t="s">
        <v>1128</v>
      </c>
      <c r="F3576" t="s">
        <v>185</v>
      </c>
      <c r="H3576" t="s">
        <v>47</v>
      </c>
      <c r="I3576" t="s">
        <v>30</v>
      </c>
      <c r="J3576" t="s">
        <v>35</v>
      </c>
      <c r="K3576"/>
      <c r="L3576" s="47" t="s">
        <v>180</v>
      </c>
      <c r="M3576" s="47" t="s">
        <v>197</v>
      </c>
      <c r="AC3576" s="2"/>
      <c r="AD3576" s="2"/>
      <c r="AE3576" s="2"/>
      <c r="AF3576" s="2"/>
      <c r="AG3576" s="2"/>
      <c r="AH3576" s="2"/>
      <c r="AI3576"/>
    </row>
    <row r="3577" spans="1:35" ht="15" customHeight="1">
      <c r="A3577" s="47">
        <v>2221</v>
      </c>
      <c r="B3577" s="2">
        <v>4631</v>
      </c>
      <c r="C3577" t="s">
        <v>914</v>
      </c>
      <c r="D3577" s="47" t="s">
        <v>1131</v>
      </c>
      <c r="E3577" s="47" t="s">
        <v>1129</v>
      </c>
      <c r="F3577" t="s">
        <v>185</v>
      </c>
      <c r="H3577" t="s">
        <v>47</v>
      </c>
      <c r="I3577" t="s">
        <v>30</v>
      </c>
      <c r="J3577" t="s">
        <v>35</v>
      </c>
      <c r="K3577"/>
      <c r="L3577" s="47" t="s">
        <v>239</v>
      </c>
      <c r="M3577" s="47" t="s">
        <v>1135</v>
      </c>
      <c r="AC3577" s="2"/>
      <c r="AD3577" s="2"/>
      <c r="AE3577" s="2"/>
      <c r="AF3577" s="2"/>
      <c r="AG3577" s="2"/>
      <c r="AH3577" s="2"/>
      <c r="AI3577"/>
    </row>
    <row r="3578" spans="1:35" ht="15" customHeight="1">
      <c r="A3578" s="47">
        <v>2221</v>
      </c>
      <c r="B3578" s="2">
        <v>4632</v>
      </c>
      <c r="C3578" t="s">
        <v>914</v>
      </c>
      <c r="D3578" s="47" t="s">
        <v>1132</v>
      </c>
      <c r="E3578" s="47" t="s">
        <v>1129</v>
      </c>
      <c r="F3578" t="s">
        <v>185</v>
      </c>
      <c r="H3578" t="s">
        <v>47</v>
      </c>
      <c r="I3578" t="s">
        <v>30</v>
      </c>
      <c r="J3578" t="s">
        <v>35</v>
      </c>
      <c r="K3578"/>
      <c r="L3578" s="47" t="s">
        <v>239</v>
      </c>
      <c r="M3578" s="47" t="s">
        <v>1135</v>
      </c>
      <c r="AC3578" s="2"/>
      <c r="AD3578" s="2"/>
      <c r="AE3578" s="2"/>
      <c r="AF3578" s="2"/>
      <c r="AG3578" s="2"/>
      <c r="AH3578" s="2"/>
      <c r="AI3578"/>
    </row>
    <row r="3579" spans="1:35" ht="15" customHeight="1">
      <c r="A3579" s="47">
        <v>2221</v>
      </c>
      <c r="B3579" s="2">
        <v>4633</v>
      </c>
      <c r="C3579" t="s">
        <v>914</v>
      </c>
      <c r="D3579" s="2" t="s">
        <v>1127</v>
      </c>
      <c r="E3579" s="47" t="s">
        <v>1126</v>
      </c>
      <c r="F3579" t="s">
        <v>185</v>
      </c>
      <c r="H3579" t="s">
        <v>47</v>
      </c>
      <c r="I3579" t="s">
        <v>30</v>
      </c>
      <c r="J3579" t="s">
        <v>35</v>
      </c>
      <c r="K3579"/>
      <c r="L3579" s="47" t="s">
        <v>314</v>
      </c>
      <c r="M3579" s="47" t="s">
        <v>1136</v>
      </c>
      <c r="AC3579" s="2"/>
      <c r="AD3579" s="2"/>
      <c r="AE3579" s="2"/>
      <c r="AF3579" s="2"/>
      <c r="AG3579" s="2"/>
      <c r="AH3579" s="2"/>
      <c r="AI3579"/>
    </row>
    <row r="3580" spans="1:35" ht="15" customHeight="1">
      <c r="A3580" s="47">
        <v>2222</v>
      </c>
      <c r="B3580" s="2">
        <v>4634</v>
      </c>
      <c r="C3580" t="s">
        <v>914</v>
      </c>
      <c r="D3580" s="47" t="s">
        <v>1134</v>
      </c>
      <c r="E3580" s="2" t="s">
        <v>1125</v>
      </c>
      <c r="F3580" t="s">
        <v>185</v>
      </c>
      <c r="G3580"/>
      <c r="H3580" t="s">
        <v>47</v>
      </c>
      <c r="I3580" t="s">
        <v>30</v>
      </c>
      <c r="J3580" t="s">
        <v>35</v>
      </c>
      <c r="K3580"/>
      <c r="L3580" s="47" t="s">
        <v>180</v>
      </c>
      <c r="M3580" s="47" t="s">
        <v>1135</v>
      </c>
      <c r="AC3580" s="2"/>
      <c r="AD3580" s="2"/>
      <c r="AE3580" s="2"/>
      <c r="AF3580" s="2"/>
      <c r="AG3580" s="2"/>
      <c r="AH3580" s="2"/>
      <c r="AI3580"/>
    </row>
    <row r="3581" spans="1:35" ht="15" customHeight="1">
      <c r="A3581" s="47">
        <v>2222</v>
      </c>
      <c r="B3581" s="2">
        <v>4635</v>
      </c>
      <c r="C3581" t="s">
        <v>914</v>
      </c>
      <c r="D3581" s="47" t="s">
        <v>1130</v>
      </c>
      <c r="E3581" s="47" t="s">
        <v>1128</v>
      </c>
      <c r="F3581" t="s">
        <v>185</v>
      </c>
      <c r="H3581" t="s">
        <v>47</v>
      </c>
      <c r="I3581" t="s">
        <v>30</v>
      </c>
      <c r="J3581" t="s">
        <v>35</v>
      </c>
      <c r="K3581"/>
      <c r="L3581" s="47" t="s">
        <v>180</v>
      </c>
      <c r="M3581" s="47" t="s">
        <v>197</v>
      </c>
      <c r="AC3581" s="2"/>
      <c r="AD3581" s="2"/>
      <c r="AE3581" s="2"/>
      <c r="AF3581" s="2"/>
      <c r="AG3581" s="2"/>
      <c r="AH3581" s="2"/>
      <c r="AI3581"/>
    </row>
    <row r="3582" spans="1:35" ht="15" customHeight="1">
      <c r="A3582" s="47">
        <v>2222</v>
      </c>
      <c r="B3582" s="2">
        <v>4636</v>
      </c>
      <c r="C3582" t="s">
        <v>914</v>
      </c>
      <c r="D3582" s="47" t="s">
        <v>1131</v>
      </c>
      <c r="E3582" s="47" t="s">
        <v>1129</v>
      </c>
      <c r="F3582" t="s">
        <v>185</v>
      </c>
      <c r="H3582" t="s">
        <v>47</v>
      </c>
      <c r="I3582" t="s">
        <v>30</v>
      </c>
      <c r="J3582" t="s">
        <v>35</v>
      </c>
      <c r="K3582"/>
      <c r="L3582" s="47" t="s">
        <v>239</v>
      </c>
      <c r="M3582" s="47" t="s">
        <v>1135</v>
      </c>
      <c r="AC3582" s="2"/>
      <c r="AD3582" s="2"/>
      <c r="AE3582" s="2"/>
      <c r="AF3582" s="2"/>
      <c r="AG3582" s="2"/>
      <c r="AH3582" s="2"/>
      <c r="AI3582"/>
    </row>
    <row r="3583" spans="1:35" ht="15" customHeight="1">
      <c r="A3583" s="47">
        <v>2222</v>
      </c>
      <c r="B3583" s="2">
        <v>4637</v>
      </c>
      <c r="C3583" t="s">
        <v>914</v>
      </c>
      <c r="D3583" s="47" t="s">
        <v>1132</v>
      </c>
      <c r="E3583" s="47" t="s">
        <v>1129</v>
      </c>
      <c r="F3583" t="s">
        <v>185</v>
      </c>
      <c r="H3583" t="s">
        <v>47</v>
      </c>
      <c r="I3583" t="s">
        <v>30</v>
      </c>
      <c r="J3583" t="s">
        <v>35</v>
      </c>
      <c r="K3583"/>
      <c r="L3583" s="47" t="s">
        <v>239</v>
      </c>
      <c r="M3583" s="47" t="s">
        <v>1135</v>
      </c>
      <c r="AC3583" s="2"/>
      <c r="AD3583" s="2"/>
      <c r="AE3583" s="2"/>
      <c r="AF3583" s="2"/>
      <c r="AG3583" s="2"/>
      <c r="AH3583" s="2"/>
      <c r="AI3583"/>
    </row>
    <row r="3584" spans="1:35" ht="15" customHeight="1">
      <c r="A3584" s="47">
        <v>2222</v>
      </c>
      <c r="B3584" s="2">
        <v>4638</v>
      </c>
      <c r="C3584" t="s">
        <v>914</v>
      </c>
      <c r="D3584" s="2" t="s">
        <v>1127</v>
      </c>
      <c r="E3584" s="47" t="s">
        <v>1126</v>
      </c>
      <c r="F3584" t="s">
        <v>185</v>
      </c>
      <c r="H3584" t="s">
        <v>47</v>
      </c>
      <c r="I3584" t="s">
        <v>30</v>
      </c>
      <c r="J3584" t="s">
        <v>35</v>
      </c>
      <c r="K3584"/>
      <c r="L3584" s="47" t="s">
        <v>314</v>
      </c>
      <c r="M3584" s="47" t="s">
        <v>1136</v>
      </c>
      <c r="AC3584" s="2"/>
      <c r="AD3584" s="2"/>
      <c r="AE3584" s="2"/>
      <c r="AF3584" s="2"/>
      <c r="AG3584" s="2"/>
      <c r="AH3584" s="2"/>
      <c r="AI3584"/>
    </row>
    <row r="3585" spans="1:35" ht="15" customHeight="1">
      <c r="A3585" s="47">
        <v>2223</v>
      </c>
      <c r="B3585" s="2">
        <v>4639</v>
      </c>
      <c r="C3585" t="s">
        <v>914</v>
      </c>
      <c r="D3585" s="47" t="s">
        <v>1134</v>
      </c>
      <c r="E3585" s="2" t="s">
        <v>1125</v>
      </c>
      <c r="F3585" t="s">
        <v>185</v>
      </c>
      <c r="G3585"/>
      <c r="H3585" t="s">
        <v>47</v>
      </c>
      <c r="I3585" t="s">
        <v>30</v>
      </c>
      <c r="J3585" t="s">
        <v>35</v>
      </c>
      <c r="K3585"/>
      <c r="L3585" s="47" t="s">
        <v>180</v>
      </c>
      <c r="M3585" s="47" t="s">
        <v>1135</v>
      </c>
      <c r="AC3585" s="2"/>
      <c r="AD3585" s="2"/>
      <c r="AE3585" s="2"/>
      <c r="AF3585" s="2"/>
      <c r="AG3585" s="2"/>
      <c r="AH3585" s="2"/>
      <c r="AI3585"/>
    </row>
    <row r="3586" spans="1:35" ht="15" customHeight="1">
      <c r="A3586" s="47">
        <v>2223</v>
      </c>
      <c r="B3586" s="2">
        <v>4640</v>
      </c>
      <c r="C3586" t="s">
        <v>914</v>
      </c>
      <c r="D3586" s="47" t="s">
        <v>1130</v>
      </c>
      <c r="E3586" s="47" t="s">
        <v>1128</v>
      </c>
      <c r="F3586" t="s">
        <v>185</v>
      </c>
      <c r="H3586" t="s">
        <v>47</v>
      </c>
      <c r="I3586" t="s">
        <v>30</v>
      </c>
      <c r="J3586" t="s">
        <v>35</v>
      </c>
      <c r="K3586"/>
      <c r="L3586" s="47" t="s">
        <v>180</v>
      </c>
      <c r="M3586" s="47" t="s">
        <v>197</v>
      </c>
      <c r="AC3586" s="2"/>
      <c r="AD3586" s="2"/>
      <c r="AE3586" s="2"/>
      <c r="AF3586" s="2"/>
      <c r="AG3586" s="2"/>
      <c r="AH3586" s="2"/>
      <c r="AI3586"/>
    </row>
    <row r="3587" spans="1:35" ht="15" customHeight="1">
      <c r="A3587" s="47">
        <v>2223</v>
      </c>
      <c r="B3587" s="2">
        <v>4641</v>
      </c>
      <c r="C3587" t="s">
        <v>914</v>
      </c>
      <c r="D3587" s="47" t="s">
        <v>1131</v>
      </c>
      <c r="E3587" s="47" t="s">
        <v>1129</v>
      </c>
      <c r="F3587" t="s">
        <v>185</v>
      </c>
      <c r="H3587" t="s">
        <v>47</v>
      </c>
      <c r="I3587" t="s">
        <v>30</v>
      </c>
      <c r="J3587" t="s">
        <v>35</v>
      </c>
      <c r="K3587"/>
      <c r="L3587" s="47" t="s">
        <v>239</v>
      </c>
      <c r="M3587" s="47" t="s">
        <v>1135</v>
      </c>
    </row>
    <row r="3588" spans="1:35" ht="15" customHeight="1">
      <c r="A3588" s="47">
        <v>2223</v>
      </c>
      <c r="B3588" s="2">
        <v>4642</v>
      </c>
      <c r="C3588" t="s">
        <v>914</v>
      </c>
      <c r="D3588" s="47" t="s">
        <v>1132</v>
      </c>
      <c r="E3588" s="47" t="s">
        <v>1129</v>
      </c>
      <c r="F3588" t="s">
        <v>185</v>
      </c>
      <c r="H3588" t="s">
        <v>47</v>
      </c>
      <c r="I3588" t="s">
        <v>30</v>
      </c>
      <c r="J3588" t="s">
        <v>35</v>
      </c>
      <c r="K3588"/>
      <c r="L3588" s="47" t="s">
        <v>239</v>
      </c>
      <c r="M3588" s="47" t="s">
        <v>1135</v>
      </c>
    </row>
    <row r="3589" spans="1:35" ht="15" customHeight="1">
      <c r="A3589" s="47">
        <v>2223</v>
      </c>
      <c r="B3589" s="2">
        <v>4643</v>
      </c>
      <c r="C3589" t="s">
        <v>914</v>
      </c>
      <c r="D3589" s="2" t="s">
        <v>1127</v>
      </c>
      <c r="E3589" s="47" t="s">
        <v>1126</v>
      </c>
      <c r="F3589" t="s">
        <v>185</v>
      </c>
      <c r="H3589" t="s">
        <v>47</v>
      </c>
      <c r="I3589" t="s">
        <v>30</v>
      </c>
      <c r="J3589" t="s">
        <v>35</v>
      </c>
      <c r="K3589"/>
      <c r="L3589" s="47" t="s">
        <v>314</v>
      </c>
      <c r="M3589" s="47" t="s">
        <v>1136</v>
      </c>
    </row>
    <row r="3590" spans="1:35" ht="15" customHeight="1">
      <c r="A3590" s="47">
        <v>2224</v>
      </c>
      <c r="B3590" s="2">
        <v>4644</v>
      </c>
      <c r="C3590" t="s">
        <v>914</v>
      </c>
      <c r="D3590" s="47" t="s">
        <v>1134</v>
      </c>
      <c r="E3590" s="2" t="s">
        <v>1125</v>
      </c>
      <c r="F3590" t="s">
        <v>185</v>
      </c>
      <c r="G3590"/>
      <c r="H3590" t="s">
        <v>47</v>
      </c>
      <c r="I3590" t="s">
        <v>30</v>
      </c>
      <c r="J3590" t="s">
        <v>35</v>
      </c>
      <c r="K3590"/>
      <c r="L3590" s="47" t="s">
        <v>180</v>
      </c>
      <c r="M3590" s="47" t="s">
        <v>1135</v>
      </c>
    </row>
    <row r="3591" spans="1:35" ht="15" customHeight="1">
      <c r="A3591" s="47">
        <v>2224</v>
      </c>
      <c r="B3591" s="2">
        <v>4645</v>
      </c>
      <c r="C3591" t="s">
        <v>914</v>
      </c>
      <c r="D3591" s="47" t="s">
        <v>1130</v>
      </c>
      <c r="E3591" s="47" t="s">
        <v>1128</v>
      </c>
      <c r="F3591" t="s">
        <v>185</v>
      </c>
      <c r="H3591" t="s">
        <v>47</v>
      </c>
      <c r="I3591" t="s">
        <v>30</v>
      </c>
      <c r="J3591" t="s">
        <v>35</v>
      </c>
      <c r="K3591"/>
      <c r="L3591" s="47" t="s">
        <v>180</v>
      </c>
      <c r="M3591" s="47" t="s">
        <v>197</v>
      </c>
    </row>
    <row r="3592" spans="1:35" ht="15" customHeight="1">
      <c r="A3592" s="47">
        <v>2224</v>
      </c>
      <c r="B3592" s="2">
        <v>4646</v>
      </c>
      <c r="C3592" t="s">
        <v>914</v>
      </c>
      <c r="D3592" s="47" t="s">
        <v>1131</v>
      </c>
      <c r="E3592" s="47" t="s">
        <v>1129</v>
      </c>
      <c r="F3592" t="s">
        <v>185</v>
      </c>
      <c r="H3592" t="s">
        <v>47</v>
      </c>
      <c r="I3592" t="s">
        <v>30</v>
      </c>
      <c r="J3592" t="s">
        <v>35</v>
      </c>
      <c r="K3592"/>
      <c r="L3592" s="47" t="s">
        <v>239</v>
      </c>
      <c r="M3592" s="47" t="s">
        <v>1135</v>
      </c>
    </row>
    <row r="3593" spans="1:35" ht="15" customHeight="1">
      <c r="A3593" s="47">
        <v>2224</v>
      </c>
      <c r="B3593" s="2">
        <v>4647</v>
      </c>
      <c r="C3593" t="s">
        <v>914</v>
      </c>
      <c r="D3593" s="47" t="s">
        <v>1132</v>
      </c>
      <c r="E3593" s="47" t="s">
        <v>1129</v>
      </c>
      <c r="F3593" t="s">
        <v>185</v>
      </c>
      <c r="H3593" t="s">
        <v>47</v>
      </c>
      <c r="I3593" t="s">
        <v>30</v>
      </c>
      <c r="J3593" t="s">
        <v>35</v>
      </c>
      <c r="K3593"/>
      <c r="L3593" s="47" t="s">
        <v>239</v>
      </c>
      <c r="M3593" s="47" t="s">
        <v>1135</v>
      </c>
    </row>
    <row r="3594" spans="1:35" ht="15" customHeight="1">
      <c r="A3594" s="47">
        <v>2224</v>
      </c>
      <c r="B3594" s="2">
        <v>4648</v>
      </c>
      <c r="C3594" t="s">
        <v>914</v>
      </c>
      <c r="D3594" s="2" t="s">
        <v>1127</v>
      </c>
      <c r="E3594" s="47" t="s">
        <v>1126</v>
      </c>
      <c r="F3594" t="s">
        <v>185</v>
      </c>
      <c r="H3594" t="s">
        <v>47</v>
      </c>
      <c r="I3594" t="s">
        <v>30</v>
      </c>
      <c r="J3594" t="s">
        <v>35</v>
      </c>
      <c r="K3594"/>
      <c r="L3594" s="47" t="s">
        <v>314</v>
      </c>
      <c r="M3594" s="47" t="s">
        <v>1136</v>
      </c>
    </row>
    <row r="3595" spans="1:35" ht="15" customHeight="1">
      <c r="A3595" s="47">
        <v>2225</v>
      </c>
      <c r="B3595" s="2">
        <v>4649</v>
      </c>
      <c r="C3595" t="s">
        <v>914</v>
      </c>
      <c r="D3595" s="47" t="s">
        <v>1134</v>
      </c>
      <c r="E3595" s="2" t="s">
        <v>1125</v>
      </c>
      <c r="F3595" t="s">
        <v>185</v>
      </c>
      <c r="G3595"/>
      <c r="H3595" t="s">
        <v>47</v>
      </c>
      <c r="I3595" t="s">
        <v>30</v>
      </c>
      <c r="J3595" t="s">
        <v>35</v>
      </c>
      <c r="K3595"/>
      <c r="L3595" s="47" t="s">
        <v>180</v>
      </c>
      <c r="M3595" s="47" t="s">
        <v>1135</v>
      </c>
    </row>
    <row r="3596" spans="1:35" ht="15" customHeight="1">
      <c r="A3596" s="47">
        <v>2225</v>
      </c>
      <c r="B3596" s="2">
        <v>4650</v>
      </c>
      <c r="C3596" t="s">
        <v>914</v>
      </c>
      <c r="D3596" s="47" t="s">
        <v>1130</v>
      </c>
      <c r="E3596" s="47" t="s">
        <v>1128</v>
      </c>
      <c r="F3596" t="s">
        <v>185</v>
      </c>
      <c r="H3596" t="s">
        <v>47</v>
      </c>
      <c r="I3596" t="s">
        <v>30</v>
      </c>
      <c r="J3596" t="s">
        <v>35</v>
      </c>
      <c r="K3596"/>
      <c r="L3596" s="47" t="s">
        <v>180</v>
      </c>
      <c r="M3596" s="47" t="s">
        <v>197</v>
      </c>
    </row>
    <row r="3597" spans="1:35" ht="15" customHeight="1">
      <c r="A3597" s="47">
        <v>2225</v>
      </c>
      <c r="B3597" s="2">
        <v>4651</v>
      </c>
      <c r="C3597" t="s">
        <v>914</v>
      </c>
      <c r="D3597" s="47" t="s">
        <v>1131</v>
      </c>
      <c r="E3597" s="47" t="s">
        <v>1129</v>
      </c>
      <c r="F3597" t="s">
        <v>185</v>
      </c>
      <c r="H3597" t="s">
        <v>47</v>
      </c>
      <c r="I3597" t="s">
        <v>30</v>
      </c>
      <c r="J3597" t="s">
        <v>35</v>
      </c>
      <c r="K3597"/>
      <c r="L3597" s="47" t="s">
        <v>239</v>
      </c>
      <c r="M3597" s="47" t="s">
        <v>1135</v>
      </c>
    </row>
    <row r="3598" spans="1:35" ht="15" customHeight="1">
      <c r="A3598" s="47">
        <v>2225</v>
      </c>
      <c r="B3598" s="2">
        <v>4652</v>
      </c>
      <c r="C3598" t="s">
        <v>914</v>
      </c>
      <c r="D3598" s="47" t="s">
        <v>1132</v>
      </c>
      <c r="E3598" s="47" t="s">
        <v>1129</v>
      </c>
      <c r="F3598" t="s">
        <v>185</v>
      </c>
      <c r="H3598" t="s">
        <v>47</v>
      </c>
      <c r="I3598" t="s">
        <v>30</v>
      </c>
      <c r="J3598" t="s">
        <v>35</v>
      </c>
      <c r="K3598"/>
      <c r="L3598" s="47" t="s">
        <v>239</v>
      </c>
      <c r="M3598" s="47" t="s">
        <v>1135</v>
      </c>
    </row>
    <row r="3599" spans="1:35" ht="15" customHeight="1">
      <c r="A3599" s="47">
        <v>2225</v>
      </c>
      <c r="B3599" s="2">
        <v>4653</v>
      </c>
      <c r="C3599" t="s">
        <v>914</v>
      </c>
      <c r="D3599" s="2" t="s">
        <v>1127</v>
      </c>
      <c r="E3599" s="47" t="s">
        <v>1126</v>
      </c>
      <c r="F3599" t="s">
        <v>185</v>
      </c>
      <c r="H3599" t="s">
        <v>47</v>
      </c>
      <c r="I3599" t="s">
        <v>30</v>
      </c>
      <c r="J3599" t="s">
        <v>35</v>
      </c>
      <c r="K3599"/>
      <c r="L3599" s="47" t="s">
        <v>314</v>
      </c>
      <c r="M3599" s="47" t="s">
        <v>1136</v>
      </c>
    </row>
    <row r="3600" spans="1:35" ht="15" customHeight="1">
      <c r="A3600" s="47">
        <v>3150</v>
      </c>
      <c r="B3600" s="2">
        <v>4654</v>
      </c>
      <c r="C3600" t="s">
        <v>939</v>
      </c>
      <c r="D3600" s="47" t="s">
        <v>1134</v>
      </c>
      <c r="E3600" s="2" t="s">
        <v>1125</v>
      </c>
      <c r="F3600" t="s">
        <v>185</v>
      </c>
      <c r="G3600"/>
      <c r="H3600" t="s">
        <v>47</v>
      </c>
      <c r="I3600" t="s">
        <v>30</v>
      </c>
      <c r="J3600" t="s">
        <v>35</v>
      </c>
      <c r="K3600"/>
      <c r="L3600" s="47" t="s">
        <v>180</v>
      </c>
      <c r="M3600" s="47" t="s">
        <v>1135</v>
      </c>
    </row>
    <row r="3601" spans="1:13" ht="15" customHeight="1">
      <c r="A3601" s="47">
        <v>3150</v>
      </c>
      <c r="B3601" s="2">
        <v>4655</v>
      </c>
      <c r="C3601" t="s">
        <v>939</v>
      </c>
      <c r="D3601" s="47" t="s">
        <v>1130</v>
      </c>
      <c r="E3601" s="47" t="s">
        <v>1128</v>
      </c>
      <c r="F3601" t="s">
        <v>185</v>
      </c>
      <c r="H3601" t="s">
        <v>47</v>
      </c>
      <c r="I3601" t="s">
        <v>30</v>
      </c>
      <c r="J3601" t="s">
        <v>35</v>
      </c>
      <c r="K3601"/>
      <c r="L3601" s="47" t="s">
        <v>180</v>
      </c>
      <c r="M3601" s="47" t="s">
        <v>197</v>
      </c>
    </row>
    <row r="3602" spans="1:13" ht="15" customHeight="1">
      <c r="A3602" s="47">
        <v>3150</v>
      </c>
      <c r="B3602" s="2">
        <v>4656</v>
      </c>
      <c r="C3602" t="s">
        <v>939</v>
      </c>
      <c r="D3602" s="47" t="s">
        <v>1131</v>
      </c>
      <c r="E3602" s="47" t="s">
        <v>1129</v>
      </c>
      <c r="F3602" t="s">
        <v>185</v>
      </c>
      <c r="H3602" t="s">
        <v>47</v>
      </c>
      <c r="I3602" t="s">
        <v>30</v>
      </c>
      <c r="J3602" t="s">
        <v>35</v>
      </c>
      <c r="K3602"/>
      <c r="L3602" s="47" t="s">
        <v>239</v>
      </c>
      <c r="M3602" s="47" t="s">
        <v>1135</v>
      </c>
    </row>
    <row r="3603" spans="1:13" ht="15" customHeight="1">
      <c r="A3603" s="47">
        <v>3150</v>
      </c>
      <c r="B3603" s="2">
        <v>4657</v>
      </c>
      <c r="C3603" t="s">
        <v>939</v>
      </c>
      <c r="D3603" s="47" t="s">
        <v>1132</v>
      </c>
      <c r="E3603" s="47" t="s">
        <v>1129</v>
      </c>
      <c r="F3603" t="s">
        <v>185</v>
      </c>
      <c r="H3603" t="s">
        <v>47</v>
      </c>
      <c r="I3603" t="s">
        <v>30</v>
      </c>
      <c r="J3603" t="s">
        <v>35</v>
      </c>
      <c r="K3603"/>
      <c r="L3603" s="47" t="s">
        <v>239</v>
      </c>
      <c r="M3603" s="47" t="s">
        <v>1135</v>
      </c>
    </row>
    <row r="3604" spans="1:13" ht="15" customHeight="1">
      <c r="A3604" s="47">
        <v>3150</v>
      </c>
      <c r="B3604" s="2">
        <v>4658</v>
      </c>
      <c r="C3604" t="s">
        <v>939</v>
      </c>
      <c r="D3604" s="2" t="s">
        <v>1127</v>
      </c>
      <c r="E3604" s="47" t="s">
        <v>1126</v>
      </c>
      <c r="F3604" t="s">
        <v>185</v>
      </c>
      <c r="H3604" t="s">
        <v>47</v>
      </c>
      <c r="I3604" t="s">
        <v>30</v>
      </c>
      <c r="J3604" t="s">
        <v>35</v>
      </c>
      <c r="K3604"/>
      <c r="L3604" s="47" t="s">
        <v>314</v>
      </c>
      <c r="M3604" s="47" t="s">
        <v>1136</v>
      </c>
    </row>
    <row r="3605" spans="1:13" ht="15" customHeight="1">
      <c r="A3605" s="47">
        <v>3151</v>
      </c>
      <c r="B3605" s="2">
        <v>4659</v>
      </c>
      <c r="C3605" t="s">
        <v>939</v>
      </c>
      <c r="D3605" s="47" t="s">
        <v>1134</v>
      </c>
      <c r="E3605" s="2" t="s">
        <v>1125</v>
      </c>
      <c r="F3605" t="s">
        <v>185</v>
      </c>
      <c r="G3605"/>
      <c r="H3605" t="s">
        <v>47</v>
      </c>
      <c r="I3605" t="s">
        <v>30</v>
      </c>
      <c r="J3605" t="s">
        <v>35</v>
      </c>
      <c r="K3605"/>
      <c r="L3605" s="47" t="s">
        <v>180</v>
      </c>
      <c r="M3605" s="47" t="s">
        <v>1135</v>
      </c>
    </row>
    <row r="3606" spans="1:13" ht="15" customHeight="1">
      <c r="A3606" s="47">
        <v>3151</v>
      </c>
      <c r="B3606" s="2">
        <v>4660</v>
      </c>
      <c r="C3606" t="s">
        <v>939</v>
      </c>
      <c r="D3606" s="47" t="s">
        <v>1130</v>
      </c>
      <c r="E3606" s="47" t="s">
        <v>1128</v>
      </c>
      <c r="F3606" t="s">
        <v>185</v>
      </c>
      <c r="H3606" t="s">
        <v>47</v>
      </c>
      <c r="I3606" t="s">
        <v>30</v>
      </c>
      <c r="J3606" t="s">
        <v>35</v>
      </c>
      <c r="K3606"/>
      <c r="L3606" s="47" t="s">
        <v>180</v>
      </c>
      <c r="M3606" s="47" t="s">
        <v>197</v>
      </c>
    </row>
    <row r="3607" spans="1:13" ht="15" customHeight="1">
      <c r="A3607" s="47">
        <v>3151</v>
      </c>
      <c r="B3607" s="2">
        <v>4661</v>
      </c>
      <c r="C3607" t="s">
        <v>939</v>
      </c>
      <c r="D3607" s="47" t="s">
        <v>1131</v>
      </c>
      <c r="E3607" s="47" t="s">
        <v>1129</v>
      </c>
      <c r="F3607" t="s">
        <v>185</v>
      </c>
      <c r="H3607" t="s">
        <v>47</v>
      </c>
      <c r="I3607" t="s">
        <v>30</v>
      </c>
      <c r="J3607" t="s">
        <v>35</v>
      </c>
      <c r="K3607"/>
      <c r="L3607" s="47" t="s">
        <v>239</v>
      </c>
      <c r="M3607" s="47" t="s">
        <v>1135</v>
      </c>
    </row>
    <row r="3608" spans="1:13" ht="15" customHeight="1">
      <c r="A3608" s="47">
        <v>3151</v>
      </c>
      <c r="B3608" s="2">
        <v>4662</v>
      </c>
      <c r="C3608" t="s">
        <v>939</v>
      </c>
      <c r="D3608" s="47" t="s">
        <v>1132</v>
      </c>
      <c r="E3608" s="47" t="s">
        <v>1129</v>
      </c>
      <c r="F3608" t="s">
        <v>185</v>
      </c>
      <c r="H3608" t="s">
        <v>47</v>
      </c>
      <c r="I3608" t="s">
        <v>30</v>
      </c>
      <c r="J3608" t="s">
        <v>35</v>
      </c>
      <c r="K3608"/>
      <c r="L3608" s="47" t="s">
        <v>239</v>
      </c>
      <c r="M3608" s="47" t="s">
        <v>1135</v>
      </c>
    </row>
    <row r="3609" spans="1:13" ht="15" customHeight="1">
      <c r="A3609" s="47">
        <v>3151</v>
      </c>
      <c r="B3609" s="2">
        <v>4663</v>
      </c>
      <c r="C3609" t="s">
        <v>939</v>
      </c>
      <c r="D3609" s="2" t="s">
        <v>1127</v>
      </c>
      <c r="E3609" s="47" t="s">
        <v>1126</v>
      </c>
      <c r="F3609" t="s">
        <v>185</v>
      </c>
      <c r="H3609" t="s">
        <v>47</v>
      </c>
      <c r="I3609" t="s">
        <v>30</v>
      </c>
      <c r="J3609" t="s">
        <v>35</v>
      </c>
      <c r="K3609"/>
      <c r="L3609" s="47" t="s">
        <v>314</v>
      </c>
      <c r="M3609" s="47" t="s">
        <v>1136</v>
      </c>
    </row>
    <row r="3610" spans="1:13" ht="15" customHeight="1">
      <c r="A3610" s="47">
        <v>3152</v>
      </c>
      <c r="B3610" s="2">
        <v>4664</v>
      </c>
      <c r="C3610" t="s">
        <v>939</v>
      </c>
      <c r="D3610" s="47" t="s">
        <v>1134</v>
      </c>
      <c r="E3610" s="2" t="s">
        <v>1125</v>
      </c>
      <c r="F3610" t="s">
        <v>185</v>
      </c>
      <c r="G3610"/>
      <c r="H3610" t="s">
        <v>47</v>
      </c>
      <c r="I3610" t="s">
        <v>30</v>
      </c>
      <c r="J3610" t="s">
        <v>35</v>
      </c>
      <c r="K3610"/>
      <c r="L3610" s="47" t="s">
        <v>180</v>
      </c>
      <c r="M3610" s="47" t="s">
        <v>1135</v>
      </c>
    </row>
    <row r="3611" spans="1:13" ht="15" customHeight="1">
      <c r="A3611" s="47">
        <v>3152</v>
      </c>
      <c r="B3611" s="2">
        <v>4665</v>
      </c>
      <c r="C3611" t="s">
        <v>939</v>
      </c>
      <c r="D3611" s="47" t="s">
        <v>1130</v>
      </c>
      <c r="E3611" s="47" t="s">
        <v>1128</v>
      </c>
      <c r="F3611" t="s">
        <v>185</v>
      </c>
      <c r="H3611" t="s">
        <v>47</v>
      </c>
      <c r="I3611" t="s">
        <v>30</v>
      </c>
      <c r="J3611" t="s">
        <v>35</v>
      </c>
      <c r="K3611"/>
      <c r="L3611" s="47" t="s">
        <v>180</v>
      </c>
      <c r="M3611" s="47" t="s">
        <v>197</v>
      </c>
    </row>
    <row r="3612" spans="1:13" ht="15" customHeight="1">
      <c r="A3612" s="47">
        <v>3152</v>
      </c>
      <c r="B3612" s="2">
        <v>4666</v>
      </c>
      <c r="C3612" t="s">
        <v>939</v>
      </c>
      <c r="D3612" s="47" t="s">
        <v>1131</v>
      </c>
      <c r="E3612" s="47" t="s">
        <v>1129</v>
      </c>
      <c r="F3612" t="s">
        <v>185</v>
      </c>
      <c r="H3612" t="s">
        <v>47</v>
      </c>
      <c r="I3612" t="s">
        <v>30</v>
      </c>
      <c r="J3612" t="s">
        <v>35</v>
      </c>
      <c r="K3612"/>
      <c r="L3612" s="47" t="s">
        <v>239</v>
      </c>
      <c r="M3612" s="47" t="s">
        <v>1135</v>
      </c>
    </row>
    <row r="3613" spans="1:13" ht="15" customHeight="1">
      <c r="A3613" s="47">
        <v>3152</v>
      </c>
      <c r="B3613" s="2">
        <v>4667</v>
      </c>
      <c r="C3613" t="s">
        <v>939</v>
      </c>
      <c r="D3613" s="47" t="s">
        <v>1132</v>
      </c>
      <c r="E3613" s="47" t="s">
        <v>1129</v>
      </c>
      <c r="F3613" t="s">
        <v>185</v>
      </c>
      <c r="H3613" t="s">
        <v>47</v>
      </c>
      <c r="I3613" t="s">
        <v>30</v>
      </c>
      <c r="J3613" t="s">
        <v>35</v>
      </c>
      <c r="K3613"/>
      <c r="L3613" s="47" t="s">
        <v>239</v>
      </c>
      <c r="M3613" s="47" t="s">
        <v>1135</v>
      </c>
    </row>
    <row r="3614" spans="1:13" ht="15" customHeight="1">
      <c r="A3614" s="47">
        <v>3152</v>
      </c>
      <c r="B3614" s="2">
        <v>4668</v>
      </c>
      <c r="C3614" t="s">
        <v>939</v>
      </c>
      <c r="D3614" s="2" t="s">
        <v>1127</v>
      </c>
      <c r="E3614" s="47" t="s">
        <v>1126</v>
      </c>
      <c r="F3614" t="s">
        <v>185</v>
      </c>
      <c r="H3614" t="s">
        <v>47</v>
      </c>
      <c r="I3614" t="s">
        <v>30</v>
      </c>
      <c r="J3614" t="s">
        <v>35</v>
      </c>
      <c r="K3614"/>
      <c r="L3614" s="47" t="s">
        <v>314</v>
      </c>
      <c r="M3614" s="47" t="s">
        <v>1136</v>
      </c>
    </row>
    <row r="3615" spans="1:13" ht="15" customHeight="1">
      <c r="A3615" s="47">
        <v>3153</v>
      </c>
      <c r="B3615" s="2">
        <v>4669</v>
      </c>
      <c r="C3615" t="s">
        <v>939</v>
      </c>
      <c r="D3615" s="47" t="s">
        <v>1134</v>
      </c>
      <c r="E3615" s="2" t="s">
        <v>1125</v>
      </c>
      <c r="F3615" t="s">
        <v>185</v>
      </c>
      <c r="G3615"/>
      <c r="H3615" t="s">
        <v>47</v>
      </c>
      <c r="I3615" t="s">
        <v>30</v>
      </c>
      <c r="J3615" t="s">
        <v>35</v>
      </c>
      <c r="K3615"/>
      <c r="L3615" s="47" t="s">
        <v>180</v>
      </c>
      <c r="M3615" s="47" t="s">
        <v>1135</v>
      </c>
    </row>
    <row r="3616" spans="1:13" ht="15" customHeight="1">
      <c r="A3616" s="47">
        <v>3153</v>
      </c>
      <c r="B3616" s="2">
        <v>4670</v>
      </c>
      <c r="C3616" t="s">
        <v>939</v>
      </c>
      <c r="D3616" s="47" t="s">
        <v>1130</v>
      </c>
      <c r="E3616" s="47" t="s">
        <v>1128</v>
      </c>
      <c r="F3616" t="s">
        <v>185</v>
      </c>
      <c r="H3616" t="s">
        <v>47</v>
      </c>
      <c r="I3616" t="s">
        <v>30</v>
      </c>
      <c r="J3616" t="s">
        <v>35</v>
      </c>
      <c r="K3616"/>
      <c r="L3616" s="47" t="s">
        <v>180</v>
      </c>
      <c r="M3616" s="47" t="s">
        <v>197</v>
      </c>
    </row>
    <row r="3617" spans="1:13" ht="15" customHeight="1">
      <c r="A3617" s="47">
        <v>3153</v>
      </c>
      <c r="B3617" s="2">
        <v>4671</v>
      </c>
      <c r="C3617" t="s">
        <v>939</v>
      </c>
      <c r="D3617" s="47" t="s">
        <v>1131</v>
      </c>
      <c r="E3617" s="47" t="s">
        <v>1129</v>
      </c>
      <c r="F3617" t="s">
        <v>185</v>
      </c>
      <c r="H3617" t="s">
        <v>47</v>
      </c>
      <c r="I3617" t="s">
        <v>30</v>
      </c>
      <c r="J3617" t="s">
        <v>35</v>
      </c>
      <c r="K3617"/>
      <c r="L3617" s="47" t="s">
        <v>239</v>
      </c>
      <c r="M3617" s="47" t="s">
        <v>1135</v>
      </c>
    </row>
    <row r="3618" spans="1:13" ht="15" customHeight="1">
      <c r="A3618" s="47">
        <v>3153</v>
      </c>
      <c r="B3618" s="2">
        <v>4672</v>
      </c>
      <c r="C3618" t="s">
        <v>939</v>
      </c>
      <c r="D3618" s="47" t="s">
        <v>1132</v>
      </c>
      <c r="E3618" s="47" t="s">
        <v>1129</v>
      </c>
      <c r="F3618" t="s">
        <v>185</v>
      </c>
      <c r="H3618" t="s">
        <v>47</v>
      </c>
      <c r="I3618" t="s">
        <v>30</v>
      </c>
      <c r="J3618" t="s">
        <v>35</v>
      </c>
      <c r="K3618"/>
      <c r="L3618" s="47" t="s">
        <v>239</v>
      </c>
      <c r="M3618" s="47" t="s">
        <v>1135</v>
      </c>
    </row>
    <row r="3619" spans="1:13" ht="15" customHeight="1">
      <c r="A3619" s="47">
        <v>3153</v>
      </c>
      <c r="B3619" s="2">
        <v>4673</v>
      </c>
      <c r="C3619" t="s">
        <v>939</v>
      </c>
      <c r="D3619" s="2" t="s">
        <v>1127</v>
      </c>
      <c r="E3619" s="47" t="s">
        <v>1126</v>
      </c>
      <c r="F3619" t="s">
        <v>185</v>
      </c>
      <c r="H3619" t="s">
        <v>47</v>
      </c>
      <c r="I3619" t="s">
        <v>30</v>
      </c>
      <c r="J3619" t="s">
        <v>35</v>
      </c>
      <c r="K3619"/>
      <c r="L3619" s="47" t="s">
        <v>314</v>
      </c>
      <c r="M3619" s="47" t="s">
        <v>1136</v>
      </c>
    </row>
    <row r="3620" spans="1:13" ht="15" customHeight="1">
      <c r="A3620" s="47">
        <v>3154</v>
      </c>
      <c r="B3620" s="2">
        <v>4674</v>
      </c>
      <c r="C3620" t="s">
        <v>939</v>
      </c>
      <c r="D3620" s="47" t="s">
        <v>1134</v>
      </c>
      <c r="E3620" s="2" t="s">
        <v>1125</v>
      </c>
      <c r="F3620" t="s">
        <v>185</v>
      </c>
      <c r="G3620"/>
      <c r="H3620" t="s">
        <v>47</v>
      </c>
      <c r="I3620" t="s">
        <v>30</v>
      </c>
      <c r="J3620" t="s">
        <v>35</v>
      </c>
      <c r="K3620"/>
      <c r="L3620" s="47" t="s">
        <v>180</v>
      </c>
      <c r="M3620" s="47" t="s">
        <v>1135</v>
      </c>
    </row>
    <row r="3621" spans="1:13" ht="15" customHeight="1">
      <c r="A3621" s="47">
        <v>3154</v>
      </c>
      <c r="B3621" s="2">
        <v>4675</v>
      </c>
      <c r="C3621" t="s">
        <v>939</v>
      </c>
      <c r="D3621" s="47" t="s">
        <v>1130</v>
      </c>
      <c r="E3621" s="47" t="s">
        <v>1128</v>
      </c>
      <c r="F3621" t="s">
        <v>185</v>
      </c>
      <c r="H3621" t="s">
        <v>47</v>
      </c>
      <c r="I3621" t="s">
        <v>30</v>
      </c>
      <c r="J3621" t="s">
        <v>35</v>
      </c>
      <c r="K3621"/>
      <c r="L3621" s="47" t="s">
        <v>180</v>
      </c>
      <c r="M3621" s="47" t="s">
        <v>197</v>
      </c>
    </row>
    <row r="3622" spans="1:13" ht="15" customHeight="1">
      <c r="A3622" s="47">
        <v>3154</v>
      </c>
      <c r="B3622" s="2">
        <v>4676</v>
      </c>
      <c r="C3622" t="s">
        <v>939</v>
      </c>
      <c r="D3622" s="47" t="s">
        <v>1131</v>
      </c>
      <c r="E3622" s="47" t="s">
        <v>1129</v>
      </c>
      <c r="F3622" t="s">
        <v>185</v>
      </c>
      <c r="H3622" t="s">
        <v>47</v>
      </c>
      <c r="I3622" t="s">
        <v>30</v>
      </c>
      <c r="J3622" t="s">
        <v>35</v>
      </c>
      <c r="K3622"/>
      <c r="L3622" s="47" t="s">
        <v>239</v>
      </c>
      <c r="M3622" s="47" t="s">
        <v>1135</v>
      </c>
    </row>
    <row r="3623" spans="1:13" ht="15" customHeight="1">
      <c r="A3623" s="47">
        <v>3154</v>
      </c>
      <c r="B3623" s="2">
        <v>4677</v>
      </c>
      <c r="C3623" t="s">
        <v>939</v>
      </c>
      <c r="D3623" s="47" t="s">
        <v>1132</v>
      </c>
      <c r="E3623" s="47" t="s">
        <v>1129</v>
      </c>
      <c r="F3623" t="s">
        <v>185</v>
      </c>
      <c r="H3623" t="s">
        <v>47</v>
      </c>
      <c r="I3623" t="s">
        <v>30</v>
      </c>
      <c r="J3623" t="s">
        <v>35</v>
      </c>
      <c r="K3623"/>
      <c r="L3623" s="47" t="s">
        <v>239</v>
      </c>
      <c r="M3623" s="47" t="s">
        <v>1135</v>
      </c>
    </row>
    <row r="3624" spans="1:13" ht="15" customHeight="1">
      <c r="A3624" s="47">
        <v>3154</v>
      </c>
      <c r="B3624" s="2">
        <v>4678</v>
      </c>
      <c r="C3624" t="s">
        <v>939</v>
      </c>
      <c r="D3624" s="2" t="s">
        <v>1127</v>
      </c>
      <c r="E3624" s="47" t="s">
        <v>1126</v>
      </c>
      <c r="F3624" t="s">
        <v>185</v>
      </c>
      <c r="H3624" t="s">
        <v>47</v>
      </c>
      <c r="I3624" t="s">
        <v>30</v>
      </c>
      <c r="J3624" t="s">
        <v>35</v>
      </c>
      <c r="K3624"/>
      <c r="L3624" s="47" t="s">
        <v>314</v>
      </c>
      <c r="M3624" s="47" t="s">
        <v>1136</v>
      </c>
    </row>
    <row r="3625" spans="1:13" ht="15" customHeight="1">
      <c r="A3625" s="47">
        <v>3155</v>
      </c>
      <c r="B3625" s="2">
        <v>4679</v>
      </c>
      <c r="C3625" t="s">
        <v>939</v>
      </c>
      <c r="D3625" s="47" t="s">
        <v>1134</v>
      </c>
      <c r="E3625" s="2" t="s">
        <v>1125</v>
      </c>
      <c r="F3625" t="s">
        <v>185</v>
      </c>
      <c r="G3625"/>
      <c r="H3625" t="s">
        <v>47</v>
      </c>
      <c r="I3625" t="s">
        <v>30</v>
      </c>
      <c r="J3625" t="s">
        <v>35</v>
      </c>
      <c r="K3625"/>
      <c r="L3625" s="47" t="s">
        <v>180</v>
      </c>
      <c r="M3625" s="47" t="s">
        <v>1135</v>
      </c>
    </row>
    <row r="3626" spans="1:13" ht="15" customHeight="1">
      <c r="A3626" s="47">
        <v>3155</v>
      </c>
      <c r="B3626" s="2">
        <v>4680</v>
      </c>
      <c r="C3626" t="s">
        <v>939</v>
      </c>
      <c r="D3626" s="47" t="s">
        <v>1130</v>
      </c>
      <c r="E3626" s="47" t="s">
        <v>1128</v>
      </c>
      <c r="F3626" t="s">
        <v>185</v>
      </c>
      <c r="H3626" t="s">
        <v>47</v>
      </c>
      <c r="I3626" t="s">
        <v>30</v>
      </c>
      <c r="J3626" t="s">
        <v>35</v>
      </c>
      <c r="K3626"/>
      <c r="L3626" s="47" t="s">
        <v>180</v>
      </c>
      <c r="M3626" s="47" t="s">
        <v>197</v>
      </c>
    </row>
    <row r="3627" spans="1:13" ht="15" customHeight="1">
      <c r="A3627" s="47">
        <v>3155</v>
      </c>
      <c r="B3627" s="2">
        <v>4681</v>
      </c>
      <c r="C3627" t="s">
        <v>939</v>
      </c>
      <c r="D3627" s="47" t="s">
        <v>1131</v>
      </c>
      <c r="E3627" s="47" t="s">
        <v>1129</v>
      </c>
      <c r="F3627" t="s">
        <v>185</v>
      </c>
      <c r="H3627" t="s">
        <v>47</v>
      </c>
      <c r="I3627" t="s">
        <v>30</v>
      </c>
      <c r="J3627" t="s">
        <v>35</v>
      </c>
      <c r="K3627"/>
      <c r="L3627" s="47" t="s">
        <v>239</v>
      </c>
      <c r="M3627" s="47" t="s">
        <v>1135</v>
      </c>
    </row>
    <row r="3628" spans="1:13" ht="15" customHeight="1">
      <c r="A3628" s="47">
        <v>3155</v>
      </c>
      <c r="B3628" s="2">
        <v>4682</v>
      </c>
      <c r="C3628" t="s">
        <v>939</v>
      </c>
      <c r="D3628" s="47" t="s">
        <v>1132</v>
      </c>
      <c r="E3628" s="47" t="s">
        <v>1129</v>
      </c>
      <c r="F3628" t="s">
        <v>185</v>
      </c>
      <c r="H3628" t="s">
        <v>47</v>
      </c>
      <c r="I3628" t="s">
        <v>30</v>
      </c>
      <c r="J3628" t="s">
        <v>35</v>
      </c>
      <c r="K3628"/>
      <c r="L3628" s="47" t="s">
        <v>239</v>
      </c>
      <c r="M3628" s="47" t="s">
        <v>1135</v>
      </c>
    </row>
    <row r="3629" spans="1:13" ht="15" customHeight="1">
      <c r="A3629" s="47">
        <v>3155</v>
      </c>
      <c r="B3629" s="2">
        <v>4683</v>
      </c>
      <c r="C3629" t="s">
        <v>939</v>
      </c>
      <c r="D3629" s="2" t="s">
        <v>1127</v>
      </c>
      <c r="E3629" s="47" t="s">
        <v>1126</v>
      </c>
      <c r="F3629" t="s">
        <v>185</v>
      </c>
      <c r="H3629" t="s">
        <v>47</v>
      </c>
      <c r="I3629" t="s">
        <v>30</v>
      </c>
      <c r="J3629" t="s">
        <v>35</v>
      </c>
      <c r="K3629"/>
      <c r="L3629" s="47" t="s">
        <v>314</v>
      </c>
      <c r="M3629" s="47" t="s">
        <v>1136</v>
      </c>
    </row>
    <row r="3630" spans="1:13" ht="15" customHeight="1">
      <c r="A3630" s="47">
        <v>3156</v>
      </c>
      <c r="B3630" s="2">
        <v>4684</v>
      </c>
      <c r="C3630" t="s">
        <v>939</v>
      </c>
      <c r="D3630" s="47" t="s">
        <v>1134</v>
      </c>
      <c r="E3630" s="2" t="s">
        <v>1125</v>
      </c>
      <c r="F3630" t="s">
        <v>185</v>
      </c>
      <c r="G3630"/>
      <c r="H3630" t="s">
        <v>47</v>
      </c>
      <c r="I3630" t="s">
        <v>30</v>
      </c>
      <c r="J3630" t="s">
        <v>35</v>
      </c>
      <c r="K3630"/>
      <c r="L3630" s="47" t="s">
        <v>180</v>
      </c>
      <c r="M3630" s="47" t="s">
        <v>1135</v>
      </c>
    </row>
    <row r="3631" spans="1:13" ht="15" customHeight="1">
      <c r="A3631" s="47">
        <v>3156</v>
      </c>
      <c r="B3631" s="2">
        <v>4685</v>
      </c>
      <c r="C3631" t="s">
        <v>939</v>
      </c>
      <c r="D3631" s="47" t="s">
        <v>1130</v>
      </c>
      <c r="E3631" s="47" t="s">
        <v>1128</v>
      </c>
      <c r="F3631" t="s">
        <v>185</v>
      </c>
      <c r="H3631" t="s">
        <v>47</v>
      </c>
      <c r="I3631" t="s">
        <v>30</v>
      </c>
      <c r="J3631" t="s">
        <v>35</v>
      </c>
      <c r="K3631"/>
      <c r="L3631" s="47" t="s">
        <v>180</v>
      </c>
      <c r="M3631" s="47" t="s">
        <v>197</v>
      </c>
    </row>
    <row r="3632" spans="1:13" ht="15" customHeight="1">
      <c r="A3632" s="47">
        <v>3156</v>
      </c>
      <c r="B3632" s="2">
        <v>4686</v>
      </c>
      <c r="C3632" t="s">
        <v>939</v>
      </c>
      <c r="D3632" s="47" t="s">
        <v>1131</v>
      </c>
      <c r="E3632" s="47" t="s">
        <v>1129</v>
      </c>
      <c r="F3632" t="s">
        <v>185</v>
      </c>
      <c r="H3632" t="s">
        <v>47</v>
      </c>
      <c r="I3632" t="s">
        <v>30</v>
      </c>
      <c r="J3632" t="s">
        <v>35</v>
      </c>
      <c r="K3632"/>
      <c r="L3632" s="47" t="s">
        <v>239</v>
      </c>
      <c r="M3632" s="47" t="s">
        <v>1135</v>
      </c>
    </row>
    <row r="3633" spans="1:13" ht="15" customHeight="1">
      <c r="A3633" s="47">
        <v>3156</v>
      </c>
      <c r="B3633" s="2">
        <v>4687</v>
      </c>
      <c r="C3633" t="s">
        <v>939</v>
      </c>
      <c r="D3633" s="47" t="s">
        <v>1132</v>
      </c>
      <c r="E3633" s="47" t="s">
        <v>1129</v>
      </c>
      <c r="F3633" t="s">
        <v>185</v>
      </c>
      <c r="H3633" t="s">
        <v>47</v>
      </c>
      <c r="I3633" t="s">
        <v>30</v>
      </c>
      <c r="J3633" t="s">
        <v>35</v>
      </c>
      <c r="K3633"/>
      <c r="L3633" s="47" t="s">
        <v>239</v>
      </c>
      <c r="M3633" s="47" t="s">
        <v>1135</v>
      </c>
    </row>
    <row r="3634" spans="1:13" ht="15" customHeight="1">
      <c r="A3634" s="47">
        <v>3156</v>
      </c>
      <c r="B3634" s="2">
        <v>4688</v>
      </c>
      <c r="C3634" t="s">
        <v>939</v>
      </c>
      <c r="D3634" s="2" t="s">
        <v>1127</v>
      </c>
      <c r="E3634" s="47" t="s">
        <v>1126</v>
      </c>
      <c r="F3634" t="s">
        <v>185</v>
      </c>
      <c r="H3634" t="s">
        <v>47</v>
      </c>
      <c r="I3634" t="s">
        <v>30</v>
      </c>
      <c r="J3634" t="s">
        <v>35</v>
      </c>
      <c r="K3634"/>
      <c r="L3634" s="47" t="s">
        <v>314</v>
      </c>
      <c r="M3634" s="47" t="s">
        <v>1136</v>
      </c>
    </row>
    <row r="3635" spans="1:13" ht="15" customHeight="1">
      <c r="A3635" s="47">
        <v>3157</v>
      </c>
      <c r="B3635" s="2">
        <v>4689</v>
      </c>
      <c r="C3635" t="s">
        <v>939</v>
      </c>
      <c r="D3635" s="47" t="s">
        <v>1134</v>
      </c>
      <c r="E3635" s="2" t="s">
        <v>1125</v>
      </c>
      <c r="F3635" t="s">
        <v>185</v>
      </c>
      <c r="G3635"/>
      <c r="H3635" t="s">
        <v>47</v>
      </c>
      <c r="I3635" t="s">
        <v>30</v>
      </c>
      <c r="J3635" t="s">
        <v>35</v>
      </c>
      <c r="K3635"/>
      <c r="L3635" s="47" t="s">
        <v>180</v>
      </c>
      <c r="M3635" s="47" t="s">
        <v>1135</v>
      </c>
    </row>
    <row r="3636" spans="1:13" ht="15" customHeight="1">
      <c r="A3636" s="47">
        <v>3157</v>
      </c>
      <c r="B3636" s="2">
        <v>4690</v>
      </c>
      <c r="C3636" t="s">
        <v>939</v>
      </c>
      <c r="D3636" s="47" t="s">
        <v>1130</v>
      </c>
      <c r="E3636" s="47" t="s">
        <v>1128</v>
      </c>
      <c r="F3636" t="s">
        <v>185</v>
      </c>
      <c r="H3636" t="s">
        <v>47</v>
      </c>
      <c r="I3636" t="s">
        <v>30</v>
      </c>
      <c r="J3636" t="s">
        <v>35</v>
      </c>
      <c r="K3636"/>
      <c r="L3636" s="47" t="s">
        <v>180</v>
      </c>
      <c r="M3636" s="47" t="s">
        <v>197</v>
      </c>
    </row>
    <row r="3637" spans="1:13" ht="15" customHeight="1">
      <c r="A3637" s="47">
        <v>3157</v>
      </c>
      <c r="B3637" s="2">
        <v>4691</v>
      </c>
      <c r="C3637" t="s">
        <v>939</v>
      </c>
      <c r="D3637" s="47" t="s">
        <v>1131</v>
      </c>
      <c r="E3637" s="47" t="s">
        <v>1129</v>
      </c>
      <c r="F3637" t="s">
        <v>185</v>
      </c>
      <c r="H3637" t="s">
        <v>47</v>
      </c>
      <c r="I3637" t="s">
        <v>30</v>
      </c>
      <c r="J3637" t="s">
        <v>35</v>
      </c>
      <c r="K3637"/>
      <c r="L3637" s="47" t="s">
        <v>239</v>
      </c>
      <c r="M3637" s="47" t="s">
        <v>1135</v>
      </c>
    </row>
    <row r="3638" spans="1:13" ht="15" customHeight="1">
      <c r="A3638" s="47">
        <v>3157</v>
      </c>
      <c r="B3638" s="2">
        <v>4692</v>
      </c>
      <c r="C3638" t="s">
        <v>939</v>
      </c>
      <c r="D3638" s="47" t="s">
        <v>1132</v>
      </c>
      <c r="E3638" s="47" t="s">
        <v>1129</v>
      </c>
      <c r="F3638" t="s">
        <v>185</v>
      </c>
      <c r="H3638" t="s">
        <v>47</v>
      </c>
      <c r="I3638" t="s">
        <v>30</v>
      </c>
      <c r="J3638" t="s">
        <v>35</v>
      </c>
      <c r="K3638"/>
      <c r="L3638" s="47" t="s">
        <v>239</v>
      </c>
      <c r="M3638" s="47" t="s">
        <v>1135</v>
      </c>
    </row>
    <row r="3639" spans="1:13" ht="15" customHeight="1">
      <c r="A3639" s="47">
        <v>3157</v>
      </c>
      <c r="B3639" s="2">
        <v>4693</v>
      </c>
      <c r="C3639" t="s">
        <v>939</v>
      </c>
      <c r="D3639" s="2" t="s">
        <v>1127</v>
      </c>
      <c r="E3639" s="47" t="s">
        <v>1126</v>
      </c>
      <c r="F3639" t="s">
        <v>185</v>
      </c>
      <c r="H3639" t="s">
        <v>47</v>
      </c>
      <c r="I3639" t="s">
        <v>30</v>
      </c>
      <c r="J3639" t="s">
        <v>35</v>
      </c>
      <c r="K3639"/>
      <c r="L3639" s="47" t="s">
        <v>314</v>
      </c>
      <c r="M3639" s="47" t="s">
        <v>1136</v>
      </c>
    </row>
    <row r="3640" spans="1:13" ht="15" customHeight="1">
      <c r="A3640" s="47">
        <v>3158</v>
      </c>
      <c r="B3640" s="2">
        <v>4694</v>
      </c>
      <c r="C3640" t="s">
        <v>939</v>
      </c>
      <c r="D3640" s="47" t="s">
        <v>1134</v>
      </c>
      <c r="E3640" s="2" t="s">
        <v>1125</v>
      </c>
      <c r="F3640" t="s">
        <v>185</v>
      </c>
      <c r="G3640"/>
      <c r="H3640" t="s">
        <v>47</v>
      </c>
      <c r="I3640" t="s">
        <v>30</v>
      </c>
      <c r="J3640" t="s">
        <v>35</v>
      </c>
      <c r="K3640"/>
      <c r="L3640" s="47" t="s">
        <v>180</v>
      </c>
      <c r="M3640" s="47" t="s">
        <v>1135</v>
      </c>
    </row>
    <row r="3641" spans="1:13" ht="15" customHeight="1">
      <c r="A3641" s="47">
        <v>3158</v>
      </c>
      <c r="B3641" s="2">
        <v>4695</v>
      </c>
      <c r="C3641" t="s">
        <v>939</v>
      </c>
      <c r="D3641" s="47" t="s">
        <v>1130</v>
      </c>
      <c r="E3641" s="47" t="s">
        <v>1128</v>
      </c>
      <c r="F3641" t="s">
        <v>185</v>
      </c>
      <c r="H3641" t="s">
        <v>47</v>
      </c>
      <c r="I3641" t="s">
        <v>30</v>
      </c>
      <c r="J3641" t="s">
        <v>35</v>
      </c>
      <c r="K3641"/>
      <c r="L3641" s="47" t="s">
        <v>180</v>
      </c>
      <c r="M3641" s="47" t="s">
        <v>197</v>
      </c>
    </row>
    <row r="3642" spans="1:13" ht="15" customHeight="1">
      <c r="A3642" s="47">
        <v>3158</v>
      </c>
      <c r="B3642" s="2">
        <v>4696</v>
      </c>
      <c r="C3642" t="s">
        <v>939</v>
      </c>
      <c r="D3642" s="47" t="s">
        <v>1131</v>
      </c>
      <c r="E3642" s="47" t="s">
        <v>1129</v>
      </c>
      <c r="F3642" t="s">
        <v>185</v>
      </c>
      <c r="H3642" t="s">
        <v>47</v>
      </c>
      <c r="I3642" t="s">
        <v>30</v>
      </c>
      <c r="J3642" t="s">
        <v>35</v>
      </c>
      <c r="K3642"/>
      <c r="L3642" s="47" t="s">
        <v>239</v>
      </c>
      <c r="M3642" s="47" t="s">
        <v>1135</v>
      </c>
    </row>
    <row r="3643" spans="1:13" ht="15" customHeight="1">
      <c r="A3643" s="47">
        <v>3158</v>
      </c>
      <c r="B3643" s="2">
        <v>4697</v>
      </c>
      <c r="C3643" t="s">
        <v>939</v>
      </c>
      <c r="D3643" s="47" t="s">
        <v>1132</v>
      </c>
      <c r="E3643" s="47" t="s">
        <v>1129</v>
      </c>
      <c r="F3643" t="s">
        <v>185</v>
      </c>
      <c r="H3643" t="s">
        <v>47</v>
      </c>
      <c r="I3643" t="s">
        <v>30</v>
      </c>
      <c r="J3643" t="s">
        <v>35</v>
      </c>
      <c r="K3643"/>
      <c r="L3643" s="47" t="s">
        <v>239</v>
      </c>
      <c r="M3643" s="47" t="s">
        <v>1135</v>
      </c>
    </row>
    <row r="3644" spans="1:13" ht="15" customHeight="1">
      <c r="A3644" s="47">
        <v>3158</v>
      </c>
      <c r="B3644" s="2">
        <v>4698</v>
      </c>
      <c r="C3644" t="s">
        <v>939</v>
      </c>
      <c r="D3644" s="2" t="s">
        <v>1127</v>
      </c>
      <c r="E3644" s="47" t="s">
        <v>1126</v>
      </c>
      <c r="F3644" t="s">
        <v>185</v>
      </c>
      <c r="H3644" t="s">
        <v>47</v>
      </c>
      <c r="I3644" t="s">
        <v>30</v>
      </c>
      <c r="J3644" t="s">
        <v>35</v>
      </c>
      <c r="K3644"/>
      <c r="L3644" s="47" t="s">
        <v>314</v>
      </c>
      <c r="M3644" s="47" t="s">
        <v>1136</v>
      </c>
    </row>
    <row r="3645" spans="1:13" ht="15" customHeight="1">
      <c r="A3645" s="47">
        <v>3159</v>
      </c>
      <c r="B3645" s="2">
        <v>4699</v>
      </c>
      <c r="C3645" t="s">
        <v>939</v>
      </c>
      <c r="D3645" s="47" t="s">
        <v>1134</v>
      </c>
      <c r="E3645" s="2" t="s">
        <v>1125</v>
      </c>
      <c r="F3645" t="s">
        <v>185</v>
      </c>
      <c r="G3645"/>
      <c r="H3645" t="s">
        <v>47</v>
      </c>
      <c r="I3645" t="s">
        <v>30</v>
      </c>
      <c r="J3645" t="s">
        <v>35</v>
      </c>
      <c r="K3645"/>
      <c r="L3645" s="47" t="s">
        <v>180</v>
      </c>
      <c r="M3645" s="47" t="s">
        <v>1135</v>
      </c>
    </row>
    <row r="3646" spans="1:13" ht="15" customHeight="1">
      <c r="A3646" s="47">
        <v>3159</v>
      </c>
      <c r="B3646" s="2">
        <v>4700</v>
      </c>
      <c r="C3646" t="s">
        <v>939</v>
      </c>
      <c r="D3646" s="47" t="s">
        <v>1130</v>
      </c>
      <c r="E3646" s="47" t="s">
        <v>1128</v>
      </c>
      <c r="F3646" t="s">
        <v>185</v>
      </c>
      <c r="H3646" t="s">
        <v>47</v>
      </c>
      <c r="I3646" t="s">
        <v>30</v>
      </c>
      <c r="J3646" t="s">
        <v>35</v>
      </c>
      <c r="K3646"/>
      <c r="L3646" s="47" t="s">
        <v>180</v>
      </c>
      <c r="M3646" s="47" t="s">
        <v>197</v>
      </c>
    </row>
    <row r="3647" spans="1:13" ht="15" customHeight="1">
      <c r="A3647" s="47">
        <v>3159</v>
      </c>
      <c r="B3647" s="2">
        <v>4701</v>
      </c>
      <c r="C3647" t="s">
        <v>939</v>
      </c>
      <c r="D3647" s="47" t="s">
        <v>1131</v>
      </c>
      <c r="E3647" s="47" t="s">
        <v>1129</v>
      </c>
      <c r="F3647" t="s">
        <v>185</v>
      </c>
      <c r="H3647" t="s">
        <v>47</v>
      </c>
      <c r="I3647" t="s">
        <v>30</v>
      </c>
      <c r="J3647" t="s">
        <v>35</v>
      </c>
      <c r="K3647"/>
      <c r="L3647" s="47" t="s">
        <v>239</v>
      </c>
      <c r="M3647" s="47" t="s">
        <v>1135</v>
      </c>
    </row>
    <row r="3648" spans="1:13" ht="15" customHeight="1">
      <c r="A3648" s="47">
        <v>3159</v>
      </c>
      <c r="B3648" s="2">
        <v>4702</v>
      </c>
      <c r="C3648" t="s">
        <v>939</v>
      </c>
      <c r="D3648" s="47" t="s">
        <v>1132</v>
      </c>
      <c r="E3648" s="47" t="s">
        <v>1129</v>
      </c>
      <c r="F3648" t="s">
        <v>185</v>
      </c>
      <c r="H3648" t="s">
        <v>47</v>
      </c>
      <c r="I3648" t="s">
        <v>30</v>
      </c>
      <c r="J3648" t="s">
        <v>35</v>
      </c>
      <c r="K3648"/>
      <c r="L3648" s="47" t="s">
        <v>239</v>
      </c>
      <c r="M3648" s="47" t="s">
        <v>1135</v>
      </c>
    </row>
    <row r="3649" spans="1:13" ht="15" customHeight="1">
      <c r="A3649" s="47">
        <v>3159</v>
      </c>
      <c r="B3649" s="2">
        <v>4703</v>
      </c>
      <c r="C3649" t="s">
        <v>939</v>
      </c>
      <c r="D3649" s="2" t="s">
        <v>1127</v>
      </c>
      <c r="E3649" s="47" t="s">
        <v>1126</v>
      </c>
      <c r="F3649" t="s">
        <v>185</v>
      </c>
      <c r="H3649" t="s">
        <v>47</v>
      </c>
      <c r="I3649" t="s">
        <v>30</v>
      </c>
      <c r="J3649" t="s">
        <v>35</v>
      </c>
      <c r="K3649"/>
      <c r="L3649" s="47" t="s">
        <v>314</v>
      </c>
      <c r="M3649" s="47" t="s">
        <v>1136</v>
      </c>
    </row>
    <row r="3650" spans="1:13" ht="15" customHeight="1">
      <c r="A3650" s="47">
        <v>3160</v>
      </c>
      <c r="B3650" s="2">
        <v>4704</v>
      </c>
      <c r="C3650" t="s">
        <v>939</v>
      </c>
      <c r="D3650" s="47" t="s">
        <v>1134</v>
      </c>
      <c r="E3650" s="2" t="s">
        <v>1125</v>
      </c>
      <c r="F3650" t="s">
        <v>185</v>
      </c>
      <c r="G3650"/>
      <c r="H3650" t="s">
        <v>47</v>
      </c>
      <c r="I3650" t="s">
        <v>30</v>
      </c>
      <c r="J3650" t="s">
        <v>35</v>
      </c>
      <c r="K3650"/>
      <c r="L3650" s="47" t="s">
        <v>180</v>
      </c>
      <c r="M3650" s="47" t="s">
        <v>1135</v>
      </c>
    </row>
    <row r="3651" spans="1:13" ht="15" customHeight="1">
      <c r="A3651" s="47">
        <v>3160</v>
      </c>
      <c r="B3651" s="2">
        <v>4705</v>
      </c>
      <c r="C3651" t="s">
        <v>939</v>
      </c>
      <c r="D3651" s="47" t="s">
        <v>1130</v>
      </c>
      <c r="E3651" s="47" t="s">
        <v>1128</v>
      </c>
      <c r="F3651" t="s">
        <v>185</v>
      </c>
      <c r="H3651" t="s">
        <v>47</v>
      </c>
      <c r="I3651" t="s">
        <v>30</v>
      </c>
      <c r="J3651" t="s">
        <v>35</v>
      </c>
      <c r="K3651"/>
      <c r="L3651" s="47" t="s">
        <v>180</v>
      </c>
      <c r="M3651" s="47" t="s">
        <v>197</v>
      </c>
    </row>
    <row r="3652" spans="1:13" ht="15" customHeight="1">
      <c r="A3652" s="47">
        <v>3160</v>
      </c>
      <c r="B3652" s="2">
        <v>4706</v>
      </c>
      <c r="C3652" t="s">
        <v>939</v>
      </c>
      <c r="D3652" s="47" t="s">
        <v>1131</v>
      </c>
      <c r="E3652" s="47" t="s">
        <v>1129</v>
      </c>
      <c r="F3652" t="s">
        <v>185</v>
      </c>
      <c r="H3652" t="s">
        <v>47</v>
      </c>
      <c r="I3652" t="s">
        <v>30</v>
      </c>
      <c r="J3652" t="s">
        <v>35</v>
      </c>
      <c r="K3652"/>
      <c r="L3652" s="47" t="s">
        <v>239</v>
      </c>
      <c r="M3652" s="47" t="s">
        <v>1135</v>
      </c>
    </row>
    <row r="3653" spans="1:13" ht="15" customHeight="1">
      <c r="A3653" s="47">
        <v>3160</v>
      </c>
      <c r="B3653" s="2">
        <v>4707</v>
      </c>
      <c r="C3653" t="s">
        <v>939</v>
      </c>
      <c r="D3653" s="47" t="s">
        <v>1132</v>
      </c>
      <c r="E3653" s="47" t="s">
        <v>1129</v>
      </c>
      <c r="F3653" t="s">
        <v>185</v>
      </c>
      <c r="H3653" t="s">
        <v>47</v>
      </c>
      <c r="I3653" t="s">
        <v>30</v>
      </c>
      <c r="J3653" t="s">
        <v>35</v>
      </c>
      <c r="K3653"/>
      <c r="L3653" s="47" t="s">
        <v>239</v>
      </c>
      <c r="M3653" s="47" t="s">
        <v>1135</v>
      </c>
    </row>
    <row r="3654" spans="1:13" ht="15" customHeight="1">
      <c r="A3654" s="47">
        <v>3160</v>
      </c>
      <c r="B3654" s="2">
        <v>4708</v>
      </c>
      <c r="C3654" t="s">
        <v>939</v>
      </c>
      <c r="D3654" s="2" t="s">
        <v>1127</v>
      </c>
      <c r="E3654" s="47" t="s">
        <v>1126</v>
      </c>
      <c r="F3654" t="s">
        <v>185</v>
      </c>
      <c r="H3654" t="s">
        <v>47</v>
      </c>
      <c r="I3654" t="s">
        <v>30</v>
      </c>
      <c r="J3654" t="s">
        <v>35</v>
      </c>
      <c r="K3654"/>
      <c r="L3654" s="47" t="s">
        <v>314</v>
      </c>
      <c r="M3654" s="47" t="s">
        <v>1136</v>
      </c>
    </row>
    <row r="3655" spans="1:13" ht="15" customHeight="1">
      <c r="A3655" s="47">
        <v>3161</v>
      </c>
      <c r="B3655" s="2">
        <v>4709</v>
      </c>
      <c r="C3655" t="s">
        <v>939</v>
      </c>
      <c r="D3655" s="47" t="s">
        <v>1134</v>
      </c>
      <c r="E3655" s="2" t="s">
        <v>1125</v>
      </c>
      <c r="F3655" t="s">
        <v>185</v>
      </c>
      <c r="G3655"/>
      <c r="H3655" t="s">
        <v>47</v>
      </c>
      <c r="I3655" t="s">
        <v>30</v>
      </c>
      <c r="J3655" t="s">
        <v>35</v>
      </c>
      <c r="K3655"/>
      <c r="L3655" s="47" t="s">
        <v>180</v>
      </c>
      <c r="M3655" s="47" t="s">
        <v>1135</v>
      </c>
    </row>
    <row r="3656" spans="1:13" ht="15" customHeight="1">
      <c r="A3656" s="47">
        <v>3161</v>
      </c>
      <c r="B3656" s="2">
        <v>4710</v>
      </c>
      <c r="C3656" t="s">
        <v>939</v>
      </c>
      <c r="D3656" s="47" t="s">
        <v>1130</v>
      </c>
      <c r="E3656" s="47" t="s">
        <v>1128</v>
      </c>
      <c r="F3656" t="s">
        <v>185</v>
      </c>
      <c r="H3656" t="s">
        <v>47</v>
      </c>
      <c r="I3656" t="s">
        <v>30</v>
      </c>
      <c r="J3656" t="s">
        <v>35</v>
      </c>
      <c r="K3656"/>
      <c r="L3656" s="47" t="s">
        <v>180</v>
      </c>
      <c r="M3656" s="47" t="s">
        <v>197</v>
      </c>
    </row>
    <row r="3657" spans="1:13" ht="15" customHeight="1">
      <c r="A3657" s="47">
        <v>3161</v>
      </c>
      <c r="B3657" s="2">
        <v>4711</v>
      </c>
      <c r="C3657" t="s">
        <v>939</v>
      </c>
      <c r="D3657" s="47" t="s">
        <v>1131</v>
      </c>
      <c r="E3657" s="47" t="s">
        <v>1129</v>
      </c>
      <c r="F3657" t="s">
        <v>185</v>
      </c>
      <c r="H3657" t="s">
        <v>47</v>
      </c>
      <c r="I3657" t="s">
        <v>30</v>
      </c>
      <c r="J3657" t="s">
        <v>35</v>
      </c>
      <c r="K3657"/>
      <c r="L3657" s="47" t="s">
        <v>239</v>
      </c>
      <c r="M3657" s="47" t="s">
        <v>1135</v>
      </c>
    </row>
    <row r="3658" spans="1:13" ht="15" customHeight="1">
      <c r="A3658" s="47">
        <v>3161</v>
      </c>
      <c r="B3658" s="2">
        <v>4712</v>
      </c>
      <c r="C3658" t="s">
        <v>939</v>
      </c>
      <c r="D3658" s="47" t="s">
        <v>1132</v>
      </c>
      <c r="E3658" s="47" t="s">
        <v>1129</v>
      </c>
      <c r="F3658" t="s">
        <v>185</v>
      </c>
      <c r="H3658" t="s">
        <v>47</v>
      </c>
      <c r="I3658" t="s">
        <v>30</v>
      </c>
      <c r="J3658" t="s">
        <v>35</v>
      </c>
      <c r="K3658"/>
      <c r="L3658" s="47" t="s">
        <v>239</v>
      </c>
      <c r="M3658" s="47" t="s">
        <v>1135</v>
      </c>
    </row>
    <row r="3659" spans="1:13" ht="15" customHeight="1">
      <c r="A3659" s="47">
        <v>3161</v>
      </c>
      <c r="B3659" s="2">
        <v>4713</v>
      </c>
      <c r="C3659" t="s">
        <v>939</v>
      </c>
      <c r="D3659" s="2" t="s">
        <v>1127</v>
      </c>
      <c r="E3659" s="47" t="s">
        <v>1126</v>
      </c>
      <c r="F3659" t="s">
        <v>185</v>
      </c>
      <c r="H3659" t="s">
        <v>47</v>
      </c>
      <c r="I3659" t="s">
        <v>30</v>
      </c>
      <c r="J3659" t="s">
        <v>35</v>
      </c>
      <c r="K3659"/>
      <c r="L3659" s="47" t="s">
        <v>314</v>
      </c>
      <c r="M3659" s="47" t="s">
        <v>1136</v>
      </c>
    </row>
    <row r="3660" spans="1:13" ht="15" customHeight="1">
      <c r="A3660" s="47">
        <v>3162</v>
      </c>
      <c r="B3660" s="2">
        <v>4714</v>
      </c>
      <c r="C3660" t="s">
        <v>939</v>
      </c>
      <c r="D3660" s="47" t="s">
        <v>1134</v>
      </c>
      <c r="E3660" s="2" t="s">
        <v>1125</v>
      </c>
      <c r="F3660" t="s">
        <v>185</v>
      </c>
      <c r="G3660"/>
      <c r="H3660" t="s">
        <v>47</v>
      </c>
      <c r="I3660" t="s">
        <v>30</v>
      </c>
      <c r="J3660" t="s">
        <v>35</v>
      </c>
      <c r="K3660"/>
      <c r="L3660" s="47" t="s">
        <v>180</v>
      </c>
      <c r="M3660" s="47" t="s">
        <v>1135</v>
      </c>
    </row>
    <row r="3661" spans="1:13" ht="15" customHeight="1">
      <c r="A3661" s="47">
        <v>3162</v>
      </c>
      <c r="B3661" s="2">
        <v>4715</v>
      </c>
      <c r="C3661" t="s">
        <v>939</v>
      </c>
      <c r="D3661" s="47" t="s">
        <v>1130</v>
      </c>
      <c r="E3661" s="47" t="s">
        <v>1128</v>
      </c>
      <c r="F3661" t="s">
        <v>185</v>
      </c>
      <c r="H3661" t="s">
        <v>47</v>
      </c>
      <c r="I3661" t="s">
        <v>30</v>
      </c>
      <c r="J3661" t="s">
        <v>35</v>
      </c>
      <c r="K3661"/>
      <c r="L3661" s="47" t="s">
        <v>180</v>
      </c>
      <c r="M3661" s="47" t="s">
        <v>197</v>
      </c>
    </row>
    <row r="3662" spans="1:13" ht="15" customHeight="1">
      <c r="A3662" s="47">
        <v>3162</v>
      </c>
      <c r="B3662" s="2">
        <v>4716</v>
      </c>
      <c r="C3662" t="s">
        <v>939</v>
      </c>
      <c r="D3662" s="47" t="s">
        <v>1131</v>
      </c>
      <c r="E3662" s="47" t="s">
        <v>1129</v>
      </c>
      <c r="F3662" t="s">
        <v>185</v>
      </c>
      <c r="H3662" t="s">
        <v>47</v>
      </c>
      <c r="I3662" t="s">
        <v>30</v>
      </c>
      <c r="J3662" t="s">
        <v>35</v>
      </c>
      <c r="K3662"/>
      <c r="L3662" s="47" t="s">
        <v>239</v>
      </c>
      <c r="M3662" s="47" t="s">
        <v>1135</v>
      </c>
    </row>
    <row r="3663" spans="1:13" ht="15" customHeight="1">
      <c r="A3663" s="47">
        <v>3162</v>
      </c>
      <c r="B3663" s="2">
        <v>4717</v>
      </c>
      <c r="C3663" t="s">
        <v>939</v>
      </c>
      <c r="D3663" s="47" t="s">
        <v>1132</v>
      </c>
      <c r="E3663" s="47" t="s">
        <v>1129</v>
      </c>
      <c r="F3663" t="s">
        <v>185</v>
      </c>
      <c r="H3663" t="s">
        <v>47</v>
      </c>
      <c r="I3663" t="s">
        <v>30</v>
      </c>
      <c r="J3663" t="s">
        <v>35</v>
      </c>
      <c r="K3663"/>
      <c r="L3663" s="47" t="s">
        <v>239</v>
      </c>
      <c r="M3663" s="47" t="s">
        <v>1135</v>
      </c>
    </row>
    <row r="3664" spans="1:13" ht="15" customHeight="1">
      <c r="A3664" s="47">
        <v>3162</v>
      </c>
      <c r="B3664" s="2">
        <v>4718</v>
      </c>
      <c r="C3664" t="s">
        <v>939</v>
      </c>
      <c r="D3664" s="2" t="s">
        <v>1127</v>
      </c>
      <c r="E3664" s="47" t="s">
        <v>1126</v>
      </c>
      <c r="F3664" t="s">
        <v>185</v>
      </c>
      <c r="H3664" t="s">
        <v>47</v>
      </c>
      <c r="I3664" t="s">
        <v>30</v>
      </c>
      <c r="J3664" t="s">
        <v>35</v>
      </c>
      <c r="K3664"/>
      <c r="L3664" s="47" t="s">
        <v>314</v>
      </c>
      <c r="M3664" s="47" t="s">
        <v>1136</v>
      </c>
    </row>
    <row r="3665" spans="1:13" ht="15" customHeight="1">
      <c r="A3665" s="47">
        <v>3163</v>
      </c>
      <c r="B3665" s="2">
        <v>4719</v>
      </c>
      <c r="C3665" t="s">
        <v>939</v>
      </c>
      <c r="D3665" s="47" t="s">
        <v>1134</v>
      </c>
      <c r="E3665" s="2" t="s">
        <v>1125</v>
      </c>
      <c r="F3665" t="s">
        <v>185</v>
      </c>
      <c r="G3665"/>
      <c r="H3665" t="s">
        <v>47</v>
      </c>
      <c r="I3665" t="s">
        <v>30</v>
      </c>
      <c r="J3665" t="s">
        <v>35</v>
      </c>
      <c r="K3665"/>
      <c r="L3665" s="47" t="s">
        <v>180</v>
      </c>
      <c r="M3665" s="47" t="s">
        <v>1135</v>
      </c>
    </row>
    <row r="3666" spans="1:13" ht="15" customHeight="1">
      <c r="A3666" s="47">
        <v>3163</v>
      </c>
      <c r="B3666" s="2">
        <v>4720</v>
      </c>
      <c r="C3666" t="s">
        <v>939</v>
      </c>
      <c r="D3666" s="47" t="s">
        <v>1130</v>
      </c>
      <c r="E3666" s="47" t="s">
        <v>1128</v>
      </c>
      <c r="F3666" t="s">
        <v>185</v>
      </c>
      <c r="H3666" t="s">
        <v>47</v>
      </c>
      <c r="I3666" t="s">
        <v>30</v>
      </c>
      <c r="J3666" t="s">
        <v>35</v>
      </c>
      <c r="K3666"/>
      <c r="L3666" s="47" t="s">
        <v>180</v>
      </c>
      <c r="M3666" s="47" t="s">
        <v>197</v>
      </c>
    </row>
    <row r="3667" spans="1:13" ht="15" customHeight="1">
      <c r="A3667" s="47">
        <v>3163</v>
      </c>
      <c r="B3667" s="2">
        <v>4721</v>
      </c>
      <c r="C3667" t="s">
        <v>939</v>
      </c>
      <c r="D3667" s="47" t="s">
        <v>1131</v>
      </c>
      <c r="E3667" s="47" t="s">
        <v>1129</v>
      </c>
      <c r="F3667" t="s">
        <v>185</v>
      </c>
      <c r="H3667" t="s">
        <v>47</v>
      </c>
      <c r="I3667" t="s">
        <v>30</v>
      </c>
      <c r="J3667" t="s">
        <v>35</v>
      </c>
      <c r="K3667"/>
      <c r="L3667" s="47" t="s">
        <v>239</v>
      </c>
      <c r="M3667" s="47" t="s">
        <v>1135</v>
      </c>
    </row>
    <row r="3668" spans="1:13" ht="15" customHeight="1">
      <c r="A3668" s="47">
        <v>3163</v>
      </c>
      <c r="B3668" s="2">
        <v>4722</v>
      </c>
      <c r="C3668" t="s">
        <v>939</v>
      </c>
      <c r="D3668" s="47" t="s">
        <v>1132</v>
      </c>
      <c r="E3668" s="47" t="s">
        <v>1129</v>
      </c>
      <c r="F3668" t="s">
        <v>185</v>
      </c>
      <c r="H3668" t="s">
        <v>47</v>
      </c>
      <c r="I3668" t="s">
        <v>30</v>
      </c>
      <c r="J3668" t="s">
        <v>35</v>
      </c>
      <c r="K3668"/>
      <c r="L3668" s="47" t="s">
        <v>239</v>
      </c>
      <c r="M3668" s="47" t="s">
        <v>1135</v>
      </c>
    </row>
    <row r="3669" spans="1:13" ht="15" customHeight="1">
      <c r="A3669" s="47">
        <v>3163</v>
      </c>
      <c r="B3669" s="2">
        <v>4723</v>
      </c>
      <c r="C3669" t="s">
        <v>939</v>
      </c>
      <c r="D3669" s="2" t="s">
        <v>1127</v>
      </c>
      <c r="E3669" s="47" t="s">
        <v>1126</v>
      </c>
      <c r="F3669" t="s">
        <v>185</v>
      </c>
      <c r="H3669" t="s">
        <v>47</v>
      </c>
      <c r="I3669" t="s">
        <v>30</v>
      </c>
      <c r="J3669" t="s">
        <v>35</v>
      </c>
      <c r="K3669"/>
      <c r="L3669" s="47" t="s">
        <v>314</v>
      </c>
      <c r="M3669" s="47" t="s">
        <v>1136</v>
      </c>
    </row>
    <row r="3670" spans="1:13" ht="15" customHeight="1">
      <c r="A3670" s="47">
        <v>3164</v>
      </c>
      <c r="B3670" s="2">
        <v>4724</v>
      </c>
      <c r="C3670" t="s">
        <v>939</v>
      </c>
      <c r="D3670" s="47" t="s">
        <v>1134</v>
      </c>
      <c r="E3670" s="2" t="s">
        <v>1125</v>
      </c>
      <c r="F3670" t="s">
        <v>185</v>
      </c>
      <c r="G3670"/>
      <c r="H3670" t="s">
        <v>47</v>
      </c>
      <c r="I3670" t="s">
        <v>30</v>
      </c>
      <c r="J3670" t="s">
        <v>35</v>
      </c>
      <c r="K3670"/>
      <c r="L3670" s="47" t="s">
        <v>180</v>
      </c>
      <c r="M3670" s="47" t="s">
        <v>1135</v>
      </c>
    </row>
    <row r="3671" spans="1:13" ht="15" customHeight="1">
      <c r="A3671" s="47">
        <v>3164</v>
      </c>
      <c r="B3671" s="2">
        <v>4725</v>
      </c>
      <c r="C3671" t="s">
        <v>939</v>
      </c>
      <c r="D3671" s="47" t="s">
        <v>1130</v>
      </c>
      <c r="E3671" s="47" t="s">
        <v>1128</v>
      </c>
      <c r="F3671" t="s">
        <v>185</v>
      </c>
      <c r="H3671" t="s">
        <v>47</v>
      </c>
      <c r="I3671" t="s">
        <v>30</v>
      </c>
      <c r="J3671" t="s">
        <v>35</v>
      </c>
      <c r="K3671"/>
      <c r="L3671" s="47" t="s">
        <v>180</v>
      </c>
      <c r="M3671" s="47" t="s">
        <v>197</v>
      </c>
    </row>
    <row r="3672" spans="1:13" ht="15" customHeight="1">
      <c r="A3672" s="47">
        <v>3164</v>
      </c>
      <c r="B3672" s="2">
        <v>4726</v>
      </c>
      <c r="C3672" t="s">
        <v>939</v>
      </c>
      <c r="D3672" s="47" t="s">
        <v>1131</v>
      </c>
      <c r="E3672" s="47" t="s">
        <v>1129</v>
      </c>
      <c r="F3672" t="s">
        <v>185</v>
      </c>
      <c r="H3672" t="s">
        <v>47</v>
      </c>
      <c r="I3672" t="s">
        <v>30</v>
      </c>
      <c r="J3672" t="s">
        <v>35</v>
      </c>
      <c r="K3672"/>
      <c r="L3672" s="47" t="s">
        <v>239</v>
      </c>
      <c r="M3672" s="47" t="s">
        <v>1135</v>
      </c>
    </row>
    <row r="3673" spans="1:13" ht="15" customHeight="1">
      <c r="A3673" s="47">
        <v>3164</v>
      </c>
      <c r="B3673" s="2">
        <v>4727</v>
      </c>
      <c r="C3673" t="s">
        <v>939</v>
      </c>
      <c r="D3673" s="47" t="s">
        <v>1132</v>
      </c>
      <c r="E3673" s="47" t="s">
        <v>1129</v>
      </c>
      <c r="F3673" t="s">
        <v>185</v>
      </c>
      <c r="H3673" t="s">
        <v>47</v>
      </c>
      <c r="I3673" t="s">
        <v>30</v>
      </c>
      <c r="J3673" t="s">
        <v>35</v>
      </c>
      <c r="K3673"/>
      <c r="L3673" s="47" t="s">
        <v>239</v>
      </c>
      <c r="M3673" s="47" t="s">
        <v>1135</v>
      </c>
    </row>
    <row r="3674" spans="1:13" ht="15" customHeight="1">
      <c r="A3674" s="47">
        <v>3164</v>
      </c>
      <c r="B3674" s="2">
        <v>4728</v>
      </c>
      <c r="C3674" t="s">
        <v>939</v>
      </c>
      <c r="D3674" s="2" t="s">
        <v>1127</v>
      </c>
      <c r="E3674" s="47" t="s">
        <v>1126</v>
      </c>
      <c r="F3674" t="s">
        <v>185</v>
      </c>
      <c r="H3674" t="s">
        <v>47</v>
      </c>
      <c r="I3674" t="s">
        <v>30</v>
      </c>
      <c r="J3674" t="s">
        <v>35</v>
      </c>
      <c r="K3674"/>
      <c r="L3674" s="47" t="s">
        <v>314</v>
      </c>
      <c r="M3674" s="47" t="s">
        <v>1136</v>
      </c>
    </row>
    <row r="3675" spans="1:13" ht="15" customHeight="1">
      <c r="A3675" s="47">
        <v>3165</v>
      </c>
      <c r="B3675" s="2">
        <v>4729</v>
      </c>
      <c r="C3675" t="s">
        <v>939</v>
      </c>
      <c r="D3675" s="47" t="s">
        <v>1134</v>
      </c>
      <c r="E3675" s="2" t="s">
        <v>1125</v>
      </c>
      <c r="F3675" t="s">
        <v>185</v>
      </c>
      <c r="G3675"/>
      <c r="H3675" t="s">
        <v>47</v>
      </c>
      <c r="I3675" t="s">
        <v>30</v>
      </c>
      <c r="J3675" t="s">
        <v>35</v>
      </c>
      <c r="K3675"/>
      <c r="L3675" s="47" t="s">
        <v>180</v>
      </c>
      <c r="M3675" s="47" t="s">
        <v>1135</v>
      </c>
    </row>
    <row r="3676" spans="1:13" ht="15" customHeight="1">
      <c r="A3676" s="47">
        <v>3165</v>
      </c>
      <c r="B3676" s="2">
        <v>4730</v>
      </c>
      <c r="C3676" t="s">
        <v>939</v>
      </c>
      <c r="D3676" s="47" t="s">
        <v>1130</v>
      </c>
      <c r="E3676" s="47" t="s">
        <v>1128</v>
      </c>
      <c r="F3676" t="s">
        <v>185</v>
      </c>
      <c r="H3676" t="s">
        <v>47</v>
      </c>
      <c r="I3676" t="s">
        <v>30</v>
      </c>
      <c r="J3676" t="s">
        <v>35</v>
      </c>
      <c r="K3676"/>
      <c r="L3676" s="47" t="s">
        <v>180</v>
      </c>
      <c r="M3676" s="47" t="s">
        <v>197</v>
      </c>
    </row>
    <row r="3677" spans="1:13" ht="15" customHeight="1">
      <c r="A3677" s="47">
        <v>3165</v>
      </c>
      <c r="B3677" s="2">
        <v>4731</v>
      </c>
      <c r="C3677" t="s">
        <v>939</v>
      </c>
      <c r="D3677" s="47" t="s">
        <v>1131</v>
      </c>
      <c r="E3677" s="47" t="s">
        <v>1129</v>
      </c>
      <c r="F3677" t="s">
        <v>185</v>
      </c>
      <c r="H3677" t="s">
        <v>47</v>
      </c>
      <c r="I3677" t="s">
        <v>30</v>
      </c>
      <c r="J3677" t="s">
        <v>35</v>
      </c>
      <c r="K3677"/>
      <c r="L3677" s="47" t="s">
        <v>239</v>
      </c>
      <c r="M3677" s="47" t="s">
        <v>1135</v>
      </c>
    </row>
    <row r="3678" spans="1:13" ht="15" customHeight="1">
      <c r="A3678" s="47">
        <v>3165</v>
      </c>
      <c r="B3678" s="2">
        <v>4732</v>
      </c>
      <c r="C3678" t="s">
        <v>939</v>
      </c>
      <c r="D3678" s="47" t="s">
        <v>1132</v>
      </c>
      <c r="E3678" s="47" t="s">
        <v>1129</v>
      </c>
      <c r="F3678" t="s">
        <v>185</v>
      </c>
      <c r="H3678" t="s">
        <v>47</v>
      </c>
      <c r="I3678" t="s">
        <v>30</v>
      </c>
      <c r="J3678" t="s">
        <v>35</v>
      </c>
      <c r="K3678"/>
      <c r="L3678" s="47" t="s">
        <v>239</v>
      </c>
      <c r="M3678" s="47" t="s">
        <v>1135</v>
      </c>
    </row>
    <row r="3679" spans="1:13" ht="15" customHeight="1">
      <c r="A3679" s="47">
        <v>3165</v>
      </c>
      <c r="B3679" s="2">
        <v>4733</v>
      </c>
      <c r="C3679" t="s">
        <v>939</v>
      </c>
      <c r="D3679" s="2" t="s">
        <v>1127</v>
      </c>
      <c r="E3679" s="47" t="s">
        <v>1126</v>
      </c>
      <c r="F3679" t="s">
        <v>185</v>
      </c>
      <c r="H3679" t="s">
        <v>47</v>
      </c>
      <c r="I3679" t="s">
        <v>30</v>
      </c>
      <c r="J3679" t="s">
        <v>35</v>
      </c>
      <c r="K3679"/>
      <c r="L3679" s="47" t="s">
        <v>314</v>
      </c>
      <c r="M3679" s="47" t="s">
        <v>1136</v>
      </c>
    </row>
    <row r="3680" spans="1:13" ht="15" customHeight="1">
      <c r="A3680" s="47">
        <v>3166</v>
      </c>
      <c r="B3680" s="2">
        <v>4734</v>
      </c>
      <c r="C3680" t="s">
        <v>939</v>
      </c>
      <c r="D3680" s="47" t="s">
        <v>1134</v>
      </c>
      <c r="E3680" s="2" t="s">
        <v>1125</v>
      </c>
      <c r="F3680" t="s">
        <v>185</v>
      </c>
      <c r="G3680"/>
      <c r="H3680" t="s">
        <v>47</v>
      </c>
      <c r="I3680" t="s">
        <v>30</v>
      </c>
      <c r="J3680" t="s">
        <v>35</v>
      </c>
      <c r="K3680"/>
      <c r="L3680" s="47" t="s">
        <v>180</v>
      </c>
      <c r="M3680" s="47" t="s">
        <v>1135</v>
      </c>
    </row>
    <row r="3681" spans="1:13" ht="15" customHeight="1">
      <c r="A3681" s="47">
        <v>3166</v>
      </c>
      <c r="B3681" s="2">
        <v>4735</v>
      </c>
      <c r="C3681" t="s">
        <v>939</v>
      </c>
      <c r="D3681" s="47" t="s">
        <v>1130</v>
      </c>
      <c r="E3681" s="47" t="s">
        <v>1128</v>
      </c>
      <c r="F3681" t="s">
        <v>185</v>
      </c>
      <c r="H3681" t="s">
        <v>47</v>
      </c>
      <c r="I3681" t="s">
        <v>30</v>
      </c>
      <c r="J3681" t="s">
        <v>35</v>
      </c>
      <c r="K3681"/>
      <c r="L3681" s="47" t="s">
        <v>180</v>
      </c>
      <c r="M3681" s="47" t="s">
        <v>197</v>
      </c>
    </row>
    <row r="3682" spans="1:13" ht="15" customHeight="1">
      <c r="A3682" s="47">
        <v>3166</v>
      </c>
      <c r="B3682" s="2">
        <v>4736</v>
      </c>
      <c r="C3682" t="s">
        <v>939</v>
      </c>
      <c r="D3682" s="47" t="s">
        <v>1131</v>
      </c>
      <c r="E3682" s="47" t="s">
        <v>1129</v>
      </c>
      <c r="F3682" t="s">
        <v>185</v>
      </c>
      <c r="H3682" t="s">
        <v>47</v>
      </c>
      <c r="I3682" t="s">
        <v>30</v>
      </c>
      <c r="J3682" t="s">
        <v>35</v>
      </c>
      <c r="K3682"/>
      <c r="L3682" s="47" t="s">
        <v>239</v>
      </c>
      <c r="M3682" s="47" t="s">
        <v>1135</v>
      </c>
    </row>
    <row r="3683" spans="1:13" ht="15" customHeight="1">
      <c r="A3683" s="47">
        <v>3166</v>
      </c>
      <c r="B3683" s="2">
        <v>4737</v>
      </c>
      <c r="C3683" t="s">
        <v>939</v>
      </c>
      <c r="D3683" s="47" t="s">
        <v>1132</v>
      </c>
      <c r="E3683" s="47" t="s">
        <v>1129</v>
      </c>
      <c r="F3683" t="s">
        <v>185</v>
      </c>
      <c r="H3683" t="s">
        <v>47</v>
      </c>
      <c r="I3683" t="s">
        <v>30</v>
      </c>
      <c r="J3683" t="s">
        <v>35</v>
      </c>
      <c r="K3683"/>
      <c r="L3683" s="47" t="s">
        <v>239</v>
      </c>
      <c r="M3683" s="47" t="s">
        <v>1135</v>
      </c>
    </row>
    <row r="3684" spans="1:13" ht="15" customHeight="1">
      <c r="A3684" s="47">
        <v>3166</v>
      </c>
      <c r="B3684" s="2">
        <v>4738</v>
      </c>
      <c r="C3684" t="s">
        <v>939</v>
      </c>
      <c r="D3684" s="2" t="s">
        <v>1127</v>
      </c>
      <c r="E3684" s="47" t="s">
        <v>1126</v>
      </c>
      <c r="F3684" t="s">
        <v>185</v>
      </c>
      <c r="H3684" t="s">
        <v>47</v>
      </c>
      <c r="I3684" t="s">
        <v>30</v>
      </c>
      <c r="J3684" t="s">
        <v>35</v>
      </c>
      <c r="K3684"/>
      <c r="L3684" s="47" t="s">
        <v>314</v>
      </c>
      <c r="M3684" s="47" t="s">
        <v>1136</v>
      </c>
    </row>
    <row r="3685" spans="1:13" ht="15" customHeight="1">
      <c r="A3685" s="47">
        <v>3167</v>
      </c>
      <c r="B3685" s="2">
        <v>4739</v>
      </c>
      <c r="C3685" t="s">
        <v>939</v>
      </c>
      <c r="D3685" s="47" t="s">
        <v>1134</v>
      </c>
      <c r="E3685" s="2" t="s">
        <v>1125</v>
      </c>
      <c r="F3685" t="s">
        <v>185</v>
      </c>
      <c r="G3685"/>
      <c r="H3685" t="s">
        <v>47</v>
      </c>
      <c r="I3685" t="s">
        <v>30</v>
      </c>
      <c r="J3685" t="s">
        <v>35</v>
      </c>
      <c r="K3685"/>
      <c r="L3685" s="47" t="s">
        <v>180</v>
      </c>
      <c r="M3685" s="47" t="s">
        <v>1135</v>
      </c>
    </row>
    <row r="3686" spans="1:13" ht="15" customHeight="1">
      <c r="A3686" s="47">
        <v>3167</v>
      </c>
      <c r="B3686" s="2">
        <v>4740</v>
      </c>
      <c r="C3686" t="s">
        <v>939</v>
      </c>
      <c r="D3686" s="47" t="s">
        <v>1130</v>
      </c>
      <c r="E3686" s="47" t="s">
        <v>1128</v>
      </c>
      <c r="F3686" t="s">
        <v>185</v>
      </c>
      <c r="H3686" t="s">
        <v>47</v>
      </c>
      <c r="I3686" t="s">
        <v>30</v>
      </c>
      <c r="J3686" t="s">
        <v>35</v>
      </c>
      <c r="K3686"/>
      <c r="L3686" s="47" t="s">
        <v>180</v>
      </c>
      <c r="M3686" s="47" t="s">
        <v>197</v>
      </c>
    </row>
    <row r="3687" spans="1:13" ht="15" customHeight="1">
      <c r="A3687" s="47">
        <v>3167</v>
      </c>
      <c r="B3687" s="2">
        <v>4741</v>
      </c>
      <c r="C3687" t="s">
        <v>939</v>
      </c>
      <c r="D3687" s="47" t="s">
        <v>1131</v>
      </c>
      <c r="E3687" s="47" t="s">
        <v>1129</v>
      </c>
      <c r="F3687" t="s">
        <v>185</v>
      </c>
      <c r="H3687" t="s">
        <v>47</v>
      </c>
      <c r="I3687" t="s">
        <v>30</v>
      </c>
      <c r="J3687" t="s">
        <v>35</v>
      </c>
      <c r="K3687"/>
      <c r="L3687" s="47" t="s">
        <v>239</v>
      </c>
      <c r="M3687" s="47" t="s">
        <v>1135</v>
      </c>
    </row>
    <row r="3688" spans="1:13" ht="15" customHeight="1">
      <c r="A3688" s="47">
        <v>3167</v>
      </c>
      <c r="B3688" s="2">
        <v>4742</v>
      </c>
      <c r="C3688" t="s">
        <v>939</v>
      </c>
      <c r="D3688" s="47" t="s">
        <v>1132</v>
      </c>
      <c r="E3688" s="47" t="s">
        <v>1129</v>
      </c>
      <c r="F3688" t="s">
        <v>185</v>
      </c>
      <c r="H3688" t="s">
        <v>47</v>
      </c>
      <c r="I3688" t="s">
        <v>30</v>
      </c>
      <c r="J3688" t="s">
        <v>35</v>
      </c>
      <c r="K3688"/>
      <c r="L3688" s="47" t="s">
        <v>239</v>
      </c>
      <c r="M3688" s="47" t="s">
        <v>1135</v>
      </c>
    </row>
    <row r="3689" spans="1:13" ht="15" customHeight="1">
      <c r="A3689" s="47">
        <v>3167</v>
      </c>
      <c r="B3689" s="2">
        <v>4743</v>
      </c>
      <c r="C3689" t="s">
        <v>939</v>
      </c>
      <c r="D3689" s="2" t="s">
        <v>1127</v>
      </c>
      <c r="E3689" s="47" t="s">
        <v>1126</v>
      </c>
      <c r="F3689" t="s">
        <v>185</v>
      </c>
      <c r="H3689" t="s">
        <v>47</v>
      </c>
      <c r="I3689" t="s">
        <v>30</v>
      </c>
      <c r="J3689" t="s">
        <v>35</v>
      </c>
      <c r="K3689"/>
      <c r="L3689" s="47" t="s">
        <v>314</v>
      </c>
      <c r="M3689" s="47" t="s">
        <v>1136</v>
      </c>
    </row>
    <row r="3690" spans="1:13" ht="15" customHeight="1">
      <c r="A3690" s="47">
        <v>3168</v>
      </c>
      <c r="B3690" s="2">
        <v>4744</v>
      </c>
      <c r="C3690" t="s">
        <v>939</v>
      </c>
      <c r="D3690" s="47" t="s">
        <v>1134</v>
      </c>
      <c r="E3690" s="2" t="s">
        <v>1125</v>
      </c>
      <c r="F3690" t="s">
        <v>185</v>
      </c>
      <c r="G3690"/>
      <c r="H3690" t="s">
        <v>47</v>
      </c>
      <c r="I3690" t="s">
        <v>30</v>
      </c>
      <c r="J3690" t="s">
        <v>35</v>
      </c>
      <c r="K3690"/>
      <c r="L3690" s="47" t="s">
        <v>180</v>
      </c>
      <c r="M3690" s="47" t="s">
        <v>1135</v>
      </c>
    </row>
    <row r="3691" spans="1:13" ht="15" customHeight="1">
      <c r="A3691" s="47">
        <v>3168</v>
      </c>
      <c r="B3691" s="2">
        <v>4745</v>
      </c>
      <c r="C3691" t="s">
        <v>939</v>
      </c>
      <c r="D3691" s="47" t="s">
        <v>1130</v>
      </c>
      <c r="E3691" s="47" t="s">
        <v>1128</v>
      </c>
      <c r="F3691" t="s">
        <v>185</v>
      </c>
      <c r="H3691" t="s">
        <v>47</v>
      </c>
      <c r="I3691" t="s">
        <v>30</v>
      </c>
      <c r="J3691" t="s">
        <v>35</v>
      </c>
      <c r="K3691"/>
      <c r="L3691" s="47" t="s">
        <v>180</v>
      </c>
      <c r="M3691" s="47" t="s">
        <v>197</v>
      </c>
    </row>
    <row r="3692" spans="1:13" ht="15" customHeight="1">
      <c r="A3692" s="47">
        <v>3168</v>
      </c>
      <c r="B3692" s="2">
        <v>4746</v>
      </c>
      <c r="C3692" t="s">
        <v>939</v>
      </c>
      <c r="D3692" s="47" t="s">
        <v>1131</v>
      </c>
      <c r="E3692" s="47" t="s">
        <v>1129</v>
      </c>
      <c r="F3692" t="s">
        <v>185</v>
      </c>
      <c r="H3692" t="s">
        <v>47</v>
      </c>
      <c r="I3692" t="s">
        <v>30</v>
      </c>
      <c r="J3692" t="s">
        <v>35</v>
      </c>
      <c r="K3692"/>
      <c r="L3692" s="47" t="s">
        <v>239</v>
      </c>
      <c r="M3692" s="47" t="s">
        <v>1135</v>
      </c>
    </row>
    <row r="3693" spans="1:13" ht="15" customHeight="1">
      <c r="A3693" s="47">
        <v>3168</v>
      </c>
      <c r="B3693" s="2">
        <v>4747</v>
      </c>
      <c r="C3693" t="s">
        <v>939</v>
      </c>
      <c r="D3693" s="47" t="s">
        <v>1132</v>
      </c>
      <c r="E3693" s="47" t="s">
        <v>1129</v>
      </c>
      <c r="F3693" t="s">
        <v>185</v>
      </c>
      <c r="H3693" t="s">
        <v>47</v>
      </c>
      <c r="I3693" t="s">
        <v>30</v>
      </c>
      <c r="J3693" t="s">
        <v>35</v>
      </c>
      <c r="K3693"/>
      <c r="L3693" s="47" t="s">
        <v>239</v>
      </c>
      <c r="M3693" s="47" t="s">
        <v>1135</v>
      </c>
    </row>
    <row r="3694" spans="1:13" ht="15" customHeight="1">
      <c r="A3694" s="47">
        <v>3168</v>
      </c>
      <c r="B3694" s="2">
        <v>4748</v>
      </c>
      <c r="C3694" t="s">
        <v>939</v>
      </c>
      <c r="D3694" s="2" t="s">
        <v>1127</v>
      </c>
      <c r="E3694" s="47" t="s">
        <v>1126</v>
      </c>
      <c r="F3694" t="s">
        <v>185</v>
      </c>
      <c r="H3694" t="s">
        <v>47</v>
      </c>
      <c r="I3694" t="s">
        <v>30</v>
      </c>
      <c r="J3694" t="s">
        <v>35</v>
      </c>
      <c r="K3694"/>
      <c r="L3694" s="47" t="s">
        <v>314</v>
      </c>
      <c r="M3694" s="47" t="s">
        <v>1136</v>
      </c>
    </row>
    <row r="3695" spans="1:13" ht="15" customHeight="1">
      <c r="A3695" s="47">
        <v>3169</v>
      </c>
      <c r="B3695" s="2">
        <v>4749</v>
      </c>
      <c r="C3695" t="s">
        <v>939</v>
      </c>
      <c r="D3695" s="47" t="s">
        <v>1134</v>
      </c>
      <c r="E3695" s="2" t="s">
        <v>1125</v>
      </c>
      <c r="F3695" t="s">
        <v>185</v>
      </c>
      <c r="G3695"/>
      <c r="H3695" t="s">
        <v>47</v>
      </c>
      <c r="I3695" t="s">
        <v>30</v>
      </c>
      <c r="J3695" t="s">
        <v>35</v>
      </c>
      <c r="K3695"/>
      <c r="L3695" s="47" t="s">
        <v>180</v>
      </c>
      <c r="M3695" s="47" t="s">
        <v>1135</v>
      </c>
    </row>
    <row r="3696" spans="1:13" ht="15" customHeight="1">
      <c r="A3696" s="47">
        <v>3169</v>
      </c>
      <c r="B3696" s="2">
        <v>4750</v>
      </c>
      <c r="C3696" t="s">
        <v>939</v>
      </c>
      <c r="D3696" s="47" t="s">
        <v>1130</v>
      </c>
      <c r="E3696" s="47" t="s">
        <v>1128</v>
      </c>
      <c r="F3696" t="s">
        <v>185</v>
      </c>
      <c r="H3696" t="s">
        <v>47</v>
      </c>
      <c r="I3696" t="s">
        <v>30</v>
      </c>
      <c r="J3696" t="s">
        <v>35</v>
      </c>
      <c r="K3696"/>
      <c r="L3696" s="47" t="s">
        <v>180</v>
      </c>
      <c r="M3696" s="47" t="s">
        <v>197</v>
      </c>
    </row>
    <row r="3697" spans="1:13" ht="15" customHeight="1">
      <c r="A3697" s="47">
        <v>3169</v>
      </c>
      <c r="B3697" s="2">
        <v>4751</v>
      </c>
      <c r="C3697" t="s">
        <v>939</v>
      </c>
      <c r="D3697" s="47" t="s">
        <v>1131</v>
      </c>
      <c r="E3697" s="47" t="s">
        <v>1129</v>
      </c>
      <c r="F3697" t="s">
        <v>185</v>
      </c>
      <c r="H3697" t="s">
        <v>47</v>
      </c>
      <c r="I3697" t="s">
        <v>30</v>
      </c>
      <c r="J3697" t="s">
        <v>35</v>
      </c>
      <c r="K3697"/>
      <c r="L3697" s="47" t="s">
        <v>239</v>
      </c>
      <c r="M3697" s="47" t="s">
        <v>1135</v>
      </c>
    </row>
    <row r="3698" spans="1:13" ht="15" customHeight="1">
      <c r="A3698" s="47">
        <v>3169</v>
      </c>
      <c r="B3698" s="2">
        <v>4752</v>
      </c>
      <c r="C3698" t="s">
        <v>939</v>
      </c>
      <c r="D3698" s="47" t="s">
        <v>1132</v>
      </c>
      <c r="E3698" s="47" t="s">
        <v>1129</v>
      </c>
      <c r="F3698" t="s">
        <v>185</v>
      </c>
      <c r="H3698" t="s">
        <v>47</v>
      </c>
      <c r="I3698" t="s">
        <v>30</v>
      </c>
      <c r="J3698" t="s">
        <v>35</v>
      </c>
      <c r="K3698"/>
      <c r="L3698" s="47" t="s">
        <v>239</v>
      </c>
      <c r="M3698" s="47" t="s">
        <v>1135</v>
      </c>
    </row>
    <row r="3699" spans="1:13" ht="15" customHeight="1">
      <c r="A3699" s="47">
        <v>3169</v>
      </c>
      <c r="B3699" s="2">
        <v>4753</v>
      </c>
      <c r="C3699" t="s">
        <v>939</v>
      </c>
      <c r="D3699" s="2" t="s">
        <v>1127</v>
      </c>
      <c r="E3699" s="47" t="s">
        <v>1126</v>
      </c>
      <c r="F3699" t="s">
        <v>185</v>
      </c>
      <c r="H3699" t="s">
        <v>47</v>
      </c>
      <c r="I3699" t="s">
        <v>30</v>
      </c>
      <c r="J3699" t="s">
        <v>35</v>
      </c>
      <c r="K3699"/>
      <c r="L3699" s="47" t="s">
        <v>314</v>
      </c>
      <c r="M3699" s="47" t="s">
        <v>1136</v>
      </c>
    </row>
    <row r="3700" spans="1:13" ht="15" customHeight="1">
      <c r="A3700" s="47">
        <v>3170</v>
      </c>
      <c r="B3700" s="2">
        <v>4754</v>
      </c>
      <c r="C3700" t="s">
        <v>939</v>
      </c>
      <c r="D3700" s="47" t="s">
        <v>1134</v>
      </c>
      <c r="E3700" s="2" t="s">
        <v>1125</v>
      </c>
      <c r="F3700" t="s">
        <v>185</v>
      </c>
      <c r="G3700"/>
      <c r="H3700" t="s">
        <v>47</v>
      </c>
      <c r="I3700" t="s">
        <v>30</v>
      </c>
      <c r="J3700" t="s">
        <v>35</v>
      </c>
      <c r="K3700"/>
      <c r="L3700" s="47" t="s">
        <v>180</v>
      </c>
      <c r="M3700" s="47" t="s">
        <v>1135</v>
      </c>
    </row>
    <row r="3701" spans="1:13" ht="15" customHeight="1">
      <c r="A3701" s="47">
        <v>3170</v>
      </c>
      <c r="B3701" s="2">
        <v>4755</v>
      </c>
      <c r="C3701" t="s">
        <v>939</v>
      </c>
      <c r="D3701" s="47" t="s">
        <v>1130</v>
      </c>
      <c r="E3701" s="47" t="s">
        <v>1128</v>
      </c>
      <c r="F3701" t="s">
        <v>185</v>
      </c>
      <c r="H3701" t="s">
        <v>47</v>
      </c>
      <c r="I3701" t="s">
        <v>30</v>
      </c>
      <c r="J3701" t="s">
        <v>35</v>
      </c>
      <c r="K3701"/>
      <c r="L3701" s="47" t="s">
        <v>180</v>
      </c>
      <c r="M3701" s="47" t="s">
        <v>197</v>
      </c>
    </row>
    <row r="3702" spans="1:13" ht="15" customHeight="1">
      <c r="A3702" s="47">
        <v>3170</v>
      </c>
      <c r="B3702" s="2">
        <v>4756</v>
      </c>
      <c r="C3702" t="s">
        <v>939</v>
      </c>
      <c r="D3702" s="47" t="s">
        <v>1131</v>
      </c>
      <c r="E3702" s="47" t="s">
        <v>1129</v>
      </c>
      <c r="F3702" t="s">
        <v>185</v>
      </c>
      <c r="H3702" t="s">
        <v>47</v>
      </c>
      <c r="I3702" t="s">
        <v>30</v>
      </c>
      <c r="J3702" t="s">
        <v>35</v>
      </c>
      <c r="K3702"/>
      <c r="L3702" s="47" t="s">
        <v>239</v>
      </c>
      <c r="M3702" s="47" t="s">
        <v>1135</v>
      </c>
    </row>
    <row r="3703" spans="1:13" ht="15" customHeight="1">
      <c r="A3703" s="47">
        <v>3170</v>
      </c>
      <c r="B3703" s="2">
        <v>4757</v>
      </c>
      <c r="C3703" t="s">
        <v>939</v>
      </c>
      <c r="D3703" s="47" t="s">
        <v>1132</v>
      </c>
      <c r="E3703" s="47" t="s">
        <v>1129</v>
      </c>
      <c r="F3703" t="s">
        <v>185</v>
      </c>
      <c r="H3703" t="s">
        <v>47</v>
      </c>
      <c r="I3703" t="s">
        <v>30</v>
      </c>
      <c r="J3703" t="s">
        <v>35</v>
      </c>
      <c r="K3703"/>
      <c r="L3703" s="47" t="s">
        <v>239</v>
      </c>
      <c r="M3703" s="47" t="s">
        <v>1135</v>
      </c>
    </row>
    <row r="3704" spans="1:13" ht="15" customHeight="1">
      <c r="A3704" s="47">
        <v>3170</v>
      </c>
      <c r="B3704" s="2">
        <v>4758</v>
      </c>
      <c r="C3704" t="s">
        <v>939</v>
      </c>
      <c r="D3704" s="2" t="s">
        <v>1127</v>
      </c>
      <c r="E3704" s="47" t="s">
        <v>1126</v>
      </c>
      <c r="F3704" t="s">
        <v>185</v>
      </c>
      <c r="H3704" t="s">
        <v>47</v>
      </c>
      <c r="I3704" t="s">
        <v>30</v>
      </c>
      <c r="J3704" t="s">
        <v>35</v>
      </c>
      <c r="K3704"/>
      <c r="L3704" s="47" t="s">
        <v>314</v>
      </c>
      <c r="M3704" s="47" t="s">
        <v>1136</v>
      </c>
    </row>
    <row r="3705" spans="1:13" ht="15" customHeight="1">
      <c r="A3705" s="47">
        <v>3171</v>
      </c>
      <c r="B3705" s="2">
        <v>4759</v>
      </c>
      <c r="C3705" t="s">
        <v>939</v>
      </c>
      <c r="D3705" s="47" t="s">
        <v>1134</v>
      </c>
      <c r="E3705" s="2" t="s">
        <v>1125</v>
      </c>
      <c r="F3705" t="s">
        <v>185</v>
      </c>
      <c r="G3705"/>
      <c r="H3705" t="s">
        <v>47</v>
      </c>
      <c r="I3705" t="s">
        <v>30</v>
      </c>
      <c r="J3705" t="s">
        <v>35</v>
      </c>
      <c r="K3705"/>
      <c r="L3705" s="47" t="s">
        <v>180</v>
      </c>
      <c r="M3705" s="47" t="s">
        <v>1135</v>
      </c>
    </row>
    <row r="3706" spans="1:13" ht="15" customHeight="1">
      <c r="A3706" s="47">
        <v>3171</v>
      </c>
      <c r="B3706" s="2">
        <v>4760</v>
      </c>
      <c r="C3706" t="s">
        <v>939</v>
      </c>
      <c r="D3706" s="47" t="s">
        <v>1130</v>
      </c>
      <c r="E3706" s="47" t="s">
        <v>1128</v>
      </c>
      <c r="F3706" t="s">
        <v>185</v>
      </c>
      <c r="H3706" t="s">
        <v>47</v>
      </c>
      <c r="I3706" t="s">
        <v>30</v>
      </c>
      <c r="J3706" t="s">
        <v>35</v>
      </c>
      <c r="K3706"/>
      <c r="L3706" s="47" t="s">
        <v>180</v>
      </c>
      <c r="M3706" s="47" t="s">
        <v>197</v>
      </c>
    </row>
    <row r="3707" spans="1:13" ht="15" customHeight="1">
      <c r="A3707" s="47">
        <v>3171</v>
      </c>
      <c r="B3707" s="2">
        <v>4761</v>
      </c>
      <c r="C3707" t="s">
        <v>939</v>
      </c>
      <c r="D3707" s="47" t="s">
        <v>1131</v>
      </c>
      <c r="E3707" s="47" t="s">
        <v>1129</v>
      </c>
      <c r="F3707" t="s">
        <v>185</v>
      </c>
      <c r="H3707" t="s">
        <v>47</v>
      </c>
      <c r="I3707" t="s">
        <v>30</v>
      </c>
      <c r="J3707" t="s">
        <v>35</v>
      </c>
      <c r="K3707"/>
      <c r="L3707" s="47" t="s">
        <v>239</v>
      </c>
      <c r="M3707" s="47" t="s">
        <v>1135</v>
      </c>
    </row>
    <row r="3708" spans="1:13" ht="15" customHeight="1">
      <c r="A3708" s="47">
        <v>3171</v>
      </c>
      <c r="B3708" s="2">
        <v>4762</v>
      </c>
      <c r="C3708" t="s">
        <v>939</v>
      </c>
      <c r="D3708" s="47" t="s">
        <v>1132</v>
      </c>
      <c r="E3708" s="47" t="s">
        <v>1129</v>
      </c>
      <c r="F3708" t="s">
        <v>185</v>
      </c>
      <c r="H3708" t="s">
        <v>47</v>
      </c>
      <c r="I3708" t="s">
        <v>30</v>
      </c>
      <c r="J3708" t="s">
        <v>35</v>
      </c>
      <c r="K3708"/>
      <c r="L3708" s="47" t="s">
        <v>239</v>
      </c>
      <c r="M3708" s="47" t="s">
        <v>1135</v>
      </c>
    </row>
    <row r="3709" spans="1:13" ht="15" customHeight="1">
      <c r="A3709" s="47">
        <v>3171</v>
      </c>
      <c r="B3709" s="2">
        <v>4763</v>
      </c>
      <c r="C3709" t="s">
        <v>939</v>
      </c>
      <c r="D3709" s="2" t="s">
        <v>1127</v>
      </c>
      <c r="E3709" s="47" t="s">
        <v>1126</v>
      </c>
      <c r="F3709" t="s">
        <v>185</v>
      </c>
      <c r="H3709" t="s">
        <v>47</v>
      </c>
      <c r="I3709" t="s">
        <v>30</v>
      </c>
      <c r="J3709" t="s">
        <v>35</v>
      </c>
      <c r="K3709"/>
      <c r="L3709" s="47" t="s">
        <v>314</v>
      </c>
      <c r="M3709" s="47" t="s">
        <v>1136</v>
      </c>
    </row>
    <row r="3710" spans="1:13" ht="15" customHeight="1">
      <c r="A3710" s="47">
        <v>3172</v>
      </c>
      <c r="B3710" s="2">
        <v>4764</v>
      </c>
      <c r="C3710" t="s">
        <v>939</v>
      </c>
      <c r="D3710" s="47" t="s">
        <v>1134</v>
      </c>
      <c r="E3710" s="2" t="s">
        <v>1125</v>
      </c>
      <c r="F3710" t="s">
        <v>185</v>
      </c>
      <c r="G3710"/>
      <c r="H3710" t="s">
        <v>47</v>
      </c>
      <c r="I3710" t="s">
        <v>30</v>
      </c>
      <c r="J3710" t="s">
        <v>35</v>
      </c>
      <c r="K3710"/>
      <c r="L3710" s="47" t="s">
        <v>180</v>
      </c>
      <c r="M3710" s="47" t="s">
        <v>1135</v>
      </c>
    </row>
    <row r="3711" spans="1:13" ht="15" customHeight="1">
      <c r="A3711" s="47">
        <v>3172</v>
      </c>
      <c r="B3711" s="2">
        <v>4765</v>
      </c>
      <c r="C3711" t="s">
        <v>939</v>
      </c>
      <c r="D3711" s="47" t="s">
        <v>1130</v>
      </c>
      <c r="E3711" s="47" t="s">
        <v>1128</v>
      </c>
      <c r="F3711" t="s">
        <v>185</v>
      </c>
      <c r="H3711" t="s">
        <v>47</v>
      </c>
      <c r="I3711" t="s">
        <v>30</v>
      </c>
      <c r="J3711" t="s">
        <v>35</v>
      </c>
      <c r="K3711"/>
      <c r="L3711" s="47" t="s">
        <v>180</v>
      </c>
      <c r="M3711" s="47" t="s">
        <v>197</v>
      </c>
    </row>
    <row r="3712" spans="1:13" ht="15" customHeight="1">
      <c r="A3712" s="47">
        <v>3172</v>
      </c>
      <c r="B3712" s="2">
        <v>4766</v>
      </c>
      <c r="C3712" t="s">
        <v>939</v>
      </c>
      <c r="D3712" s="47" t="s">
        <v>1131</v>
      </c>
      <c r="E3712" s="47" t="s">
        <v>1129</v>
      </c>
      <c r="F3712" t="s">
        <v>185</v>
      </c>
      <c r="H3712" t="s">
        <v>47</v>
      </c>
      <c r="I3712" t="s">
        <v>30</v>
      </c>
      <c r="J3712" t="s">
        <v>35</v>
      </c>
      <c r="K3712"/>
      <c r="L3712" s="47" t="s">
        <v>239</v>
      </c>
      <c r="M3712" s="47" t="s">
        <v>1135</v>
      </c>
    </row>
    <row r="3713" spans="1:16" ht="15" customHeight="1">
      <c r="A3713" s="47">
        <v>3172</v>
      </c>
      <c r="B3713" s="2">
        <v>4767</v>
      </c>
      <c r="C3713" t="s">
        <v>939</v>
      </c>
      <c r="D3713" s="47" t="s">
        <v>1132</v>
      </c>
      <c r="E3713" s="47" t="s">
        <v>1129</v>
      </c>
      <c r="F3713" t="s">
        <v>185</v>
      </c>
      <c r="H3713" t="s">
        <v>47</v>
      </c>
      <c r="I3713" t="s">
        <v>30</v>
      </c>
      <c r="J3713" t="s">
        <v>35</v>
      </c>
      <c r="K3713"/>
      <c r="L3713" s="47" t="s">
        <v>239</v>
      </c>
      <c r="M3713" s="47" t="s">
        <v>1135</v>
      </c>
    </row>
    <row r="3714" spans="1:16" ht="15" customHeight="1">
      <c r="A3714" s="47">
        <v>3172</v>
      </c>
      <c r="B3714" s="2">
        <v>4768</v>
      </c>
      <c r="C3714" t="s">
        <v>939</v>
      </c>
      <c r="D3714" s="2" t="s">
        <v>1127</v>
      </c>
      <c r="E3714" s="47" t="s">
        <v>1126</v>
      </c>
      <c r="F3714" t="s">
        <v>185</v>
      </c>
      <c r="H3714" t="s">
        <v>47</v>
      </c>
      <c r="I3714" t="s">
        <v>30</v>
      </c>
      <c r="J3714" t="s">
        <v>35</v>
      </c>
      <c r="K3714"/>
      <c r="L3714" s="47" t="s">
        <v>314</v>
      </c>
      <c r="M3714" s="47" t="s">
        <v>1136</v>
      </c>
    </row>
    <row r="3715" spans="1:16" ht="15" customHeight="1">
      <c r="A3715" s="47">
        <v>3173</v>
      </c>
      <c r="B3715" s="2">
        <v>4769</v>
      </c>
      <c r="C3715" t="s">
        <v>939</v>
      </c>
      <c r="D3715" s="47" t="s">
        <v>1134</v>
      </c>
      <c r="E3715" s="2" t="s">
        <v>1125</v>
      </c>
      <c r="F3715" t="s">
        <v>185</v>
      </c>
      <c r="G3715"/>
      <c r="H3715" t="s">
        <v>47</v>
      </c>
      <c r="I3715" t="s">
        <v>30</v>
      </c>
      <c r="J3715" t="s">
        <v>35</v>
      </c>
      <c r="K3715"/>
      <c r="L3715" s="47" t="s">
        <v>180</v>
      </c>
      <c r="M3715" s="47" t="s">
        <v>1135</v>
      </c>
    </row>
    <row r="3716" spans="1:16" ht="15" customHeight="1">
      <c r="A3716" s="47">
        <v>3173</v>
      </c>
      <c r="B3716" s="2">
        <v>4770</v>
      </c>
      <c r="C3716" t="s">
        <v>939</v>
      </c>
      <c r="D3716" s="47" t="s">
        <v>1130</v>
      </c>
      <c r="E3716" s="47" t="s">
        <v>1128</v>
      </c>
      <c r="F3716" t="s">
        <v>185</v>
      </c>
      <c r="H3716" t="s">
        <v>47</v>
      </c>
      <c r="I3716" t="s">
        <v>30</v>
      </c>
      <c r="J3716" t="s">
        <v>35</v>
      </c>
      <c r="K3716"/>
      <c r="L3716" s="47" t="s">
        <v>180</v>
      </c>
      <c r="M3716" s="47" t="s">
        <v>197</v>
      </c>
    </row>
    <row r="3717" spans="1:16" ht="15" customHeight="1">
      <c r="A3717" s="47">
        <v>3173</v>
      </c>
      <c r="B3717" s="2">
        <v>4771</v>
      </c>
      <c r="C3717" t="s">
        <v>939</v>
      </c>
      <c r="D3717" s="47" t="s">
        <v>1131</v>
      </c>
      <c r="E3717" s="47" t="s">
        <v>1129</v>
      </c>
      <c r="F3717" t="s">
        <v>185</v>
      </c>
      <c r="H3717" t="s">
        <v>47</v>
      </c>
      <c r="I3717" t="s">
        <v>30</v>
      </c>
      <c r="J3717" t="s">
        <v>35</v>
      </c>
      <c r="K3717"/>
      <c r="L3717" s="47" t="s">
        <v>239</v>
      </c>
      <c r="M3717" s="47" t="s">
        <v>1135</v>
      </c>
    </row>
    <row r="3718" spans="1:16" ht="15" customHeight="1">
      <c r="A3718" s="47">
        <v>3173</v>
      </c>
      <c r="B3718" s="2">
        <v>4772</v>
      </c>
      <c r="C3718" t="s">
        <v>939</v>
      </c>
      <c r="D3718" s="47" t="s">
        <v>1132</v>
      </c>
      <c r="E3718" s="47" t="s">
        <v>1129</v>
      </c>
      <c r="F3718" t="s">
        <v>185</v>
      </c>
      <c r="H3718" t="s">
        <v>47</v>
      </c>
      <c r="I3718" t="s">
        <v>30</v>
      </c>
      <c r="J3718" t="s">
        <v>35</v>
      </c>
      <c r="K3718"/>
      <c r="L3718" s="47" t="s">
        <v>239</v>
      </c>
      <c r="M3718" s="47" t="s">
        <v>1135</v>
      </c>
    </row>
    <row r="3719" spans="1:16" ht="15" customHeight="1">
      <c r="A3719" s="47">
        <v>3173</v>
      </c>
      <c r="B3719" s="2">
        <v>4773</v>
      </c>
      <c r="C3719" t="s">
        <v>939</v>
      </c>
      <c r="D3719" s="2" t="s">
        <v>1127</v>
      </c>
      <c r="E3719" s="47" t="s">
        <v>1126</v>
      </c>
      <c r="F3719" t="s">
        <v>185</v>
      </c>
      <c r="H3719" t="s">
        <v>47</v>
      </c>
      <c r="I3719" t="s">
        <v>30</v>
      </c>
      <c r="J3719" t="s">
        <v>35</v>
      </c>
      <c r="K3719"/>
      <c r="L3719" s="47" t="s">
        <v>314</v>
      </c>
      <c r="M3719" s="47" t="s">
        <v>1136</v>
      </c>
    </row>
    <row r="3720" spans="1:16" ht="15" customHeight="1">
      <c r="A3720" s="47">
        <v>3174</v>
      </c>
      <c r="B3720" s="2">
        <v>4774</v>
      </c>
      <c r="C3720" t="s">
        <v>939</v>
      </c>
      <c r="D3720" s="47" t="s">
        <v>1134</v>
      </c>
      <c r="E3720" s="2" t="s">
        <v>1125</v>
      </c>
      <c r="F3720" t="s">
        <v>185</v>
      </c>
      <c r="G3720"/>
      <c r="H3720" t="s">
        <v>47</v>
      </c>
      <c r="I3720" t="s">
        <v>30</v>
      </c>
      <c r="J3720" t="s">
        <v>35</v>
      </c>
      <c r="K3720"/>
      <c r="L3720" s="47" t="s">
        <v>180</v>
      </c>
      <c r="M3720" s="47" t="s">
        <v>1135</v>
      </c>
    </row>
    <row r="3721" spans="1:16" ht="15" customHeight="1">
      <c r="A3721" s="47">
        <v>3174</v>
      </c>
      <c r="B3721" s="2">
        <v>4775</v>
      </c>
      <c r="C3721" t="s">
        <v>939</v>
      </c>
      <c r="D3721" s="47" t="s">
        <v>1130</v>
      </c>
      <c r="E3721" s="47" t="s">
        <v>1128</v>
      </c>
      <c r="F3721" t="s">
        <v>185</v>
      </c>
      <c r="H3721" t="s">
        <v>47</v>
      </c>
      <c r="I3721" t="s">
        <v>30</v>
      </c>
      <c r="J3721" t="s">
        <v>35</v>
      </c>
      <c r="K3721"/>
      <c r="L3721" s="47" t="s">
        <v>180</v>
      </c>
      <c r="M3721" s="47" t="s">
        <v>197</v>
      </c>
    </row>
    <row r="3722" spans="1:16" ht="15" customHeight="1">
      <c r="A3722" s="47">
        <v>3174</v>
      </c>
      <c r="B3722" s="2">
        <v>4776</v>
      </c>
      <c r="C3722" t="s">
        <v>939</v>
      </c>
      <c r="D3722" s="47" t="s">
        <v>1131</v>
      </c>
      <c r="E3722" s="47" t="s">
        <v>1129</v>
      </c>
      <c r="F3722" t="s">
        <v>185</v>
      </c>
      <c r="H3722" t="s">
        <v>47</v>
      </c>
      <c r="I3722" t="s">
        <v>30</v>
      </c>
      <c r="J3722" t="s">
        <v>35</v>
      </c>
      <c r="K3722"/>
      <c r="L3722" s="47" t="s">
        <v>239</v>
      </c>
      <c r="M3722" s="47" t="s">
        <v>1135</v>
      </c>
    </row>
    <row r="3723" spans="1:16" ht="15" customHeight="1">
      <c r="A3723" s="47">
        <v>3174</v>
      </c>
      <c r="B3723" s="2">
        <v>4777</v>
      </c>
      <c r="C3723" t="s">
        <v>939</v>
      </c>
      <c r="D3723" s="47" t="s">
        <v>1132</v>
      </c>
      <c r="E3723" s="47" t="s">
        <v>1129</v>
      </c>
      <c r="F3723" t="s">
        <v>185</v>
      </c>
      <c r="H3723" t="s">
        <v>47</v>
      </c>
      <c r="I3723" t="s">
        <v>30</v>
      </c>
      <c r="J3723" t="s">
        <v>35</v>
      </c>
      <c r="K3723"/>
      <c r="L3723" s="47" t="s">
        <v>239</v>
      </c>
      <c r="M3723" s="47" t="s">
        <v>1135</v>
      </c>
    </row>
    <row r="3724" spans="1:16" ht="15" customHeight="1">
      <c r="A3724" s="47">
        <v>3174</v>
      </c>
      <c r="B3724" s="2">
        <v>4778</v>
      </c>
      <c r="C3724" t="s">
        <v>939</v>
      </c>
      <c r="D3724" s="2" t="s">
        <v>1127</v>
      </c>
      <c r="E3724" s="47" t="s">
        <v>1126</v>
      </c>
      <c r="F3724" t="s">
        <v>185</v>
      </c>
      <c r="H3724" t="s">
        <v>47</v>
      </c>
      <c r="I3724" t="s">
        <v>30</v>
      </c>
      <c r="J3724" t="s">
        <v>35</v>
      </c>
      <c r="K3724"/>
      <c r="L3724" s="47" t="s">
        <v>314</v>
      </c>
      <c r="M3724" s="47" t="s">
        <v>1136</v>
      </c>
    </row>
    <row r="3725" spans="1:16" ht="15" customHeight="1">
      <c r="A3725" s="47">
        <v>1340</v>
      </c>
      <c r="B3725" s="2">
        <v>4779</v>
      </c>
      <c r="C3725" s="47" t="s">
        <v>852</v>
      </c>
      <c r="D3725" s="47" t="s">
        <v>224</v>
      </c>
      <c r="E3725" s="16" t="s">
        <v>538</v>
      </c>
      <c r="F3725" s="16"/>
      <c r="G3725" s="16"/>
      <c r="H3725" s="47" t="s">
        <v>231</v>
      </c>
      <c r="I3725" s="16"/>
      <c r="J3725" s="16"/>
      <c r="K3725" s="16"/>
      <c r="L3725" s="15" t="s">
        <v>536</v>
      </c>
      <c r="M3725" s="15" t="s">
        <v>539</v>
      </c>
      <c r="N3725" s="47" t="s">
        <v>232</v>
      </c>
      <c r="O3725" s="47" t="s">
        <v>30</v>
      </c>
      <c r="P3725" s="47" t="s">
        <v>46</v>
      </c>
    </row>
    <row r="3726" spans="1:16" ht="15" customHeight="1">
      <c r="A3726" s="47">
        <v>1340</v>
      </c>
      <c r="B3726" s="2">
        <v>4780</v>
      </c>
      <c r="C3726" s="47" t="s">
        <v>852</v>
      </c>
      <c r="D3726" s="47" t="s">
        <v>224</v>
      </c>
      <c r="E3726" s="16" t="s">
        <v>538</v>
      </c>
      <c r="F3726" s="16"/>
      <c r="G3726" s="16"/>
      <c r="H3726" s="47" t="s">
        <v>231</v>
      </c>
      <c r="I3726" s="16"/>
      <c r="J3726" s="16"/>
      <c r="K3726" s="16"/>
      <c r="L3726" s="15" t="s">
        <v>536</v>
      </c>
      <c r="M3726" s="15" t="s">
        <v>546</v>
      </c>
      <c r="N3726" s="47" t="s">
        <v>232</v>
      </c>
      <c r="O3726" s="47" t="s">
        <v>30</v>
      </c>
      <c r="P3726" s="47" t="s">
        <v>46</v>
      </c>
    </row>
    <row r="3727" spans="1:16" ht="15" customHeight="1">
      <c r="A3727" s="47">
        <v>1340</v>
      </c>
      <c r="B3727" s="2">
        <v>4781</v>
      </c>
      <c r="C3727" s="47" t="s">
        <v>852</v>
      </c>
      <c r="D3727" s="47" t="s">
        <v>224</v>
      </c>
      <c r="E3727" s="16" t="s">
        <v>538</v>
      </c>
      <c r="F3727" s="16"/>
      <c r="G3727" s="16"/>
      <c r="H3727" s="47" t="s">
        <v>231</v>
      </c>
      <c r="I3727" s="16"/>
      <c r="J3727" s="16"/>
      <c r="K3727" s="16"/>
      <c r="L3727" s="15" t="s">
        <v>536</v>
      </c>
      <c r="M3727" s="15" t="s">
        <v>539</v>
      </c>
      <c r="N3727" s="47" t="s">
        <v>232</v>
      </c>
      <c r="O3727" s="47" t="s">
        <v>30</v>
      </c>
      <c r="P3727" s="47" t="s">
        <v>46</v>
      </c>
    </row>
    <row r="3728" spans="1:16" ht="15" customHeight="1">
      <c r="A3728" s="47">
        <v>1341</v>
      </c>
      <c r="B3728" s="2">
        <v>4782</v>
      </c>
      <c r="C3728" s="47" t="s">
        <v>852</v>
      </c>
      <c r="D3728" s="47" t="s">
        <v>224</v>
      </c>
      <c r="E3728" s="16" t="s">
        <v>538</v>
      </c>
      <c r="F3728" s="16"/>
      <c r="G3728" s="16"/>
      <c r="H3728" s="47" t="s">
        <v>231</v>
      </c>
      <c r="I3728" s="16"/>
      <c r="J3728" s="16"/>
      <c r="K3728" s="16"/>
      <c r="L3728" s="15" t="s">
        <v>536</v>
      </c>
      <c r="M3728" s="15" t="s">
        <v>539</v>
      </c>
      <c r="N3728" s="47" t="s">
        <v>232</v>
      </c>
      <c r="O3728" s="47" t="s">
        <v>30</v>
      </c>
      <c r="P3728" s="47" t="s">
        <v>46</v>
      </c>
    </row>
    <row r="3729" spans="1:16" ht="15" customHeight="1">
      <c r="A3729" s="47">
        <v>1341</v>
      </c>
      <c r="B3729" s="2">
        <v>4783</v>
      </c>
      <c r="C3729" s="47" t="s">
        <v>852</v>
      </c>
      <c r="D3729" s="47" t="s">
        <v>224</v>
      </c>
      <c r="E3729" s="16" t="s">
        <v>538</v>
      </c>
      <c r="F3729" s="16"/>
      <c r="G3729" s="16"/>
      <c r="H3729" s="47" t="s">
        <v>231</v>
      </c>
      <c r="I3729" s="16"/>
      <c r="J3729" s="16"/>
      <c r="K3729" s="16"/>
      <c r="L3729" s="15" t="s">
        <v>536</v>
      </c>
      <c r="M3729" s="15" t="s">
        <v>546</v>
      </c>
      <c r="N3729" s="47" t="s">
        <v>232</v>
      </c>
      <c r="O3729" s="47" t="s">
        <v>30</v>
      </c>
      <c r="P3729" s="47" t="s">
        <v>46</v>
      </c>
    </row>
    <row r="3730" spans="1:16" ht="15" customHeight="1">
      <c r="A3730" s="47">
        <v>1341</v>
      </c>
      <c r="B3730" s="2">
        <v>4784</v>
      </c>
      <c r="C3730" s="47" t="s">
        <v>852</v>
      </c>
      <c r="D3730" s="47" t="s">
        <v>224</v>
      </c>
      <c r="E3730" s="16" t="s">
        <v>538</v>
      </c>
      <c r="F3730" s="16"/>
      <c r="G3730" s="16"/>
      <c r="H3730" s="47" t="s">
        <v>231</v>
      </c>
      <c r="I3730" s="16"/>
      <c r="J3730" s="16"/>
      <c r="K3730" s="16"/>
      <c r="L3730" s="15" t="s">
        <v>536</v>
      </c>
      <c r="M3730" s="15" t="s">
        <v>539</v>
      </c>
      <c r="N3730" s="47" t="s">
        <v>232</v>
      </c>
      <c r="O3730" s="47" t="s">
        <v>30</v>
      </c>
      <c r="P3730" s="47" t="s">
        <v>46</v>
      </c>
    </row>
    <row r="3731" spans="1:16" ht="15" customHeight="1">
      <c r="A3731" s="47">
        <v>1342</v>
      </c>
      <c r="B3731" s="2">
        <v>4785</v>
      </c>
      <c r="C3731" s="47" t="s">
        <v>852</v>
      </c>
      <c r="D3731" s="47" t="s">
        <v>224</v>
      </c>
      <c r="E3731" s="16" t="s">
        <v>538</v>
      </c>
      <c r="F3731" s="16"/>
      <c r="G3731" s="16"/>
      <c r="H3731" s="47" t="s">
        <v>231</v>
      </c>
      <c r="I3731" s="16"/>
      <c r="J3731" s="16"/>
      <c r="K3731" s="16"/>
      <c r="L3731" s="15" t="s">
        <v>536</v>
      </c>
      <c r="M3731" s="15" t="s">
        <v>539</v>
      </c>
      <c r="N3731" s="47" t="s">
        <v>232</v>
      </c>
      <c r="O3731" s="47" t="s">
        <v>30</v>
      </c>
      <c r="P3731" s="47" t="s">
        <v>46</v>
      </c>
    </row>
    <row r="3732" spans="1:16" ht="15" customHeight="1">
      <c r="A3732" s="47">
        <v>1342</v>
      </c>
      <c r="B3732" s="2">
        <v>4786</v>
      </c>
      <c r="C3732" s="47" t="s">
        <v>852</v>
      </c>
      <c r="D3732" s="47" t="s">
        <v>224</v>
      </c>
      <c r="E3732" s="16" t="s">
        <v>538</v>
      </c>
      <c r="F3732" s="16"/>
      <c r="G3732" s="16"/>
      <c r="H3732" s="47" t="s">
        <v>231</v>
      </c>
      <c r="I3732" s="16"/>
      <c r="J3732" s="16"/>
      <c r="K3732" s="16"/>
      <c r="L3732" s="15" t="s">
        <v>536</v>
      </c>
      <c r="M3732" s="15" t="s">
        <v>546</v>
      </c>
      <c r="N3732" s="47" t="s">
        <v>232</v>
      </c>
      <c r="O3732" s="47" t="s">
        <v>30</v>
      </c>
      <c r="P3732" s="47" t="s">
        <v>46</v>
      </c>
    </row>
    <row r="3733" spans="1:16" ht="15" customHeight="1">
      <c r="A3733" s="47">
        <v>1342</v>
      </c>
      <c r="B3733" s="2">
        <v>4787</v>
      </c>
      <c r="C3733" s="47" t="s">
        <v>852</v>
      </c>
      <c r="D3733" s="47" t="s">
        <v>224</v>
      </c>
      <c r="E3733" s="16" t="s">
        <v>538</v>
      </c>
      <c r="F3733" s="16"/>
      <c r="G3733" s="16"/>
      <c r="H3733" s="47" t="s">
        <v>231</v>
      </c>
      <c r="I3733" s="16"/>
      <c r="J3733" s="16"/>
      <c r="K3733" s="16"/>
      <c r="L3733" s="15" t="s">
        <v>536</v>
      </c>
      <c r="M3733" s="15" t="s">
        <v>539</v>
      </c>
      <c r="N3733" s="47" t="s">
        <v>232</v>
      </c>
      <c r="O3733" s="47" t="s">
        <v>30</v>
      </c>
      <c r="P3733" s="47" t="s">
        <v>46</v>
      </c>
    </row>
    <row r="3734" spans="1:16" ht="15" customHeight="1">
      <c r="A3734" s="47">
        <v>1341</v>
      </c>
      <c r="B3734" s="2">
        <v>4788</v>
      </c>
      <c r="C3734" s="47" t="s">
        <v>852</v>
      </c>
      <c r="D3734" s="47" t="s">
        <v>224</v>
      </c>
      <c r="E3734" s="16" t="s">
        <v>549</v>
      </c>
      <c r="F3734" s="16"/>
      <c r="G3734" s="16"/>
      <c r="H3734" s="47" t="s">
        <v>231</v>
      </c>
      <c r="I3734" s="16"/>
      <c r="J3734" s="16"/>
      <c r="K3734" s="16"/>
      <c r="L3734" s="15" t="s">
        <v>544</v>
      </c>
      <c r="M3734" s="15" t="s">
        <v>550</v>
      </c>
      <c r="N3734" s="47" t="s">
        <v>232</v>
      </c>
      <c r="O3734" s="47" t="s">
        <v>30</v>
      </c>
      <c r="P3734" s="47" t="s">
        <v>46</v>
      </c>
    </row>
    <row r="3735" spans="1:16" ht="15" customHeight="1">
      <c r="A3735" s="47">
        <v>1341</v>
      </c>
      <c r="B3735" s="2">
        <v>4789</v>
      </c>
      <c r="C3735" s="47" t="s">
        <v>852</v>
      </c>
      <c r="D3735" s="47" t="s">
        <v>224</v>
      </c>
      <c r="E3735" s="16" t="s">
        <v>549</v>
      </c>
      <c r="F3735" s="16"/>
      <c r="G3735" s="16"/>
      <c r="H3735" s="47" t="s">
        <v>231</v>
      </c>
      <c r="I3735" s="16"/>
      <c r="J3735" s="16"/>
      <c r="K3735" s="16"/>
      <c r="L3735" s="15" t="s">
        <v>544</v>
      </c>
      <c r="M3735" s="15" t="s">
        <v>550</v>
      </c>
      <c r="N3735" s="47" t="s">
        <v>232</v>
      </c>
      <c r="O3735" s="47" t="s">
        <v>30</v>
      </c>
      <c r="P3735" s="47" t="s">
        <v>46</v>
      </c>
    </row>
    <row r="3736" spans="1:16" ht="15" customHeight="1">
      <c r="A3736" s="47">
        <v>1342</v>
      </c>
      <c r="B3736" s="2">
        <v>4790</v>
      </c>
      <c r="C3736" s="47" t="s">
        <v>852</v>
      </c>
      <c r="D3736" s="47" t="s">
        <v>224</v>
      </c>
      <c r="E3736" s="16" t="s">
        <v>549</v>
      </c>
      <c r="F3736" s="16"/>
      <c r="G3736" s="16"/>
      <c r="H3736" s="47" t="s">
        <v>231</v>
      </c>
      <c r="I3736" s="16"/>
      <c r="J3736" s="16"/>
      <c r="K3736" s="16"/>
      <c r="L3736" s="15" t="s">
        <v>544</v>
      </c>
      <c r="M3736" s="15" t="s">
        <v>550</v>
      </c>
      <c r="N3736" s="47" t="s">
        <v>232</v>
      </c>
      <c r="O3736" s="47" t="s">
        <v>30</v>
      </c>
      <c r="P3736" s="47" t="s">
        <v>46</v>
      </c>
    </row>
    <row r="3737" spans="1:16" ht="15" customHeight="1">
      <c r="A3737" s="47">
        <v>1340</v>
      </c>
      <c r="B3737" s="2">
        <v>4791</v>
      </c>
      <c r="C3737" s="47" t="s">
        <v>852</v>
      </c>
      <c r="D3737" s="16" t="s">
        <v>547</v>
      </c>
      <c r="E3737" s="16" t="s">
        <v>548</v>
      </c>
      <c r="F3737" s="16"/>
      <c r="G3737" s="16"/>
      <c r="H3737" s="47" t="s">
        <v>231</v>
      </c>
      <c r="I3737" s="16"/>
      <c r="J3737" s="16"/>
      <c r="K3737" s="16"/>
      <c r="L3737" s="15" t="s">
        <v>255</v>
      </c>
      <c r="M3737" s="15"/>
      <c r="N3737" s="47" t="s">
        <v>232</v>
      </c>
      <c r="O3737" s="47" t="s">
        <v>30</v>
      </c>
      <c r="P3737" s="47" t="s">
        <v>46</v>
      </c>
    </row>
    <row r="3738" spans="1:16" ht="15" customHeight="1">
      <c r="A3738" s="47">
        <v>1341</v>
      </c>
      <c r="B3738" s="2">
        <v>4792</v>
      </c>
      <c r="C3738" s="47" t="s">
        <v>852</v>
      </c>
      <c r="D3738" s="16" t="s">
        <v>547</v>
      </c>
      <c r="E3738" s="16" t="s">
        <v>548</v>
      </c>
      <c r="F3738" s="16"/>
      <c r="G3738" s="16"/>
      <c r="H3738" s="47" t="s">
        <v>231</v>
      </c>
      <c r="I3738" s="16"/>
      <c r="J3738" s="16"/>
      <c r="K3738" s="16"/>
      <c r="L3738" s="15" t="s">
        <v>255</v>
      </c>
      <c r="M3738" s="15"/>
      <c r="N3738" s="47" t="s">
        <v>232</v>
      </c>
      <c r="O3738" s="47" t="s">
        <v>30</v>
      </c>
      <c r="P3738" s="47" t="s">
        <v>46</v>
      </c>
    </row>
    <row r="3739" spans="1:16" ht="15" customHeight="1">
      <c r="A3739" s="47">
        <v>1342</v>
      </c>
      <c r="B3739" s="2">
        <v>4793</v>
      </c>
      <c r="C3739" s="47" t="s">
        <v>852</v>
      </c>
      <c r="D3739" s="16" t="s">
        <v>547</v>
      </c>
      <c r="E3739" s="16" t="s">
        <v>548</v>
      </c>
      <c r="F3739" s="16"/>
      <c r="G3739" s="16"/>
      <c r="H3739" s="47" t="s">
        <v>231</v>
      </c>
      <c r="I3739" s="16"/>
      <c r="J3739" s="16"/>
      <c r="K3739" s="16"/>
      <c r="L3739" s="15" t="s">
        <v>255</v>
      </c>
      <c r="M3739" s="15"/>
      <c r="N3739" s="47" t="s">
        <v>232</v>
      </c>
      <c r="O3739" s="47" t="s">
        <v>30</v>
      </c>
      <c r="P3739" s="47" t="s">
        <v>46</v>
      </c>
    </row>
    <row r="3740" spans="1:16" ht="15" customHeight="1">
      <c r="A3740" s="47">
        <v>1340</v>
      </c>
      <c r="B3740" s="2">
        <v>4794</v>
      </c>
      <c r="C3740" s="47" t="s">
        <v>852</v>
      </c>
      <c r="D3740" s="16" t="s">
        <v>172</v>
      </c>
      <c r="E3740" s="16" t="s">
        <v>1103</v>
      </c>
      <c r="F3740" s="16"/>
      <c r="G3740" s="16"/>
      <c r="H3740" s="47" t="s">
        <v>231</v>
      </c>
      <c r="I3740" s="16"/>
      <c r="J3740" s="16"/>
      <c r="K3740" s="16"/>
      <c r="L3740" s="15" t="s">
        <v>205</v>
      </c>
      <c r="M3740" s="15"/>
      <c r="N3740" s="47" t="s">
        <v>232</v>
      </c>
      <c r="O3740" s="47" t="s">
        <v>30</v>
      </c>
      <c r="P3740" s="47" t="s">
        <v>46</v>
      </c>
    </row>
    <row r="3741" spans="1:16" ht="15" customHeight="1">
      <c r="A3741" s="47">
        <v>1340</v>
      </c>
      <c r="B3741" s="2">
        <v>4795</v>
      </c>
      <c r="C3741" s="47" t="s">
        <v>852</v>
      </c>
      <c r="D3741" s="16" t="s">
        <v>172</v>
      </c>
      <c r="E3741" s="16" t="s">
        <v>1103</v>
      </c>
      <c r="F3741" s="16"/>
      <c r="G3741" s="16"/>
      <c r="H3741" s="47" t="s">
        <v>231</v>
      </c>
      <c r="I3741" s="16"/>
      <c r="J3741" s="16"/>
      <c r="K3741" s="16"/>
      <c r="L3741" s="15" t="s">
        <v>205</v>
      </c>
      <c r="M3741" s="15"/>
      <c r="N3741" s="47" t="s">
        <v>232</v>
      </c>
      <c r="O3741" s="47" t="s">
        <v>30</v>
      </c>
      <c r="P3741" s="47" t="s">
        <v>46</v>
      </c>
    </row>
    <row r="3742" spans="1:16" ht="15" customHeight="1">
      <c r="A3742" s="47">
        <v>1340</v>
      </c>
      <c r="B3742" s="2">
        <v>4796</v>
      </c>
      <c r="C3742" s="47" t="s">
        <v>852</v>
      </c>
      <c r="D3742" s="16" t="s">
        <v>172</v>
      </c>
      <c r="E3742" s="16" t="s">
        <v>1103</v>
      </c>
      <c r="F3742" s="16"/>
      <c r="G3742" s="16"/>
      <c r="H3742" s="47" t="s">
        <v>231</v>
      </c>
      <c r="I3742" s="16"/>
      <c r="J3742" s="16"/>
      <c r="K3742" s="16"/>
      <c r="L3742" s="15" t="s">
        <v>205</v>
      </c>
      <c r="M3742" s="15"/>
      <c r="N3742" s="47" t="s">
        <v>232</v>
      </c>
      <c r="O3742" s="47" t="s">
        <v>30</v>
      </c>
      <c r="P3742" s="47" t="s">
        <v>46</v>
      </c>
    </row>
    <row r="3743" spans="1:16" ht="15" customHeight="1">
      <c r="A3743" s="47">
        <v>1340</v>
      </c>
      <c r="B3743" s="2">
        <v>4797</v>
      </c>
      <c r="C3743" s="47" t="s">
        <v>852</v>
      </c>
      <c r="D3743" s="16" t="s">
        <v>172</v>
      </c>
      <c r="E3743" s="16" t="s">
        <v>1103</v>
      </c>
      <c r="F3743" s="16"/>
      <c r="G3743" s="16"/>
      <c r="H3743" s="47" t="s">
        <v>231</v>
      </c>
      <c r="I3743" s="16"/>
      <c r="J3743" s="16"/>
      <c r="K3743" s="16"/>
      <c r="L3743" s="15" t="s">
        <v>205</v>
      </c>
      <c r="M3743" s="15"/>
      <c r="N3743" s="47" t="s">
        <v>232</v>
      </c>
      <c r="O3743" s="47" t="s">
        <v>30</v>
      </c>
      <c r="P3743" s="47" t="s">
        <v>46</v>
      </c>
    </row>
    <row r="3744" spans="1:16" ht="15" customHeight="1">
      <c r="A3744" s="47">
        <v>1340</v>
      </c>
      <c r="B3744" s="2">
        <v>4798</v>
      </c>
      <c r="C3744" s="47" t="s">
        <v>852</v>
      </c>
      <c r="D3744" s="16" t="s">
        <v>172</v>
      </c>
      <c r="E3744" s="16" t="s">
        <v>1103</v>
      </c>
      <c r="F3744" s="16"/>
      <c r="G3744" s="16"/>
      <c r="H3744" s="47" t="s">
        <v>231</v>
      </c>
      <c r="I3744" s="16"/>
      <c r="J3744" s="16"/>
      <c r="K3744" s="16"/>
      <c r="L3744" s="15" t="s">
        <v>205</v>
      </c>
      <c r="M3744" s="15"/>
      <c r="N3744" s="47" t="s">
        <v>232</v>
      </c>
      <c r="O3744" s="47" t="s">
        <v>30</v>
      </c>
      <c r="P3744" s="47" t="s">
        <v>46</v>
      </c>
    </row>
    <row r="3745" spans="1:16" ht="15" customHeight="1">
      <c r="A3745" s="47">
        <v>1340</v>
      </c>
      <c r="B3745" s="2">
        <v>4799</v>
      </c>
      <c r="C3745" s="47" t="s">
        <v>852</v>
      </c>
      <c r="D3745" s="16" t="s">
        <v>172</v>
      </c>
      <c r="E3745" s="16" t="s">
        <v>1103</v>
      </c>
      <c r="F3745" s="16"/>
      <c r="G3745" s="16"/>
      <c r="H3745" s="47" t="s">
        <v>231</v>
      </c>
      <c r="I3745" s="16"/>
      <c r="J3745" s="16"/>
      <c r="K3745" s="16"/>
      <c r="L3745" s="15" t="s">
        <v>205</v>
      </c>
      <c r="M3745" s="15"/>
      <c r="N3745" s="47" t="s">
        <v>232</v>
      </c>
      <c r="O3745" s="47" t="s">
        <v>30</v>
      </c>
      <c r="P3745" s="47" t="s">
        <v>46</v>
      </c>
    </row>
    <row r="3746" spans="1:16" ht="15" customHeight="1">
      <c r="A3746" s="47">
        <v>1340</v>
      </c>
      <c r="B3746" s="2">
        <v>4800</v>
      </c>
      <c r="C3746" s="47" t="s">
        <v>852</v>
      </c>
      <c r="D3746" s="16" t="s">
        <v>172</v>
      </c>
      <c r="E3746" s="16" t="s">
        <v>1103</v>
      </c>
      <c r="F3746" s="16"/>
      <c r="G3746" s="16"/>
      <c r="H3746" s="47" t="s">
        <v>231</v>
      </c>
      <c r="I3746" s="16"/>
      <c r="J3746" s="16"/>
      <c r="K3746" s="16"/>
      <c r="L3746" s="15" t="s">
        <v>205</v>
      </c>
      <c r="M3746" s="15"/>
      <c r="N3746" s="47" t="s">
        <v>232</v>
      </c>
      <c r="O3746" s="47" t="s">
        <v>30</v>
      </c>
      <c r="P3746" s="47" t="s">
        <v>46</v>
      </c>
    </row>
    <row r="3747" spans="1:16" ht="15" customHeight="1">
      <c r="A3747" s="47">
        <v>1341</v>
      </c>
      <c r="B3747" s="2">
        <v>4801</v>
      </c>
      <c r="C3747" s="47" t="s">
        <v>852</v>
      </c>
      <c r="D3747" s="16" t="s">
        <v>172</v>
      </c>
      <c r="E3747" s="16" t="s">
        <v>1103</v>
      </c>
      <c r="F3747" s="16"/>
      <c r="G3747" s="16"/>
      <c r="H3747" s="47" t="s">
        <v>231</v>
      </c>
      <c r="I3747" s="16"/>
      <c r="J3747" s="16"/>
      <c r="K3747" s="16"/>
      <c r="L3747" s="15" t="s">
        <v>205</v>
      </c>
      <c r="M3747" s="15"/>
      <c r="N3747" s="47" t="s">
        <v>232</v>
      </c>
      <c r="O3747" s="47" t="s">
        <v>30</v>
      </c>
      <c r="P3747" s="47" t="s">
        <v>46</v>
      </c>
    </row>
    <row r="3748" spans="1:16" ht="15" customHeight="1">
      <c r="A3748" s="47">
        <v>1341</v>
      </c>
      <c r="B3748" s="2">
        <v>4802</v>
      </c>
      <c r="C3748" s="47" t="s">
        <v>852</v>
      </c>
      <c r="D3748" s="16" t="s">
        <v>172</v>
      </c>
      <c r="E3748" s="16" t="s">
        <v>1103</v>
      </c>
      <c r="F3748" s="16"/>
      <c r="G3748" s="16"/>
      <c r="H3748" s="47" t="s">
        <v>231</v>
      </c>
      <c r="I3748" s="16"/>
      <c r="J3748" s="16"/>
      <c r="K3748" s="16"/>
      <c r="L3748" s="15" t="s">
        <v>205</v>
      </c>
      <c r="M3748" s="15"/>
      <c r="N3748" s="47" t="s">
        <v>232</v>
      </c>
      <c r="O3748" s="47" t="s">
        <v>30</v>
      </c>
      <c r="P3748" s="47" t="s">
        <v>46</v>
      </c>
    </row>
    <row r="3749" spans="1:16" ht="15" customHeight="1">
      <c r="A3749" s="47">
        <v>1341</v>
      </c>
      <c r="B3749" s="2">
        <v>4803</v>
      </c>
      <c r="C3749" s="47" t="s">
        <v>852</v>
      </c>
      <c r="D3749" s="16" t="s">
        <v>172</v>
      </c>
      <c r="E3749" s="16" t="s">
        <v>1103</v>
      </c>
      <c r="F3749" s="16"/>
      <c r="G3749" s="16"/>
      <c r="H3749" s="47" t="s">
        <v>231</v>
      </c>
      <c r="I3749" s="16"/>
      <c r="J3749" s="16"/>
      <c r="K3749" s="16"/>
      <c r="L3749" s="15" t="s">
        <v>205</v>
      </c>
      <c r="M3749" s="15"/>
      <c r="N3749" s="47" t="s">
        <v>232</v>
      </c>
      <c r="O3749" s="47" t="s">
        <v>30</v>
      </c>
      <c r="P3749" s="47" t="s">
        <v>46</v>
      </c>
    </row>
    <row r="3750" spans="1:16" ht="15" customHeight="1">
      <c r="A3750" s="47">
        <v>1341</v>
      </c>
      <c r="B3750" s="2">
        <v>4804</v>
      </c>
      <c r="C3750" s="47" t="s">
        <v>852</v>
      </c>
      <c r="D3750" s="16" t="s">
        <v>172</v>
      </c>
      <c r="E3750" s="16" t="s">
        <v>1103</v>
      </c>
      <c r="F3750" s="16"/>
      <c r="G3750" s="16"/>
      <c r="H3750" s="47" t="s">
        <v>231</v>
      </c>
      <c r="I3750" s="16"/>
      <c r="J3750" s="16"/>
      <c r="K3750" s="16"/>
      <c r="L3750" s="15" t="s">
        <v>205</v>
      </c>
      <c r="M3750" s="15"/>
      <c r="N3750" s="47" t="s">
        <v>232</v>
      </c>
      <c r="O3750" s="47" t="s">
        <v>30</v>
      </c>
      <c r="P3750" s="47" t="s">
        <v>46</v>
      </c>
    </row>
    <row r="3751" spans="1:16" ht="15" customHeight="1">
      <c r="A3751" s="47">
        <v>1341</v>
      </c>
      <c r="B3751" s="2">
        <v>4805</v>
      </c>
      <c r="C3751" s="47" t="s">
        <v>852</v>
      </c>
      <c r="D3751" s="16" t="s">
        <v>172</v>
      </c>
      <c r="E3751" s="16" t="s">
        <v>1103</v>
      </c>
      <c r="F3751" s="16"/>
      <c r="G3751" s="16"/>
      <c r="H3751" s="47" t="s">
        <v>231</v>
      </c>
      <c r="I3751" s="16"/>
      <c r="J3751" s="16"/>
      <c r="K3751" s="16"/>
      <c r="L3751" s="15" t="s">
        <v>205</v>
      </c>
      <c r="M3751" s="15"/>
      <c r="N3751" s="47" t="s">
        <v>232</v>
      </c>
      <c r="O3751" s="47" t="s">
        <v>30</v>
      </c>
      <c r="P3751" s="47" t="s">
        <v>46</v>
      </c>
    </row>
    <row r="3752" spans="1:16" ht="15" customHeight="1">
      <c r="A3752" s="47">
        <v>1341</v>
      </c>
      <c r="B3752" s="2">
        <v>4806</v>
      </c>
      <c r="C3752" s="47" t="s">
        <v>852</v>
      </c>
      <c r="D3752" s="16" t="s">
        <v>172</v>
      </c>
      <c r="E3752" s="16" t="s">
        <v>1103</v>
      </c>
      <c r="F3752" s="16"/>
      <c r="G3752" s="16"/>
      <c r="H3752" s="47" t="s">
        <v>231</v>
      </c>
      <c r="I3752" s="16"/>
      <c r="J3752" s="16"/>
      <c r="K3752" s="16"/>
      <c r="L3752" s="15" t="s">
        <v>205</v>
      </c>
      <c r="M3752" s="15"/>
      <c r="N3752" s="47" t="s">
        <v>232</v>
      </c>
      <c r="O3752" s="47" t="s">
        <v>30</v>
      </c>
      <c r="P3752" s="47" t="s">
        <v>46</v>
      </c>
    </row>
    <row r="3753" spans="1:16" ht="15" customHeight="1">
      <c r="A3753" s="47">
        <v>1341</v>
      </c>
      <c r="B3753" s="2">
        <v>4807</v>
      </c>
      <c r="C3753" s="47" t="s">
        <v>852</v>
      </c>
      <c r="D3753" s="16" t="s">
        <v>172</v>
      </c>
      <c r="E3753" s="16" t="s">
        <v>1103</v>
      </c>
      <c r="F3753" s="16"/>
      <c r="G3753" s="16"/>
      <c r="H3753" s="47" t="s">
        <v>231</v>
      </c>
      <c r="I3753" s="16"/>
      <c r="J3753" s="16"/>
      <c r="K3753" s="16"/>
      <c r="L3753" s="15" t="s">
        <v>205</v>
      </c>
      <c r="M3753" s="15"/>
      <c r="N3753" s="47" t="s">
        <v>232</v>
      </c>
      <c r="O3753" s="47" t="s">
        <v>30</v>
      </c>
      <c r="P3753" s="47" t="s">
        <v>46</v>
      </c>
    </row>
    <row r="3754" spans="1:16" ht="15" customHeight="1">
      <c r="A3754" s="47">
        <v>1342</v>
      </c>
      <c r="B3754" s="2">
        <v>4808</v>
      </c>
      <c r="C3754" s="47" t="s">
        <v>852</v>
      </c>
      <c r="D3754" s="16" t="s">
        <v>172</v>
      </c>
      <c r="E3754" s="16" t="s">
        <v>1103</v>
      </c>
      <c r="F3754" s="16"/>
      <c r="G3754" s="16"/>
      <c r="H3754" s="47" t="s">
        <v>231</v>
      </c>
      <c r="I3754" s="16"/>
      <c r="J3754" s="16"/>
      <c r="K3754" s="16"/>
      <c r="L3754" s="15" t="s">
        <v>205</v>
      </c>
      <c r="M3754" s="15"/>
      <c r="N3754" s="47" t="s">
        <v>232</v>
      </c>
      <c r="O3754" s="47" t="s">
        <v>30</v>
      </c>
      <c r="P3754" s="47" t="s">
        <v>46</v>
      </c>
    </row>
    <row r="3755" spans="1:16" ht="15" customHeight="1">
      <c r="A3755" s="47">
        <v>1342</v>
      </c>
      <c r="B3755" s="2">
        <v>4809</v>
      </c>
      <c r="C3755" s="47" t="s">
        <v>852</v>
      </c>
      <c r="D3755" s="16" t="s">
        <v>172</v>
      </c>
      <c r="E3755" s="16" t="s">
        <v>1103</v>
      </c>
      <c r="F3755" s="16"/>
      <c r="G3755" s="16"/>
      <c r="H3755" s="47" t="s">
        <v>231</v>
      </c>
      <c r="I3755" s="16"/>
      <c r="J3755" s="16"/>
      <c r="K3755" s="16"/>
      <c r="L3755" s="15" t="s">
        <v>205</v>
      </c>
      <c r="M3755" s="15"/>
      <c r="N3755" s="47" t="s">
        <v>232</v>
      </c>
      <c r="O3755" s="47" t="s">
        <v>30</v>
      </c>
      <c r="P3755" s="47" t="s">
        <v>46</v>
      </c>
    </row>
    <row r="3756" spans="1:16" ht="15" customHeight="1">
      <c r="A3756" s="47">
        <v>1342</v>
      </c>
      <c r="B3756" s="2">
        <v>4810</v>
      </c>
      <c r="C3756" s="47" t="s">
        <v>852</v>
      </c>
      <c r="D3756" s="16" t="s">
        <v>172</v>
      </c>
      <c r="E3756" s="16" t="s">
        <v>1103</v>
      </c>
      <c r="F3756" s="16"/>
      <c r="G3756" s="16"/>
      <c r="H3756" s="47" t="s">
        <v>231</v>
      </c>
      <c r="I3756" s="16"/>
      <c r="J3756" s="16"/>
      <c r="K3756" s="16"/>
      <c r="L3756" s="15" t="s">
        <v>205</v>
      </c>
      <c r="M3756" s="15"/>
      <c r="N3756" s="47" t="s">
        <v>232</v>
      </c>
      <c r="O3756" s="47" t="s">
        <v>30</v>
      </c>
      <c r="P3756" s="47" t="s">
        <v>46</v>
      </c>
    </row>
    <row r="3757" spans="1:16" ht="15" customHeight="1">
      <c r="A3757" s="47">
        <v>1342</v>
      </c>
      <c r="B3757" s="2">
        <v>4811</v>
      </c>
      <c r="C3757" s="47" t="s">
        <v>852</v>
      </c>
      <c r="D3757" s="16" t="s">
        <v>172</v>
      </c>
      <c r="E3757" s="16" t="s">
        <v>1103</v>
      </c>
      <c r="F3757" s="16"/>
      <c r="G3757" s="16"/>
      <c r="H3757" s="47" t="s">
        <v>231</v>
      </c>
      <c r="I3757" s="16"/>
      <c r="J3757" s="16"/>
      <c r="K3757" s="16"/>
      <c r="L3757" s="15" t="s">
        <v>205</v>
      </c>
      <c r="M3757" s="15"/>
      <c r="N3757" s="47" t="s">
        <v>232</v>
      </c>
      <c r="O3757" s="47" t="s">
        <v>30</v>
      </c>
      <c r="P3757" s="47" t="s">
        <v>46</v>
      </c>
    </row>
    <row r="3758" spans="1:16" ht="15" customHeight="1">
      <c r="A3758" s="47">
        <v>1342</v>
      </c>
      <c r="B3758" s="2">
        <v>4812</v>
      </c>
      <c r="C3758" s="47" t="s">
        <v>852</v>
      </c>
      <c r="D3758" s="16" t="s">
        <v>172</v>
      </c>
      <c r="E3758" s="16" t="s">
        <v>1103</v>
      </c>
      <c r="F3758" s="16"/>
      <c r="G3758" s="16"/>
      <c r="H3758" s="47" t="s">
        <v>231</v>
      </c>
      <c r="I3758" s="16"/>
      <c r="J3758" s="16"/>
      <c r="K3758" s="16"/>
      <c r="L3758" s="15" t="s">
        <v>205</v>
      </c>
      <c r="M3758" s="15"/>
      <c r="N3758" s="47" t="s">
        <v>232</v>
      </c>
      <c r="O3758" s="47" t="s">
        <v>30</v>
      </c>
      <c r="P3758" s="47" t="s">
        <v>46</v>
      </c>
    </row>
    <row r="3759" spans="1:16" ht="15" customHeight="1">
      <c r="A3759" s="47">
        <v>1342</v>
      </c>
      <c r="B3759" s="2">
        <v>4813</v>
      </c>
      <c r="C3759" s="47" t="s">
        <v>852</v>
      </c>
      <c r="D3759" s="16" t="s">
        <v>172</v>
      </c>
      <c r="E3759" s="16" t="s">
        <v>1103</v>
      </c>
      <c r="F3759" s="16"/>
      <c r="G3759" s="16"/>
      <c r="H3759" s="47" t="s">
        <v>231</v>
      </c>
      <c r="I3759" s="16"/>
      <c r="J3759" s="16"/>
      <c r="K3759" s="16"/>
      <c r="L3759" s="15" t="s">
        <v>205</v>
      </c>
      <c r="M3759" s="15"/>
      <c r="N3759" s="47" t="s">
        <v>232</v>
      </c>
      <c r="O3759" s="47" t="s">
        <v>30</v>
      </c>
      <c r="P3759" s="47" t="s">
        <v>46</v>
      </c>
    </row>
    <row r="3760" spans="1:16" ht="15" customHeight="1">
      <c r="A3760" s="47">
        <v>1342</v>
      </c>
      <c r="B3760" s="2">
        <v>4814</v>
      </c>
      <c r="C3760" s="47" t="s">
        <v>852</v>
      </c>
      <c r="D3760" s="16" t="s">
        <v>172</v>
      </c>
      <c r="E3760" s="16" t="s">
        <v>1103</v>
      </c>
      <c r="F3760" s="16"/>
      <c r="G3760" s="16"/>
      <c r="H3760" s="47" t="s">
        <v>231</v>
      </c>
      <c r="I3760" s="16"/>
      <c r="J3760" s="16"/>
      <c r="K3760" s="16"/>
      <c r="L3760" s="15" t="s">
        <v>205</v>
      </c>
      <c r="M3760" s="15"/>
      <c r="N3760" s="47" t="s">
        <v>232</v>
      </c>
      <c r="O3760" s="47" t="s">
        <v>30</v>
      </c>
      <c r="P3760" s="47" t="s">
        <v>46</v>
      </c>
    </row>
    <row r="3761" spans="1:16" ht="15" customHeight="1">
      <c r="A3761" s="47">
        <v>1340</v>
      </c>
      <c r="B3761" s="2">
        <v>4815</v>
      </c>
      <c r="C3761" s="47" t="s">
        <v>852</v>
      </c>
      <c r="D3761" s="16" t="s">
        <v>542</v>
      </c>
      <c r="E3761" s="16" t="s">
        <v>1103</v>
      </c>
      <c r="F3761" s="16"/>
      <c r="G3761" s="16"/>
      <c r="H3761" s="47" t="s">
        <v>231</v>
      </c>
      <c r="I3761" s="16"/>
      <c r="J3761" s="16"/>
      <c r="K3761" s="16"/>
      <c r="L3761" s="15" t="s">
        <v>536</v>
      </c>
      <c r="M3761" s="15" t="s">
        <v>543</v>
      </c>
      <c r="N3761" s="47" t="s">
        <v>232</v>
      </c>
      <c r="O3761" s="47" t="s">
        <v>30</v>
      </c>
      <c r="P3761" s="47" t="s">
        <v>46</v>
      </c>
    </row>
    <row r="3762" spans="1:16" ht="15" customHeight="1">
      <c r="A3762" s="47">
        <v>1341</v>
      </c>
      <c r="B3762" s="2">
        <v>4816</v>
      </c>
      <c r="C3762" s="47" t="s">
        <v>852</v>
      </c>
      <c r="D3762" s="16" t="s">
        <v>542</v>
      </c>
      <c r="E3762" s="16" t="s">
        <v>1103</v>
      </c>
      <c r="F3762" s="16"/>
      <c r="G3762" s="16"/>
      <c r="H3762" s="47" t="s">
        <v>231</v>
      </c>
      <c r="I3762" s="16"/>
      <c r="J3762" s="16"/>
      <c r="K3762" s="16"/>
      <c r="L3762" s="15" t="s">
        <v>536</v>
      </c>
      <c r="M3762" s="15" t="s">
        <v>543</v>
      </c>
      <c r="N3762" s="47" t="s">
        <v>232</v>
      </c>
      <c r="O3762" s="47" t="s">
        <v>30</v>
      </c>
      <c r="P3762" s="47" t="s">
        <v>46</v>
      </c>
    </row>
    <row r="3763" spans="1:16" ht="15" customHeight="1">
      <c r="A3763" s="47">
        <v>1342</v>
      </c>
      <c r="B3763" s="2">
        <v>4817</v>
      </c>
      <c r="C3763" s="47" t="s">
        <v>852</v>
      </c>
      <c r="D3763" s="16" t="s">
        <v>542</v>
      </c>
      <c r="E3763" s="16" t="s">
        <v>1103</v>
      </c>
      <c r="F3763" s="16"/>
      <c r="G3763" s="16"/>
      <c r="H3763" s="47" t="s">
        <v>231</v>
      </c>
      <c r="I3763" s="16"/>
      <c r="J3763" s="16"/>
      <c r="K3763" s="16"/>
      <c r="L3763" s="15" t="s">
        <v>536</v>
      </c>
      <c r="M3763" s="15" t="s">
        <v>543</v>
      </c>
      <c r="N3763" s="47" t="s">
        <v>232</v>
      </c>
      <c r="O3763" s="47" t="s">
        <v>30</v>
      </c>
      <c r="P3763" s="47" t="s">
        <v>46</v>
      </c>
    </row>
    <row r="3764" spans="1:16" ht="15" customHeight="1">
      <c r="A3764" s="47">
        <v>1340</v>
      </c>
      <c r="B3764" s="2">
        <v>4818</v>
      </c>
      <c r="C3764" s="47" t="s">
        <v>852</v>
      </c>
      <c r="D3764" s="47" t="s">
        <v>224</v>
      </c>
      <c r="E3764" s="16" t="s">
        <v>1103</v>
      </c>
      <c r="F3764" s="16"/>
      <c r="G3764" s="16"/>
      <c r="H3764" s="47" t="s">
        <v>231</v>
      </c>
      <c r="I3764" s="16"/>
      <c r="J3764" s="16"/>
      <c r="K3764" s="16"/>
      <c r="L3764" s="15" t="s">
        <v>536</v>
      </c>
      <c r="M3764" s="15" t="s">
        <v>537</v>
      </c>
      <c r="N3764" s="47" t="s">
        <v>232</v>
      </c>
      <c r="O3764" s="47" t="s">
        <v>30</v>
      </c>
      <c r="P3764" s="47" t="s">
        <v>46</v>
      </c>
    </row>
    <row r="3765" spans="1:16" ht="15" customHeight="1">
      <c r="A3765" s="47">
        <v>1341</v>
      </c>
      <c r="B3765" s="2">
        <v>4819</v>
      </c>
      <c r="C3765" s="47" t="s">
        <v>852</v>
      </c>
      <c r="D3765" s="47" t="s">
        <v>224</v>
      </c>
      <c r="E3765" s="16" t="s">
        <v>1103</v>
      </c>
      <c r="F3765" s="16"/>
      <c r="G3765" s="16"/>
      <c r="H3765" s="47" t="s">
        <v>231</v>
      </c>
      <c r="I3765" s="16"/>
      <c r="J3765" s="16"/>
      <c r="K3765" s="16"/>
      <c r="L3765" s="15" t="s">
        <v>536</v>
      </c>
      <c r="M3765" s="15" t="s">
        <v>537</v>
      </c>
      <c r="N3765" s="47" t="s">
        <v>232</v>
      </c>
      <c r="O3765" s="47" t="s">
        <v>30</v>
      </c>
      <c r="P3765" s="47" t="s">
        <v>46</v>
      </c>
    </row>
    <row r="3766" spans="1:16" ht="15" customHeight="1">
      <c r="A3766" s="47">
        <v>1342</v>
      </c>
      <c r="B3766" s="2">
        <v>4820</v>
      </c>
      <c r="C3766" s="47" t="s">
        <v>852</v>
      </c>
      <c r="D3766" s="47" t="s">
        <v>224</v>
      </c>
      <c r="E3766" s="16" t="s">
        <v>1103</v>
      </c>
      <c r="F3766" s="16"/>
      <c r="G3766" s="16"/>
      <c r="H3766" s="47" t="s">
        <v>231</v>
      </c>
      <c r="I3766" s="16"/>
      <c r="J3766" s="16"/>
      <c r="K3766" s="16"/>
      <c r="L3766" s="15" t="s">
        <v>536</v>
      </c>
      <c r="M3766" s="15" t="s">
        <v>537</v>
      </c>
      <c r="N3766" s="47" t="s">
        <v>232</v>
      </c>
      <c r="O3766" s="47" t="s">
        <v>30</v>
      </c>
      <c r="P3766" s="47" t="s">
        <v>46</v>
      </c>
    </row>
    <row r="3767" spans="1:16" ht="15" customHeight="1">
      <c r="A3767" s="47">
        <v>1340</v>
      </c>
      <c r="B3767" s="2">
        <v>4821</v>
      </c>
      <c r="C3767" s="47" t="s">
        <v>852</v>
      </c>
      <c r="D3767" s="47" t="s">
        <v>224</v>
      </c>
      <c r="E3767" s="16" t="s">
        <v>541</v>
      </c>
      <c r="F3767" s="16"/>
      <c r="G3767" s="16"/>
      <c r="H3767" s="47" t="s">
        <v>231</v>
      </c>
      <c r="I3767" s="16"/>
      <c r="J3767" s="16"/>
      <c r="K3767" s="16"/>
      <c r="L3767" s="15" t="s">
        <v>536</v>
      </c>
      <c r="M3767" s="15" t="s">
        <v>539</v>
      </c>
      <c r="N3767" s="47" t="s">
        <v>232</v>
      </c>
      <c r="O3767" s="47" t="s">
        <v>30</v>
      </c>
      <c r="P3767" s="47" t="s">
        <v>46</v>
      </c>
    </row>
    <row r="3768" spans="1:16" ht="15" customHeight="1">
      <c r="A3768" s="47">
        <v>1340</v>
      </c>
      <c r="B3768" s="2">
        <v>4822</v>
      </c>
      <c r="C3768" s="47" t="s">
        <v>852</v>
      </c>
      <c r="D3768" s="47" t="s">
        <v>224</v>
      </c>
      <c r="E3768" s="16" t="s">
        <v>541</v>
      </c>
      <c r="F3768" s="16"/>
      <c r="G3768" s="16"/>
      <c r="H3768" s="47" t="s">
        <v>231</v>
      </c>
      <c r="I3768" s="16"/>
      <c r="J3768" s="16"/>
      <c r="K3768" s="16"/>
      <c r="L3768" s="15" t="s">
        <v>536</v>
      </c>
      <c r="M3768" s="15" t="s">
        <v>539</v>
      </c>
      <c r="N3768" s="47" t="s">
        <v>232</v>
      </c>
      <c r="O3768" s="47" t="s">
        <v>30</v>
      </c>
      <c r="P3768" s="47" t="s">
        <v>46</v>
      </c>
    </row>
    <row r="3769" spans="1:16" ht="15" customHeight="1">
      <c r="A3769" s="47">
        <v>1340</v>
      </c>
      <c r="B3769" s="2">
        <v>4823</v>
      </c>
      <c r="C3769" s="47" t="s">
        <v>852</v>
      </c>
      <c r="D3769" s="47" t="s">
        <v>224</v>
      </c>
      <c r="E3769" s="16" t="s">
        <v>541</v>
      </c>
      <c r="F3769" s="16"/>
      <c r="G3769" s="16"/>
      <c r="H3769" s="47" t="s">
        <v>231</v>
      </c>
      <c r="I3769" s="16"/>
      <c r="J3769" s="16"/>
      <c r="K3769" s="16"/>
      <c r="L3769" s="15" t="s">
        <v>536</v>
      </c>
      <c r="M3769" s="15" t="s">
        <v>539</v>
      </c>
      <c r="N3769" s="47" t="s">
        <v>232</v>
      </c>
      <c r="O3769" s="47" t="s">
        <v>30</v>
      </c>
      <c r="P3769" s="47" t="s">
        <v>46</v>
      </c>
    </row>
    <row r="3770" spans="1:16" ht="15" customHeight="1">
      <c r="A3770" s="47">
        <v>1341</v>
      </c>
      <c r="B3770" s="2">
        <v>4824</v>
      </c>
      <c r="C3770" s="47" t="s">
        <v>852</v>
      </c>
      <c r="D3770" s="47" t="s">
        <v>224</v>
      </c>
      <c r="E3770" s="16" t="s">
        <v>541</v>
      </c>
      <c r="F3770" s="16"/>
      <c r="G3770" s="16"/>
      <c r="H3770" s="47" t="s">
        <v>231</v>
      </c>
      <c r="I3770" s="16"/>
      <c r="J3770" s="16"/>
      <c r="K3770" s="16"/>
      <c r="L3770" s="15" t="s">
        <v>536</v>
      </c>
      <c r="M3770" s="15" t="s">
        <v>539</v>
      </c>
      <c r="N3770" s="47" t="s">
        <v>232</v>
      </c>
      <c r="O3770" s="47" t="s">
        <v>30</v>
      </c>
      <c r="P3770" s="47" t="s">
        <v>46</v>
      </c>
    </row>
    <row r="3771" spans="1:16" ht="15" customHeight="1">
      <c r="A3771" s="47">
        <v>1341</v>
      </c>
      <c r="B3771" s="2">
        <v>4825</v>
      </c>
      <c r="C3771" s="47" t="s">
        <v>852</v>
      </c>
      <c r="D3771" s="47" t="s">
        <v>224</v>
      </c>
      <c r="E3771" s="16" t="s">
        <v>541</v>
      </c>
      <c r="F3771" s="16"/>
      <c r="G3771" s="16"/>
      <c r="H3771" s="47" t="s">
        <v>231</v>
      </c>
      <c r="I3771" s="16"/>
      <c r="J3771" s="16"/>
      <c r="K3771" s="16"/>
      <c r="L3771" s="15" t="s">
        <v>536</v>
      </c>
      <c r="M3771" s="15" t="s">
        <v>539</v>
      </c>
      <c r="N3771" s="47" t="s">
        <v>232</v>
      </c>
      <c r="O3771" s="47" t="s">
        <v>30</v>
      </c>
      <c r="P3771" s="47" t="s">
        <v>46</v>
      </c>
    </row>
    <row r="3772" spans="1:16" ht="15" customHeight="1">
      <c r="A3772" s="47">
        <v>1341</v>
      </c>
      <c r="B3772" s="2">
        <v>4826</v>
      </c>
      <c r="C3772" s="47" t="s">
        <v>852</v>
      </c>
      <c r="D3772" s="47" t="s">
        <v>224</v>
      </c>
      <c r="E3772" s="16" t="s">
        <v>541</v>
      </c>
      <c r="F3772" s="16"/>
      <c r="G3772" s="16"/>
      <c r="H3772" s="47" t="s">
        <v>231</v>
      </c>
      <c r="I3772" s="16"/>
      <c r="J3772" s="16"/>
      <c r="K3772" s="16"/>
      <c r="L3772" s="15" t="s">
        <v>536</v>
      </c>
      <c r="M3772" s="15" t="s">
        <v>539</v>
      </c>
      <c r="N3772" s="47" t="s">
        <v>232</v>
      </c>
      <c r="O3772" s="47" t="s">
        <v>30</v>
      </c>
      <c r="P3772" s="47" t="s">
        <v>46</v>
      </c>
    </row>
    <row r="3773" spans="1:16" ht="15" customHeight="1">
      <c r="A3773" s="47">
        <v>1342</v>
      </c>
      <c r="B3773" s="2">
        <v>4827</v>
      </c>
      <c r="C3773" s="47" t="s">
        <v>852</v>
      </c>
      <c r="D3773" s="47" t="s">
        <v>224</v>
      </c>
      <c r="E3773" s="16" t="s">
        <v>541</v>
      </c>
      <c r="F3773" s="16"/>
      <c r="G3773" s="16"/>
      <c r="H3773" s="47" t="s">
        <v>231</v>
      </c>
      <c r="I3773" s="16"/>
      <c r="J3773" s="16"/>
      <c r="K3773" s="16"/>
      <c r="L3773" s="15" t="s">
        <v>536</v>
      </c>
      <c r="M3773" s="15" t="s">
        <v>539</v>
      </c>
      <c r="N3773" s="47" t="s">
        <v>232</v>
      </c>
      <c r="O3773" s="47" t="s">
        <v>30</v>
      </c>
      <c r="P3773" s="47" t="s">
        <v>46</v>
      </c>
    </row>
    <row r="3774" spans="1:16" ht="15" customHeight="1">
      <c r="A3774" s="47">
        <v>1342</v>
      </c>
      <c r="B3774" s="2">
        <v>4828</v>
      </c>
      <c r="C3774" s="47" t="s">
        <v>852</v>
      </c>
      <c r="D3774" s="47" t="s">
        <v>224</v>
      </c>
      <c r="E3774" s="16" t="s">
        <v>541</v>
      </c>
      <c r="F3774" s="16"/>
      <c r="G3774" s="16"/>
      <c r="H3774" s="47" t="s">
        <v>231</v>
      </c>
      <c r="I3774" s="16"/>
      <c r="J3774" s="16"/>
      <c r="K3774" s="16"/>
      <c r="L3774" s="15" t="s">
        <v>536</v>
      </c>
      <c r="M3774" s="15" t="s">
        <v>539</v>
      </c>
      <c r="N3774" s="47" t="s">
        <v>232</v>
      </c>
      <c r="O3774" s="47" t="s">
        <v>30</v>
      </c>
      <c r="P3774" s="47" t="s">
        <v>46</v>
      </c>
    </row>
    <row r="3775" spans="1:16" ht="15" customHeight="1">
      <c r="A3775" s="47">
        <v>1342</v>
      </c>
      <c r="B3775" s="2">
        <v>4829</v>
      </c>
      <c r="C3775" s="47" t="s">
        <v>852</v>
      </c>
      <c r="D3775" s="47" t="s">
        <v>224</v>
      </c>
      <c r="E3775" s="16" t="s">
        <v>541</v>
      </c>
      <c r="F3775" s="16"/>
      <c r="G3775" s="16"/>
      <c r="H3775" s="47" t="s">
        <v>231</v>
      </c>
      <c r="I3775" s="16"/>
      <c r="J3775" s="16"/>
      <c r="K3775" s="16"/>
      <c r="L3775" s="15" t="s">
        <v>536</v>
      </c>
      <c r="M3775" s="15" t="s">
        <v>539</v>
      </c>
      <c r="N3775" s="47" t="s">
        <v>232</v>
      </c>
      <c r="O3775" s="47" t="s">
        <v>30</v>
      </c>
      <c r="P3775" s="47" t="s">
        <v>46</v>
      </c>
    </row>
    <row r="3776" spans="1:16" ht="15" customHeight="1">
      <c r="A3776" s="47">
        <v>1340</v>
      </c>
      <c r="B3776" s="2">
        <v>4830</v>
      </c>
      <c r="C3776" s="47" t="s">
        <v>852</v>
      </c>
      <c r="D3776" s="16" t="s">
        <v>172</v>
      </c>
      <c r="E3776" s="16" t="s">
        <v>519</v>
      </c>
      <c r="F3776" s="16"/>
      <c r="G3776" s="16"/>
      <c r="H3776" s="47" t="s">
        <v>231</v>
      </c>
      <c r="I3776" s="16"/>
      <c r="J3776" s="16"/>
      <c r="K3776" s="16"/>
      <c r="L3776" s="15" t="s">
        <v>205</v>
      </c>
      <c r="M3776" s="15"/>
      <c r="N3776" s="47" t="s">
        <v>232</v>
      </c>
      <c r="O3776" s="47" t="s">
        <v>30</v>
      </c>
      <c r="P3776" s="47" t="s">
        <v>46</v>
      </c>
    </row>
    <row r="3777" spans="1:16" ht="15" customHeight="1">
      <c r="A3777" s="47">
        <v>1340</v>
      </c>
      <c r="B3777" s="2">
        <v>4831</v>
      </c>
      <c r="C3777" s="47" t="s">
        <v>852</v>
      </c>
      <c r="D3777" s="16" t="s">
        <v>172</v>
      </c>
      <c r="E3777" s="16" t="s">
        <v>519</v>
      </c>
      <c r="F3777" s="16"/>
      <c r="G3777" s="16"/>
      <c r="H3777" s="47" t="s">
        <v>231</v>
      </c>
      <c r="I3777" s="16"/>
      <c r="J3777" s="16"/>
      <c r="K3777" s="16"/>
      <c r="L3777" s="15" t="s">
        <v>205</v>
      </c>
      <c r="M3777" s="15"/>
      <c r="N3777" s="47" t="s">
        <v>232</v>
      </c>
      <c r="O3777" s="47" t="s">
        <v>30</v>
      </c>
      <c r="P3777" s="47" t="s">
        <v>46</v>
      </c>
    </row>
    <row r="3778" spans="1:16" ht="15" customHeight="1">
      <c r="A3778" s="47">
        <v>1340</v>
      </c>
      <c r="B3778" s="2">
        <v>4832</v>
      </c>
      <c r="C3778" s="47" t="s">
        <v>852</v>
      </c>
      <c r="D3778" s="16" t="s">
        <v>172</v>
      </c>
      <c r="E3778" s="16" t="s">
        <v>519</v>
      </c>
      <c r="F3778" s="16"/>
      <c r="G3778" s="16"/>
      <c r="H3778" s="47" t="s">
        <v>231</v>
      </c>
      <c r="I3778" s="16"/>
      <c r="J3778" s="16"/>
      <c r="K3778" s="16"/>
      <c r="L3778" s="15" t="s">
        <v>205</v>
      </c>
      <c r="M3778" s="15"/>
      <c r="N3778" s="47" t="s">
        <v>232</v>
      </c>
      <c r="O3778" s="47" t="s">
        <v>30</v>
      </c>
      <c r="P3778" s="47" t="s">
        <v>46</v>
      </c>
    </row>
    <row r="3779" spans="1:16" ht="15" customHeight="1">
      <c r="A3779" s="47">
        <v>1340</v>
      </c>
      <c r="B3779" s="2">
        <v>4833</v>
      </c>
      <c r="C3779" s="47" t="s">
        <v>852</v>
      </c>
      <c r="D3779" s="16" t="s">
        <v>172</v>
      </c>
      <c r="E3779" s="16" t="s">
        <v>519</v>
      </c>
      <c r="F3779" s="16"/>
      <c r="G3779" s="16"/>
      <c r="H3779" s="47" t="s">
        <v>231</v>
      </c>
      <c r="I3779" s="16"/>
      <c r="J3779" s="16"/>
      <c r="K3779" s="16"/>
      <c r="L3779" s="15" t="s">
        <v>205</v>
      </c>
      <c r="M3779" s="15"/>
      <c r="N3779" s="47" t="s">
        <v>232</v>
      </c>
      <c r="O3779" s="47" t="s">
        <v>30</v>
      </c>
      <c r="P3779" s="47" t="s">
        <v>46</v>
      </c>
    </row>
    <row r="3780" spans="1:16" ht="15" customHeight="1">
      <c r="A3780" s="47">
        <v>1340</v>
      </c>
      <c r="B3780" s="2">
        <v>4834</v>
      </c>
      <c r="C3780" s="47" t="s">
        <v>852</v>
      </c>
      <c r="D3780" s="16" t="s">
        <v>172</v>
      </c>
      <c r="E3780" s="16" t="s">
        <v>519</v>
      </c>
      <c r="F3780" s="16"/>
      <c r="G3780" s="16"/>
      <c r="H3780" s="47" t="s">
        <v>231</v>
      </c>
      <c r="I3780" s="16"/>
      <c r="J3780" s="16"/>
      <c r="K3780" s="16"/>
      <c r="L3780" s="15" t="s">
        <v>205</v>
      </c>
      <c r="M3780" s="15"/>
      <c r="N3780" s="47" t="s">
        <v>232</v>
      </c>
      <c r="O3780" s="47" t="s">
        <v>30</v>
      </c>
      <c r="P3780" s="47" t="s">
        <v>46</v>
      </c>
    </row>
    <row r="3781" spans="1:16" ht="15" customHeight="1">
      <c r="A3781" s="47">
        <v>1340</v>
      </c>
      <c r="B3781" s="2">
        <v>4835</v>
      </c>
      <c r="C3781" s="47" t="s">
        <v>852</v>
      </c>
      <c r="D3781" s="16" t="s">
        <v>172</v>
      </c>
      <c r="E3781" s="16" t="s">
        <v>519</v>
      </c>
      <c r="F3781" s="16"/>
      <c r="G3781" s="16"/>
      <c r="H3781" s="47" t="s">
        <v>231</v>
      </c>
      <c r="I3781" s="16"/>
      <c r="J3781" s="16"/>
      <c r="K3781" s="16"/>
      <c r="L3781" s="15" t="s">
        <v>205</v>
      </c>
      <c r="M3781" s="15"/>
      <c r="N3781" s="47" t="s">
        <v>232</v>
      </c>
      <c r="O3781" s="47" t="s">
        <v>30</v>
      </c>
      <c r="P3781" s="47" t="s">
        <v>46</v>
      </c>
    </row>
    <row r="3782" spans="1:16" ht="15" customHeight="1">
      <c r="A3782" s="47">
        <v>1340</v>
      </c>
      <c r="B3782" s="2">
        <v>4836</v>
      </c>
      <c r="C3782" s="47" t="s">
        <v>852</v>
      </c>
      <c r="D3782" s="16" t="s">
        <v>172</v>
      </c>
      <c r="E3782" s="16" t="s">
        <v>519</v>
      </c>
      <c r="F3782" s="16"/>
      <c r="G3782" s="16"/>
      <c r="H3782" s="47" t="s">
        <v>231</v>
      </c>
      <c r="I3782" s="16"/>
      <c r="J3782" s="16"/>
      <c r="K3782" s="16"/>
      <c r="L3782" s="15" t="s">
        <v>205</v>
      </c>
      <c r="M3782" s="15"/>
      <c r="N3782" s="47" t="s">
        <v>232</v>
      </c>
      <c r="O3782" s="47" t="s">
        <v>30</v>
      </c>
      <c r="P3782" s="47" t="s">
        <v>46</v>
      </c>
    </row>
    <row r="3783" spans="1:16" ht="15" customHeight="1">
      <c r="A3783" s="47">
        <v>1341</v>
      </c>
      <c r="B3783" s="2">
        <v>4837</v>
      </c>
      <c r="C3783" s="47" t="s">
        <v>852</v>
      </c>
      <c r="D3783" s="16" t="s">
        <v>172</v>
      </c>
      <c r="E3783" s="16" t="s">
        <v>519</v>
      </c>
      <c r="F3783" s="16"/>
      <c r="G3783" s="16"/>
      <c r="H3783" s="47" t="s">
        <v>231</v>
      </c>
      <c r="I3783" s="16"/>
      <c r="J3783" s="16"/>
      <c r="K3783" s="16"/>
      <c r="L3783" s="15" t="s">
        <v>205</v>
      </c>
      <c r="M3783" s="15"/>
      <c r="N3783" s="47" t="s">
        <v>232</v>
      </c>
      <c r="O3783" s="47" t="s">
        <v>30</v>
      </c>
      <c r="P3783" s="47" t="s">
        <v>46</v>
      </c>
    </row>
    <row r="3784" spans="1:16" ht="15" customHeight="1">
      <c r="A3784" s="47">
        <v>1341</v>
      </c>
      <c r="B3784" s="2">
        <v>4838</v>
      </c>
      <c r="C3784" s="47" t="s">
        <v>852</v>
      </c>
      <c r="D3784" s="16" t="s">
        <v>172</v>
      </c>
      <c r="E3784" s="16" t="s">
        <v>519</v>
      </c>
      <c r="F3784" s="16"/>
      <c r="G3784" s="16"/>
      <c r="H3784" s="47" t="s">
        <v>231</v>
      </c>
      <c r="I3784" s="16"/>
      <c r="J3784" s="16"/>
      <c r="K3784" s="16"/>
      <c r="L3784" s="15" t="s">
        <v>205</v>
      </c>
      <c r="M3784" s="15"/>
      <c r="N3784" s="47" t="s">
        <v>232</v>
      </c>
      <c r="O3784" s="47" t="s">
        <v>30</v>
      </c>
      <c r="P3784" s="47" t="s">
        <v>46</v>
      </c>
    </row>
    <row r="3785" spans="1:16" ht="15" customHeight="1">
      <c r="A3785" s="47">
        <v>1341</v>
      </c>
      <c r="B3785" s="2">
        <v>4839</v>
      </c>
      <c r="C3785" s="47" t="s">
        <v>852</v>
      </c>
      <c r="D3785" s="16" t="s">
        <v>172</v>
      </c>
      <c r="E3785" s="16" t="s">
        <v>519</v>
      </c>
      <c r="F3785" s="16"/>
      <c r="G3785" s="16"/>
      <c r="H3785" s="47" t="s">
        <v>231</v>
      </c>
      <c r="I3785" s="16"/>
      <c r="J3785" s="16"/>
      <c r="K3785" s="16"/>
      <c r="L3785" s="15" t="s">
        <v>205</v>
      </c>
      <c r="M3785" s="15"/>
      <c r="N3785" s="47" t="s">
        <v>232</v>
      </c>
      <c r="O3785" s="47" t="s">
        <v>30</v>
      </c>
      <c r="P3785" s="47" t="s">
        <v>46</v>
      </c>
    </row>
    <row r="3786" spans="1:16" ht="15" customHeight="1">
      <c r="A3786" s="47">
        <v>1341</v>
      </c>
      <c r="B3786" s="2">
        <v>4840</v>
      </c>
      <c r="C3786" s="47" t="s">
        <v>852</v>
      </c>
      <c r="D3786" s="16" t="s">
        <v>172</v>
      </c>
      <c r="E3786" s="16" t="s">
        <v>519</v>
      </c>
      <c r="F3786" s="16"/>
      <c r="G3786" s="16"/>
      <c r="H3786" s="47" t="s">
        <v>231</v>
      </c>
      <c r="I3786" s="16"/>
      <c r="J3786" s="16"/>
      <c r="K3786" s="16"/>
      <c r="L3786" s="15" t="s">
        <v>205</v>
      </c>
      <c r="M3786" s="15"/>
      <c r="N3786" s="47" t="s">
        <v>232</v>
      </c>
      <c r="O3786" s="47" t="s">
        <v>30</v>
      </c>
      <c r="P3786" s="47" t="s">
        <v>46</v>
      </c>
    </row>
    <row r="3787" spans="1:16" ht="15" customHeight="1">
      <c r="A3787" s="47">
        <v>1341</v>
      </c>
      <c r="B3787" s="2">
        <v>4841</v>
      </c>
      <c r="C3787" s="47" t="s">
        <v>852</v>
      </c>
      <c r="D3787" s="16" t="s">
        <v>172</v>
      </c>
      <c r="E3787" s="16" t="s">
        <v>519</v>
      </c>
      <c r="F3787" s="16"/>
      <c r="G3787" s="16"/>
      <c r="H3787" s="47" t="s">
        <v>231</v>
      </c>
      <c r="I3787" s="16"/>
      <c r="J3787" s="16"/>
      <c r="K3787" s="16"/>
      <c r="L3787" s="15" t="s">
        <v>205</v>
      </c>
      <c r="M3787" s="15"/>
      <c r="N3787" s="47" t="s">
        <v>232</v>
      </c>
      <c r="O3787" s="47" t="s">
        <v>30</v>
      </c>
      <c r="P3787" s="47" t="s">
        <v>46</v>
      </c>
    </row>
    <row r="3788" spans="1:16" ht="15" customHeight="1">
      <c r="A3788" s="47">
        <v>1341</v>
      </c>
      <c r="B3788" s="2">
        <v>4842</v>
      </c>
      <c r="C3788" s="47" t="s">
        <v>852</v>
      </c>
      <c r="D3788" s="16" t="s">
        <v>172</v>
      </c>
      <c r="E3788" s="16" t="s">
        <v>519</v>
      </c>
      <c r="F3788" s="16"/>
      <c r="G3788" s="16"/>
      <c r="H3788" s="47" t="s">
        <v>231</v>
      </c>
      <c r="I3788" s="16"/>
      <c r="J3788" s="16"/>
      <c r="K3788" s="16"/>
      <c r="L3788" s="15" t="s">
        <v>205</v>
      </c>
      <c r="M3788" s="15"/>
      <c r="N3788" s="47" t="s">
        <v>232</v>
      </c>
      <c r="O3788" s="47" t="s">
        <v>30</v>
      </c>
      <c r="P3788" s="47" t="s">
        <v>46</v>
      </c>
    </row>
    <row r="3789" spans="1:16" ht="15" customHeight="1">
      <c r="A3789" s="47">
        <v>1341</v>
      </c>
      <c r="B3789" s="2">
        <v>4843</v>
      </c>
      <c r="C3789" s="47" t="s">
        <v>852</v>
      </c>
      <c r="D3789" s="16" t="s">
        <v>172</v>
      </c>
      <c r="E3789" s="16" t="s">
        <v>519</v>
      </c>
      <c r="F3789" s="16"/>
      <c r="G3789" s="16"/>
      <c r="H3789" s="47" t="s">
        <v>231</v>
      </c>
      <c r="I3789" s="16"/>
      <c r="J3789" s="16"/>
      <c r="K3789" s="16"/>
      <c r="L3789" s="15" t="s">
        <v>205</v>
      </c>
      <c r="M3789" s="15"/>
      <c r="N3789" s="47" t="s">
        <v>232</v>
      </c>
      <c r="O3789" s="47" t="s">
        <v>30</v>
      </c>
      <c r="P3789" s="47" t="s">
        <v>46</v>
      </c>
    </row>
    <row r="3790" spans="1:16" ht="15" customHeight="1">
      <c r="A3790" s="47">
        <v>1342</v>
      </c>
      <c r="B3790" s="2">
        <v>4844</v>
      </c>
      <c r="C3790" s="47" t="s">
        <v>852</v>
      </c>
      <c r="D3790" s="16" t="s">
        <v>172</v>
      </c>
      <c r="E3790" s="16" t="s">
        <v>519</v>
      </c>
      <c r="F3790" s="16"/>
      <c r="G3790" s="16"/>
      <c r="H3790" s="47" t="s">
        <v>231</v>
      </c>
      <c r="I3790" s="16"/>
      <c r="J3790" s="16"/>
      <c r="K3790" s="16"/>
      <c r="L3790" s="15" t="s">
        <v>205</v>
      </c>
      <c r="M3790" s="15"/>
      <c r="N3790" s="47" t="s">
        <v>232</v>
      </c>
      <c r="O3790" s="47" t="s">
        <v>30</v>
      </c>
      <c r="P3790" s="47" t="s">
        <v>46</v>
      </c>
    </row>
    <row r="3791" spans="1:16" ht="15" customHeight="1">
      <c r="A3791" s="47">
        <v>1342</v>
      </c>
      <c r="B3791" s="2">
        <v>4845</v>
      </c>
      <c r="C3791" s="47" t="s">
        <v>852</v>
      </c>
      <c r="D3791" s="16" t="s">
        <v>172</v>
      </c>
      <c r="E3791" s="16" t="s">
        <v>519</v>
      </c>
      <c r="F3791" s="16"/>
      <c r="G3791" s="16"/>
      <c r="H3791" s="47" t="s">
        <v>231</v>
      </c>
      <c r="I3791" s="16"/>
      <c r="J3791" s="16"/>
      <c r="K3791" s="16"/>
      <c r="L3791" s="15" t="s">
        <v>205</v>
      </c>
      <c r="M3791" s="15"/>
      <c r="N3791" s="47" t="s">
        <v>232</v>
      </c>
      <c r="O3791" s="47" t="s">
        <v>30</v>
      </c>
      <c r="P3791" s="47" t="s">
        <v>46</v>
      </c>
    </row>
    <row r="3792" spans="1:16" ht="15" customHeight="1">
      <c r="A3792" s="47">
        <v>1342</v>
      </c>
      <c r="B3792" s="2">
        <v>4846</v>
      </c>
      <c r="C3792" s="47" t="s">
        <v>852</v>
      </c>
      <c r="D3792" s="16" t="s">
        <v>172</v>
      </c>
      <c r="E3792" s="16" t="s">
        <v>519</v>
      </c>
      <c r="F3792" s="16"/>
      <c r="G3792" s="16"/>
      <c r="H3792" s="47" t="s">
        <v>231</v>
      </c>
      <c r="I3792" s="16"/>
      <c r="J3792" s="16"/>
      <c r="K3792" s="16"/>
      <c r="L3792" s="15" t="s">
        <v>205</v>
      </c>
      <c r="M3792" s="15"/>
      <c r="N3792" s="47" t="s">
        <v>232</v>
      </c>
      <c r="O3792" s="47" t="s">
        <v>30</v>
      </c>
      <c r="P3792" s="47" t="s">
        <v>46</v>
      </c>
    </row>
    <row r="3793" spans="1:16" ht="15" customHeight="1">
      <c r="A3793" s="47">
        <v>1342</v>
      </c>
      <c r="B3793" s="2">
        <v>4847</v>
      </c>
      <c r="C3793" s="47" t="s">
        <v>852</v>
      </c>
      <c r="D3793" s="16" t="s">
        <v>172</v>
      </c>
      <c r="E3793" s="16" t="s">
        <v>519</v>
      </c>
      <c r="F3793" s="16"/>
      <c r="G3793" s="16"/>
      <c r="H3793" s="47" t="s">
        <v>231</v>
      </c>
      <c r="I3793" s="16"/>
      <c r="J3793" s="16"/>
      <c r="K3793" s="16"/>
      <c r="L3793" s="15" t="s">
        <v>205</v>
      </c>
      <c r="M3793" s="15"/>
      <c r="N3793" s="47" t="s">
        <v>232</v>
      </c>
      <c r="O3793" s="47" t="s">
        <v>30</v>
      </c>
      <c r="P3793" s="47" t="s">
        <v>46</v>
      </c>
    </row>
    <row r="3794" spans="1:16" ht="15" customHeight="1">
      <c r="A3794" s="47">
        <v>1342</v>
      </c>
      <c r="B3794" s="2">
        <v>4848</v>
      </c>
      <c r="C3794" s="47" t="s">
        <v>852</v>
      </c>
      <c r="D3794" s="16" t="s">
        <v>172</v>
      </c>
      <c r="E3794" s="16" t="s">
        <v>519</v>
      </c>
      <c r="F3794" s="16"/>
      <c r="G3794" s="16"/>
      <c r="H3794" s="47" t="s">
        <v>231</v>
      </c>
      <c r="I3794" s="16"/>
      <c r="J3794" s="16"/>
      <c r="K3794" s="16"/>
      <c r="L3794" s="15" t="s">
        <v>205</v>
      </c>
      <c r="M3794" s="15"/>
      <c r="N3794" s="47" t="s">
        <v>232</v>
      </c>
      <c r="O3794" s="47" t="s">
        <v>30</v>
      </c>
      <c r="P3794" s="47" t="s">
        <v>46</v>
      </c>
    </row>
    <row r="3795" spans="1:16" ht="15" customHeight="1">
      <c r="A3795" s="47">
        <v>1342</v>
      </c>
      <c r="B3795" s="2">
        <v>4849</v>
      </c>
      <c r="C3795" s="47" t="s">
        <v>852</v>
      </c>
      <c r="D3795" s="16" t="s">
        <v>172</v>
      </c>
      <c r="E3795" s="16" t="s">
        <v>519</v>
      </c>
      <c r="F3795" s="16"/>
      <c r="G3795" s="16"/>
      <c r="H3795" s="47" t="s">
        <v>231</v>
      </c>
      <c r="I3795" s="16"/>
      <c r="J3795" s="16"/>
      <c r="K3795" s="16"/>
      <c r="L3795" s="15" t="s">
        <v>205</v>
      </c>
      <c r="M3795" s="15"/>
      <c r="N3795" s="47" t="s">
        <v>232</v>
      </c>
      <c r="O3795" s="47" t="s">
        <v>30</v>
      </c>
      <c r="P3795" s="47" t="s">
        <v>46</v>
      </c>
    </row>
    <row r="3796" spans="1:16" ht="15" customHeight="1">
      <c r="A3796" s="47">
        <v>1342</v>
      </c>
      <c r="B3796" s="2">
        <v>4850</v>
      </c>
      <c r="C3796" s="47" t="s">
        <v>852</v>
      </c>
      <c r="D3796" s="16" t="s">
        <v>172</v>
      </c>
      <c r="E3796" s="16" t="s">
        <v>519</v>
      </c>
      <c r="F3796" s="16"/>
      <c r="G3796" s="16"/>
      <c r="H3796" s="47" t="s">
        <v>231</v>
      </c>
      <c r="I3796" s="16"/>
      <c r="J3796" s="16"/>
      <c r="K3796" s="16"/>
      <c r="L3796" s="15" t="s">
        <v>205</v>
      </c>
      <c r="M3796" s="15"/>
      <c r="N3796" s="47" t="s">
        <v>232</v>
      </c>
      <c r="O3796" s="47" t="s">
        <v>30</v>
      </c>
      <c r="P3796" s="47" t="s">
        <v>46</v>
      </c>
    </row>
    <row r="3797" spans="1:16" ht="15" customHeight="1">
      <c r="A3797" s="47">
        <v>1340</v>
      </c>
      <c r="B3797" s="2">
        <v>4851</v>
      </c>
      <c r="C3797" s="47" t="s">
        <v>852</v>
      </c>
      <c r="D3797" s="16" t="s">
        <v>542</v>
      </c>
      <c r="E3797" s="16" t="s">
        <v>519</v>
      </c>
      <c r="F3797" s="16"/>
      <c r="G3797" s="16"/>
      <c r="H3797" s="47" t="s">
        <v>231</v>
      </c>
      <c r="I3797" s="16"/>
      <c r="J3797" s="16"/>
      <c r="K3797" s="16"/>
      <c r="L3797" s="15" t="s">
        <v>544</v>
      </c>
      <c r="M3797" s="15" t="s">
        <v>545</v>
      </c>
      <c r="N3797" s="47" t="s">
        <v>232</v>
      </c>
      <c r="O3797" s="47" t="s">
        <v>30</v>
      </c>
      <c r="P3797" s="47" t="s">
        <v>46</v>
      </c>
    </row>
    <row r="3798" spans="1:16" ht="15" customHeight="1">
      <c r="A3798" s="47">
        <v>1341</v>
      </c>
      <c r="B3798" s="2">
        <v>4852</v>
      </c>
      <c r="C3798" s="47" t="s">
        <v>852</v>
      </c>
      <c r="D3798" s="16" t="s">
        <v>542</v>
      </c>
      <c r="E3798" s="16" t="s">
        <v>519</v>
      </c>
      <c r="F3798" s="16"/>
      <c r="G3798" s="16"/>
      <c r="H3798" s="47" t="s">
        <v>231</v>
      </c>
      <c r="I3798" s="16"/>
      <c r="J3798" s="16"/>
      <c r="K3798" s="16"/>
      <c r="L3798" s="15" t="s">
        <v>544</v>
      </c>
      <c r="M3798" s="15" t="s">
        <v>545</v>
      </c>
      <c r="N3798" s="47" t="s">
        <v>232</v>
      </c>
      <c r="O3798" s="47" t="s">
        <v>30</v>
      </c>
      <c r="P3798" s="47" t="s">
        <v>46</v>
      </c>
    </row>
    <row r="3799" spans="1:16" ht="15" customHeight="1">
      <c r="A3799" s="47">
        <v>1342</v>
      </c>
      <c r="B3799" s="2">
        <v>4853</v>
      </c>
      <c r="C3799" s="47" t="s">
        <v>852</v>
      </c>
      <c r="D3799" s="16" t="s">
        <v>542</v>
      </c>
      <c r="E3799" s="16" t="s">
        <v>519</v>
      </c>
      <c r="F3799" s="16"/>
      <c r="G3799" s="16"/>
      <c r="H3799" s="47" t="s">
        <v>231</v>
      </c>
      <c r="I3799" s="16"/>
      <c r="J3799" s="16"/>
      <c r="K3799" s="16"/>
      <c r="L3799" s="15" t="s">
        <v>544</v>
      </c>
      <c r="M3799" s="15" t="s">
        <v>545</v>
      </c>
      <c r="N3799" s="47" t="s">
        <v>232</v>
      </c>
      <c r="O3799" s="47" t="s">
        <v>30</v>
      </c>
      <c r="P3799" s="47" t="s">
        <v>46</v>
      </c>
    </row>
    <row r="3800" spans="1:16" ht="15" customHeight="1">
      <c r="A3800" s="47">
        <v>1340</v>
      </c>
      <c r="B3800" s="2">
        <v>4854</v>
      </c>
      <c r="C3800" s="47" t="s">
        <v>852</v>
      </c>
      <c r="D3800" s="47" t="s">
        <v>224</v>
      </c>
      <c r="E3800" s="16" t="s">
        <v>519</v>
      </c>
      <c r="F3800" s="16"/>
      <c r="G3800" s="16"/>
      <c r="H3800" s="47" t="s">
        <v>231</v>
      </c>
      <c r="I3800" s="16"/>
      <c r="J3800" s="16"/>
      <c r="K3800" s="16"/>
      <c r="L3800" s="15" t="s">
        <v>536</v>
      </c>
      <c r="M3800" s="15" t="s">
        <v>540</v>
      </c>
      <c r="N3800" s="47" t="s">
        <v>232</v>
      </c>
      <c r="O3800" s="47" t="s">
        <v>30</v>
      </c>
      <c r="P3800" s="47" t="s">
        <v>46</v>
      </c>
    </row>
    <row r="3801" spans="1:16" ht="15" customHeight="1">
      <c r="A3801" s="47">
        <v>1341</v>
      </c>
      <c r="B3801" s="2">
        <v>4855</v>
      </c>
      <c r="C3801" s="47" t="s">
        <v>852</v>
      </c>
      <c r="D3801" s="47" t="s">
        <v>224</v>
      </c>
      <c r="E3801" s="16" t="s">
        <v>519</v>
      </c>
      <c r="F3801" s="16"/>
      <c r="G3801" s="16"/>
      <c r="H3801" s="47" t="s">
        <v>231</v>
      </c>
      <c r="I3801" s="16"/>
      <c r="J3801" s="16"/>
      <c r="K3801" s="16"/>
      <c r="L3801" s="15" t="s">
        <v>536</v>
      </c>
      <c r="M3801" s="15" t="s">
        <v>540</v>
      </c>
      <c r="N3801" s="47" t="s">
        <v>232</v>
      </c>
      <c r="O3801" s="47" t="s">
        <v>30</v>
      </c>
      <c r="P3801" s="47" t="s">
        <v>46</v>
      </c>
    </row>
    <row r="3802" spans="1:16" ht="15" customHeight="1">
      <c r="A3802" s="47">
        <v>1342</v>
      </c>
      <c r="B3802" s="2">
        <v>4856</v>
      </c>
      <c r="C3802" s="47" t="s">
        <v>852</v>
      </c>
      <c r="D3802" s="47" t="s">
        <v>224</v>
      </c>
      <c r="E3802" s="16" t="s">
        <v>519</v>
      </c>
      <c r="F3802" s="16"/>
      <c r="G3802" s="16"/>
      <c r="H3802" s="47" t="s">
        <v>231</v>
      </c>
      <c r="I3802" s="16"/>
      <c r="J3802" s="16"/>
      <c r="K3802" s="16"/>
      <c r="L3802" s="15" t="s">
        <v>536</v>
      </c>
      <c r="M3802" s="15" t="s">
        <v>540</v>
      </c>
      <c r="N3802" s="47" t="s">
        <v>232</v>
      </c>
      <c r="O3802" s="47" t="s">
        <v>30</v>
      </c>
      <c r="P3802" s="47" t="s">
        <v>46</v>
      </c>
    </row>
    <row r="3803" spans="1:16" ht="15" customHeight="1">
      <c r="A3803" s="47">
        <v>2032</v>
      </c>
      <c r="B3803" s="2">
        <v>4857</v>
      </c>
      <c r="C3803" s="47" t="s">
        <v>857</v>
      </c>
      <c r="D3803" s="47" t="s">
        <v>224</v>
      </c>
      <c r="E3803" s="16" t="s">
        <v>538</v>
      </c>
      <c r="F3803" s="16"/>
      <c r="G3803" s="16"/>
      <c r="H3803" s="47" t="s">
        <v>231</v>
      </c>
      <c r="I3803" s="16"/>
      <c r="J3803" s="16"/>
      <c r="K3803" s="16"/>
      <c r="L3803" s="15" t="s">
        <v>536</v>
      </c>
      <c r="M3803" s="15" t="s">
        <v>539</v>
      </c>
      <c r="N3803" s="47" t="s">
        <v>232</v>
      </c>
      <c r="O3803" s="47" t="s">
        <v>30</v>
      </c>
      <c r="P3803" s="47" t="s">
        <v>46</v>
      </c>
    </row>
    <row r="3804" spans="1:16" ht="15" customHeight="1">
      <c r="A3804" s="47">
        <v>2032</v>
      </c>
      <c r="B3804" s="2">
        <v>4858</v>
      </c>
      <c r="C3804" s="47" t="s">
        <v>857</v>
      </c>
      <c r="D3804" s="47" t="s">
        <v>224</v>
      </c>
      <c r="E3804" s="16" t="s">
        <v>538</v>
      </c>
      <c r="F3804" s="16"/>
      <c r="G3804" s="16"/>
      <c r="H3804" s="47" t="s">
        <v>231</v>
      </c>
      <c r="I3804" s="16"/>
      <c r="J3804" s="16"/>
      <c r="K3804" s="16"/>
      <c r="L3804" s="15" t="s">
        <v>536</v>
      </c>
      <c r="M3804" s="15" t="s">
        <v>546</v>
      </c>
      <c r="N3804" s="47" t="s">
        <v>232</v>
      </c>
      <c r="O3804" s="47" t="s">
        <v>30</v>
      </c>
      <c r="P3804" s="47" t="s">
        <v>46</v>
      </c>
    </row>
    <row r="3805" spans="1:16" ht="15" customHeight="1">
      <c r="A3805" s="47">
        <v>2032</v>
      </c>
      <c r="B3805" s="2">
        <v>4859</v>
      </c>
      <c r="C3805" s="47" t="s">
        <v>857</v>
      </c>
      <c r="D3805" s="47" t="s">
        <v>224</v>
      </c>
      <c r="E3805" s="16" t="s">
        <v>538</v>
      </c>
      <c r="F3805" s="16"/>
      <c r="G3805" s="16"/>
      <c r="H3805" s="47" t="s">
        <v>231</v>
      </c>
      <c r="I3805" s="16"/>
      <c r="J3805" s="16"/>
      <c r="K3805" s="16"/>
      <c r="L3805" s="15" t="s">
        <v>536</v>
      </c>
      <c r="M3805" s="15" t="s">
        <v>539</v>
      </c>
      <c r="N3805" s="47" t="s">
        <v>232</v>
      </c>
      <c r="O3805" s="47" t="s">
        <v>30</v>
      </c>
      <c r="P3805" s="47" t="s">
        <v>46</v>
      </c>
    </row>
    <row r="3806" spans="1:16" ht="15" customHeight="1">
      <c r="A3806" s="47">
        <v>2032</v>
      </c>
      <c r="B3806" s="2">
        <v>4860</v>
      </c>
      <c r="C3806" s="47" t="s">
        <v>857</v>
      </c>
      <c r="D3806" s="16" t="s">
        <v>547</v>
      </c>
      <c r="E3806" s="16" t="s">
        <v>548</v>
      </c>
      <c r="F3806" s="16"/>
      <c r="G3806" s="16"/>
      <c r="H3806" s="47" t="s">
        <v>231</v>
      </c>
      <c r="I3806" s="16"/>
      <c r="J3806" s="16"/>
      <c r="K3806" s="16"/>
      <c r="L3806" s="15" t="s">
        <v>255</v>
      </c>
      <c r="M3806" s="15"/>
      <c r="N3806" s="47" t="s">
        <v>232</v>
      </c>
      <c r="O3806" s="47" t="s">
        <v>30</v>
      </c>
      <c r="P3806" s="47" t="s">
        <v>46</v>
      </c>
    </row>
    <row r="3807" spans="1:16" ht="15" customHeight="1">
      <c r="A3807" s="47">
        <v>2032</v>
      </c>
      <c r="B3807" s="2">
        <v>4861</v>
      </c>
      <c r="C3807" s="47" t="s">
        <v>857</v>
      </c>
      <c r="D3807" s="16" t="s">
        <v>172</v>
      </c>
      <c r="E3807" s="16" t="s">
        <v>1103</v>
      </c>
      <c r="F3807" s="16"/>
      <c r="G3807" s="16"/>
      <c r="H3807" s="47" t="s">
        <v>231</v>
      </c>
      <c r="I3807" s="16"/>
      <c r="J3807" s="16"/>
      <c r="K3807" s="16"/>
      <c r="L3807" s="15" t="s">
        <v>205</v>
      </c>
      <c r="M3807" s="15"/>
      <c r="N3807" s="47" t="s">
        <v>232</v>
      </c>
      <c r="O3807" s="47" t="s">
        <v>30</v>
      </c>
      <c r="P3807" s="47" t="s">
        <v>46</v>
      </c>
    </row>
    <row r="3808" spans="1:16" ht="15" customHeight="1">
      <c r="A3808" s="47">
        <v>2032</v>
      </c>
      <c r="B3808" s="2">
        <v>4862</v>
      </c>
      <c r="C3808" s="47" t="s">
        <v>857</v>
      </c>
      <c r="D3808" s="16" t="s">
        <v>172</v>
      </c>
      <c r="E3808" s="16" t="s">
        <v>1103</v>
      </c>
      <c r="F3808" s="16"/>
      <c r="G3808" s="16"/>
      <c r="H3808" s="47" t="s">
        <v>231</v>
      </c>
      <c r="I3808" s="16"/>
      <c r="J3808" s="16"/>
      <c r="K3808" s="16"/>
      <c r="L3808" s="15" t="s">
        <v>205</v>
      </c>
      <c r="M3808" s="15"/>
      <c r="N3808" s="47" t="s">
        <v>232</v>
      </c>
      <c r="O3808" s="47" t="s">
        <v>30</v>
      </c>
      <c r="P3808" s="47" t="s">
        <v>46</v>
      </c>
    </row>
    <row r="3809" spans="1:16" ht="15" customHeight="1">
      <c r="A3809" s="47">
        <v>2032</v>
      </c>
      <c r="B3809" s="2">
        <v>4863</v>
      </c>
      <c r="C3809" s="47" t="s">
        <v>857</v>
      </c>
      <c r="D3809" s="16" t="s">
        <v>172</v>
      </c>
      <c r="E3809" s="16" t="s">
        <v>1103</v>
      </c>
      <c r="F3809" s="16"/>
      <c r="G3809" s="16"/>
      <c r="H3809" s="47" t="s">
        <v>231</v>
      </c>
      <c r="I3809" s="16"/>
      <c r="J3809" s="16"/>
      <c r="K3809" s="16"/>
      <c r="L3809" s="15" t="s">
        <v>205</v>
      </c>
      <c r="M3809" s="15"/>
      <c r="N3809" s="47" t="s">
        <v>232</v>
      </c>
      <c r="O3809" s="47" t="s">
        <v>30</v>
      </c>
      <c r="P3809" s="47" t="s">
        <v>46</v>
      </c>
    </row>
    <row r="3810" spans="1:16" ht="15" customHeight="1">
      <c r="A3810" s="47">
        <v>2032</v>
      </c>
      <c r="B3810" s="2">
        <v>4864</v>
      </c>
      <c r="C3810" s="47" t="s">
        <v>857</v>
      </c>
      <c r="D3810" s="16" t="s">
        <v>172</v>
      </c>
      <c r="E3810" s="16" t="s">
        <v>1103</v>
      </c>
      <c r="F3810" s="16"/>
      <c r="G3810" s="16"/>
      <c r="H3810" s="47" t="s">
        <v>231</v>
      </c>
      <c r="I3810" s="16"/>
      <c r="J3810" s="16"/>
      <c r="K3810" s="16"/>
      <c r="L3810" s="15" t="s">
        <v>205</v>
      </c>
      <c r="M3810" s="15"/>
      <c r="N3810" s="47" t="s">
        <v>232</v>
      </c>
      <c r="O3810" s="47" t="s">
        <v>30</v>
      </c>
      <c r="P3810" s="47" t="s">
        <v>46</v>
      </c>
    </row>
    <row r="3811" spans="1:16" ht="15" customHeight="1">
      <c r="A3811" s="47">
        <v>2032</v>
      </c>
      <c r="B3811" s="2">
        <v>4865</v>
      </c>
      <c r="C3811" s="47" t="s">
        <v>857</v>
      </c>
      <c r="D3811" s="16" t="s">
        <v>172</v>
      </c>
      <c r="E3811" s="16" t="s">
        <v>1103</v>
      </c>
      <c r="F3811" s="16"/>
      <c r="G3811" s="16"/>
      <c r="H3811" s="47" t="s">
        <v>231</v>
      </c>
      <c r="I3811" s="16"/>
      <c r="J3811" s="16"/>
      <c r="K3811" s="16"/>
      <c r="L3811" s="15" t="s">
        <v>205</v>
      </c>
      <c r="M3811" s="15"/>
      <c r="N3811" s="47" t="s">
        <v>232</v>
      </c>
      <c r="O3811" s="47" t="s">
        <v>30</v>
      </c>
      <c r="P3811" s="47" t="s">
        <v>46</v>
      </c>
    </row>
    <row r="3812" spans="1:16" ht="15" customHeight="1">
      <c r="A3812" s="47">
        <v>2032</v>
      </c>
      <c r="B3812" s="2">
        <v>4866</v>
      </c>
      <c r="C3812" s="47" t="s">
        <v>857</v>
      </c>
      <c r="D3812" s="16" t="s">
        <v>172</v>
      </c>
      <c r="E3812" s="16" t="s">
        <v>1103</v>
      </c>
      <c r="F3812" s="16"/>
      <c r="G3812" s="16"/>
      <c r="H3812" s="47" t="s">
        <v>231</v>
      </c>
      <c r="I3812" s="16"/>
      <c r="J3812" s="16"/>
      <c r="K3812" s="16"/>
      <c r="L3812" s="15" t="s">
        <v>205</v>
      </c>
      <c r="M3812" s="15"/>
      <c r="N3812" s="47" t="s">
        <v>232</v>
      </c>
      <c r="O3812" s="47" t="s">
        <v>30</v>
      </c>
      <c r="P3812" s="47" t="s">
        <v>46</v>
      </c>
    </row>
    <row r="3813" spans="1:16" ht="15" customHeight="1">
      <c r="A3813" s="47">
        <v>2032</v>
      </c>
      <c r="B3813" s="2">
        <v>4867</v>
      </c>
      <c r="C3813" s="47" t="s">
        <v>857</v>
      </c>
      <c r="D3813" s="16" t="s">
        <v>172</v>
      </c>
      <c r="E3813" s="16" t="s">
        <v>1103</v>
      </c>
      <c r="F3813" s="16"/>
      <c r="G3813" s="16"/>
      <c r="H3813" s="47" t="s">
        <v>231</v>
      </c>
      <c r="I3813" s="16"/>
      <c r="J3813" s="16"/>
      <c r="K3813" s="16"/>
      <c r="L3813" s="15" t="s">
        <v>205</v>
      </c>
      <c r="M3813" s="15"/>
      <c r="N3813" s="47" t="s">
        <v>232</v>
      </c>
      <c r="O3813" s="47" t="s">
        <v>30</v>
      </c>
      <c r="P3813" s="47" t="s">
        <v>46</v>
      </c>
    </row>
    <row r="3814" spans="1:16" ht="15" customHeight="1">
      <c r="A3814" s="47">
        <v>2032</v>
      </c>
      <c r="B3814" s="2">
        <v>4868</v>
      </c>
      <c r="C3814" s="47" t="s">
        <v>857</v>
      </c>
      <c r="D3814" s="16" t="s">
        <v>542</v>
      </c>
      <c r="E3814" s="16" t="s">
        <v>1103</v>
      </c>
      <c r="F3814" s="16"/>
      <c r="G3814" s="16"/>
      <c r="H3814" s="47" t="s">
        <v>231</v>
      </c>
      <c r="I3814" s="16"/>
      <c r="J3814" s="16"/>
      <c r="K3814" s="16"/>
      <c r="L3814" s="15" t="s">
        <v>536</v>
      </c>
      <c r="M3814" s="15" t="s">
        <v>543</v>
      </c>
      <c r="N3814" s="47" t="s">
        <v>232</v>
      </c>
      <c r="O3814" s="47" t="s">
        <v>30</v>
      </c>
      <c r="P3814" s="47" t="s">
        <v>46</v>
      </c>
    </row>
    <row r="3815" spans="1:16" ht="15" customHeight="1">
      <c r="A3815" s="47">
        <v>2032</v>
      </c>
      <c r="B3815" s="2">
        <v>4869</v>
      </c>
      <c r="C3815" s="47" t="s">
        <v>857</v>
      </c>
      <c r="D3815" s="47" t="s">
        <v>224</v>
      </c>
      <c r="E3815" s="16" t="s">
        <v>1103</v>
      </c>
      <c r="F3815" s="16"/>
      <c r="G3815" s="16"/>
      <c r="H3815" s="47" t="s">
        <v>231</v>
      </c>
      <c r="I3815" s="16"/>
      <c r="J3815" s="16"/>
      <c r="K3815" s="16"/>
      <c r="L3815" s="15" t="s">
        <v>536</v>
      </c>
      <c r="M3815" s="15" t="s">
        <v>537</v>
      </c>
      <c r="N3815" s="47" t="s">
        <v>232</v>
      </c>
      <c r="O3815" s="47" t="s">
        <v>30</v>
      </c>
      <c r="P3815" s="47" t="s">
        <v>46</v>
      </c>
    </row>
    <row r="3816" spans="1:16" ht="15" customHeight="1">
      <c r="A3816" s="47">
        <v>2032</v>
      </c>
      <c r="B3816" s="2">
        <v>4870</v>
      </c>
      <c r="C3816" s="47" t="s">
        <v>857</v>
      </c>
      <c r="D3816" s="47" t="s">
        <v>224</v>
      </c>
      <c r="E3816" s="16" t="s">
        <v>541</v>
      </c>
      <c r="F3816" s="16"/>
      <c r="G3816" s="16"/>
      <c r="H3816" s="47" t="s">
        <v>231</v>
      </c>
      <c r="I3816" s="16"/>
      <c r="J3816" s="16"/>
      <c r="K3816" s="16"/>
      <c r="L3816" s="15" t="s">
        <v>536</v>
      </c>
      <c r="M3816" s="15" t="s">
        <v>539</v>
      </c>
      <c r="N3816" s="47" t="s">
        <v>232</v>
      </c>
      <c r="O3816" s="47" t="s">
        <v>30</v>
      </c>
      <c r="P3816" s="47" t="s">
        <v>46</v>
      </c>
    </row>
    <row r="3817" spans="1:16" ht="15" customHeight="1">
      <c r="A3817" s="47">
        <v>2032</v>
      </c>
      <c r="B3817" s="2">
        <v>4871</v>
      </c>
      <c r="C3817" s="47" t="s">
        <v>857</v>
      </c>
      <c r="D3817" s="47" t="s">
        <v>224</v>
      </c>
      <c r="E3817" s="16" t="s">
        <v>541</v>
      </c>
      <c r="F3817" s="16"/>
      <c r="G3817" s="16"/>
      <c r="H3817" s="47" t="s">
        <v>231</v>
      </c>
      <c r="I3817" s="16"/>
      <c r="J3817" s="16"/>
      <c r="K3817" s="16"/>
      <c r="L3817" s="15" t="s">
        <v>536</v>
      </c>
      <c r="M3817" s="15" t="s">
        <v>539</v>
      </c>
      <c r="N3817" s="47" t="s">
        <v>232</v>
      </c>
      <c r="O3817" s="47" t="s">
        <v>30</v>
      </c>
      <c r="P3817" s="47" t="s">
        <v>46</v>
      </c>
    </row>
    <row r="3818" spans="1:16" ht="15" customHeight="1">
      <c r="A3818" s="47">
        <v>2032</v>
      </c>
      <c r="B3818" s="2">
        <v>4872</v>
      </c>
      <c r="C3818" s="47" t="s">
        <v>857</v>
      </c>
      <c r="D3818" s="47" t="s">
        <v>224</v>
      </c>
      <c r="E3818" s="16" t="s">
        <v>541</v>
      </c>
      <c r="F3818" s="16"/>
      <c r="G3818" s="16"/>
      <c r="H3818" s="47" t="s">
        <v>231</v>
      </c>
      <c r="I3818" s="16"/>
      <c r="J3818" s="16"/>
      <c r="K3818" s="16"/>
      <c r="L3818" s="15" t="s">
        <v>536</v>
      </c>
      <c r="M3818" s="15" t="s">
        <v>539</v>
      </c>
      <c r="N3818" s="47" t="s">
        <v>232</v>
      </c>
      <c r="O3818" s="47" t="s">
        <v>30</v>
      </c>
      <c r="P3818" s="47" t="s">
        <v>46</v>
      </c>
    </row>
    <row r="3819" spans="1:16" ht="15" customHeight="1">
      <c r="A3819" s="47">
        <v>2032</v>
      </c>
      <c r="B3819" s="2">
        <v>4873</v>
      </c>
      <c r="C3819" s="47" t="s">
        <v>857</v>
      </c>
      <c r="D3819" s="16" t="s">
        <v>172</v>
      </c>
      <c r="E3819" s="16" t="s">
        <v>519</v>
      </c>
      <c r="F3819" s="16"/>
      <c r="G3819" s="16"/>
      <c r="H3819" s="47" t="s">
        <v>231</v>
      </c>
      <c r="I3819" s="16"/>
      <c r="J3819" s="16"/>
      <c r="K3819" s="16"/>
      <c r="L3819" s="15" t="s">
        <v>205</v>
      </c>
      <c r="M3819" s="15"/>
      <c r="N3819" s="47" t="s">
        <v>232</v>
      </c>
      <c r="O3819" s="47" t="s">
        <v>30</v>
      </c>
      <c r="P3819" s="47" t="s">
        <v>46</v>
      </c>
    </row>
    <row r="3820" spans="1:16" ht="15" customHeight="1">
      <c r="A3820" s="47">
        <v>2032</v>
      </c>
      <c r="B3820" s="2">
        <v>4874</v>
      </c>
      <c r="C3820" s="47" t="s">
        <v>857</v>
      </c>
      <c r="D3820" s="16" t="s">
        <v>172</v>
      </c>
      <c r="E3820" s="16" t="s">
        <v>519</v>
      </c>
      <c r="F3820" s="16"/>
      <c r="G3820" s="16"/>
      <c r="H3820" s="47" t="s">
        <v>231</v>
      </c>
      <c r="I3820" s="16"/>
      <c r="J3820" s="16"/>
      <c r="K3820" s="16"/>
      <c r="L3820" s="15" t="s">
        <v>205</v>
      </c>
      <c r="M3820" s="15"/>
      <c r="N3820" s="47" t="s">
        <v>232</v>
      </c>
      <c r="O3820" s="47" t="s">
        <v>30</v>
      </c>
      <c r="P3820" s="47" t="s">
        <v>46</v>
      </c>
    </row>
    <row r="3821" spans="1:16" ht="15" customHeight="1">
      <c r="A3821" s="47">
        <v>2032</v>
      </c>
      <c r="B3821" s="2">
        <v>4875</v>
      </c>
      <c r="C3821" s="47" t="s">
        <v>857</v>
      </c>
      <c r="D3821" s="16" t="s">
        <v>172</v>
      </c>
      <c r="E3821" s="16" t="s">
        <v>519</v>
      </c>
      <c r="F3821" s="16"/>
      <c r="G3821" s="16"/>
      <c r="H3821" s="47" t="s">
        <v>231</v>
      </c>
      <c r="I3821" s="16"/>
      <c r="J3821" s="16"/>
      <c r="K3821" s="16"/>
      <c r="L3821" s="15" t="s">
        <v>205</v>
      </c>
      <c r="M3821" s="15"/>
      <c r="N3821" s="47" t="s">
        <v>232</v>
      </c>
      <c r="O3821" s="47" t="s">
        <v>30</v>
      </c>
      <c r="P3821" s="47" t="s">
        <v>46</v>
      </c>
    </row>
    <row r="3822" spans="1:16" ht="15" customHeight="1">
      <c r="A3822" s="47">
        <v>2032</v>
      </c>
      <c r="B3822" s="2">
        <v>4876</v>
      </c>
      <c r="C3822" s="47" t="s">
        <v>857</v>
      </c>
      <c r="D3822" s="16" t="s">
        <v>172</v>
      </c>
      <c r="E3822" s="16" t="s">
        <v>519</v>
      </c>
      <c r="F3822" s="16"/>
      <c r="G3822" s="16"/>
      <c r="H3822" s="47" t="s">
        <v>231</v>
      </c>
      <c r="I3822" s="16"/>
      <c r="J3822" s="16"/>
      <c r="K3822" s="16"/>
      <c r="L3822" s="15" t="s">
        <v>205</v>
      </c>
      <c r="M3822" s="15"/>
      <c r="N3822" s="47" t="s">
        <v>232</v>
      </c>
      <c r="O3822" s="47" t="s">
        <v>30</v>
      </c>
      <c r="P3822" s="47" t="s">
        <v>46</v>
      </c>
    </row>
    <row r="3823" spans="1:16" ht="15" customHeight="1">
      <c r="A3823" s="47">
        <v>2032</v>
      </c>
      <c r="B3823" s="2">
        <v>4877</v>
      </c>
      <c r="C3823" s="47" t="s">
        <v>857</v>
      </c>
      <c r="D3823" s="16" t="s">
        <v>172</v>
      </c>
      <c r="E3823" s="16" t="s">
        <v>519</v>
      </c>
      <c r="F3823" s="16"/>
      <c r="G3823" s="16"/>
      <c r="H3823" s="47" t="s">
        <v>231</v>
      </c>
      <c r="I3823" s="16"/>
      <c r="J3823" s="16"/>
      <c r="K3823" s="16"/>
      <c r="L3823" s="15" t="s">
        <v>205</v>
      </c>
      <c r="M3823" s="15"/>
      <c r="N3823" s="47" t="s">
        <v>232</v>
      </c>
      <c r="O3823" s="47" t="s">
        <v>30</v>
      </c>
      <c r="P3823" s="47" t="s">
        <v>46</v>
      </c>
    </row>
    <row r="3824" spans="1:16" ht="15" customHeight="1">
      <c r="A3824" s="47">
        <v>2032</v>
      </c>
      <c r="B3824" s="2">
        <v>4878</v>
      </c>
      <c r="C3824" s="47" t="s">
        <v>857</v>
      </c>
      <c r="D3824" s="16" t="s">
        <v>172</v>
      </c>
      <c r="E3824" s="16" t="s">
        <v>519</v>
      </c>
      <c r="F3824" s="16"/>
      <c r="G3824" s="16"/>
      <c r="H3824" s="47" t="s">
        <v>231</v>
      </c>
      <c r="I3824" s="16"/>
      <c r="J3824" s="16"/>
      <c r="K3824" s="16"/>
      <c r="L3824" s="15" t="s">
        <v>205</v>
      </c>
      <c r="M3824" s="15"/>
      <c r="N3824" s="47" t="s">
        <v>232</v>
      </c>
      <c r="O3824" s="47" t="s">
        <v>30</v>
      </c>
      <c r="P3824" s="47" t="s">
        <v>46</v>
      </c>
    </row>
    <row r="3825" spans="1:16" ht="15" customHeight="1">
      <c r="A3825" s="47">
        <v>2032</v>
      </c>
      <c r="B3825" s="2">
        <v>4879</v>
      </c>
      <c r="C3825" s="47" t="s">
        <v>857</v>
      </c>
      <c r="D3825" s="16" t="s">
        <v>172</v>
      </c>
      <c r="E3825" s="16" t="s">
        <v>519</v>
      </c>
      <c r="F3825" s="16"/>
      <c r="G3825" s="16"/>
      <c r="H3825" s="47" t="s">
        <v>231</v>
      </c>
      <c r="I3825" s="16"/>
      <c r="J3825" s="16"/>
      <c r="K3825" s="16"/>
      <c r="L3825" s="15" t="s">
        <v>205</v>
      </c>
      <c r="M3825" s="15"/>
      <c r="N3825" s="47" t="s">
        <v>232</v>
      </c>
      <c r="O3825" s="47" t="s">
        <v>30</v>
      </c>
      <c r="P3825" s="47" t="s">
        <v>46</v>
      </c>
    </row>
    <row r="3826" spans="1:16" ht="15" customHeight="1">
      <c r="A3826" s="47">
        <v>2032</v>
      </c>
      <c r="B3826" s="2">
        <v>4880</v>
      </c>
      <c r="C3826" s="47" t="s">
        <v>857</v>
      </c>
      <c r="D3826" s="16" t="s">
        <v>542</v>
      </c>
      <c r="E3826" s="16" t="s">
        <v>519</v>
      </c>
      <c r="F3826" s="16"/>
      <c r="G3826" s="16"/>
      <c r="H3826" s="47" t="s">
        <v>231</v>
      </c>
      <c r="I3826" s="16"/>
      <c r="J3826" s="16"/>
      <c r="K3826" s="16"/>
      <c r="L3826" s="15" t="s">
        <v>544</v>
      </c>
      <c r="M3826" s="15" t="s">
        <v>545</v>
      </c>
      <c r="N3826" s="47" t="s">
        <v>232</v>
      </c>
      <c r="O3826" s="47" t="s">
        <v>30</v>
      </c>
      <c r="P3826" s="47" t="s">
        <v>46</v>
      </c>
    </row>
    <row r="3827" spans="1:16" ht="15" customHeight="1">
      <c r="A3827" s="47">
        <v>2032</v>
      </c>
      <c r="B3827" s="2">
        <v>4881</v>
      </c>
      <c r="C3827" s="47" t="s">
        <v>857</v>
      </c>
      <c r="D3827" s="47" t="s">
        <v>224</v>
      </c>
      <c r="E3827" s="16" t="s">
        <v>519</v>
      </c>
      <c r="F3827" s="16"/>
      <c r="G3827" s="16"/>
      <c r="H3827" s="47" t="s">
        <v>231</v>
      </c>
      <c r="I3827" s="16"/>
      <c r="J3827" s="16"/>
      <c r="K3827" s="16"/>
      <c r="L3827" s="15" t="s">
        <v>536</v>
      </c>
      <c r="M3827" s="15" t="s">
        <v>540</v>
      </c>
      <c r="N3827" s="47" t="s">
        <v>232</v>
      </c>
      <c r="O3827" s="47" t="s">
        <v>30</v>
      </c>
      <c r="P3827" s="47" t="s">
        <v>46</v>
      </c>
    </row>
    <row r="3828" spans="1:16" ht="15" customHeight="1">
      <c r="A3828" s="47">
        <v>2033</v>
      </c>
      <c r="B3828" s="2">
        <v>4882</v>
      </c>
      <c r="C3828" s="47" t="s">
        <v>857</v>
      </c>
      <c r="D3828" s="47" t="s">
        <v>224</v>
      </c>
      <c r="E3828" s="16" t="s">
        <v>538</v>
      </c>
      <c r="F3828" s="16"/>
      <c r="G3828" s="16"/>
      <c r="H3828" s="47" t="s">
        <v>231</v>
      </c>
      <c r="I3828" s="16"/>
      <c r="J3828" s="16"/>
      <c r="K3828" s="16"/>
      <c r="L3828" s="15" t="s">
        <v>536</v>
      </c>
      <c r="M3828" s="15" t="s">
        <v>539</v>
      </c>
      <c r="N3828" s="47" t="s">
        <v>232</v>
      </c>
      <c r="O3828" s="47" t="s">
        <v>30</v>
      </c>
      <c r="P3828" s="47" t="s">
        <v>46</v>
      </c>
    </row>
    <row r="3829" spans="1:16" ht="15" customHeight="1">
      <c r="A3829" s="47">
        <v>2033</v>
      </c>
      <c r="B3829" s="2">
        <v>4883</v>
      </c>
      <c r="C3829" s="47" t="s">
        <v>857</v>
      </c>
      <c r="D3829" s="47" t="s">
        <v>224</v>
      </c>
      <c r="E3829" s="16" t="s">
        <v>538</v>
      </c>
      <c r="F3829" s="16"/>
      <c r="G3829" s="16"/>
      <c r="H3829" s="47" t="s">
        <v>231</v>
      </c>
      <c r="I3829" s="16"/>
      <c r="J3829" s="16"/>
      <c r="K3829" s="16"/>
      <c r="L3829" s="15" t="s">
        <v>536</v>
      </c>
      <c r="M3829" s="15" t="s">
        <v>546</v>
      </c>
      <c r="N3829" s="47" t="s">
        <v>232</v>
      </c>
      <c r="O3829" s="47" t="s">
        <v>30</v>
      </c>
      <c r="P3829" s="47" t="s">
        <v>46</v>
      </c>
    </row>
    <row r="3830" spans="1:16" ht="15" customHeight="1">
      <c r="A3830" s="47">
        <v>2033</v>
      </c>
      <c r="B3830" s="2">
        <v>4884</v>
      </c>
      <c r="C3830" s="47" t="s">
        <v>857</v>
      </c>
      <c r="D3830" s="47" t="s">
        <v>224</v>
      </c>
      <c r="E3830" s="16" t="s">
        <v>538</v>
      </c>
      <c r="F3830" s="16"/>
      <c r="G3830" s="16"/>
      <c r="H3830" s="47" t="s">
        <v>231</v>
      </c>
      <c r="I3830" s="16"/>
      <c r="J3830" s="16"/>
      <c r="K3830" s="16"/>
      <c r="L3830" s="15" t="s">
        <v>536</v>
      </c>
      <c r="M3830" s="15" t="s">
        <v>539</v>
      </c>
      <c r="N3830" s="47" t="s">
        <v>232</v>
      </c>
      <c r="O3830" s="47" t="s">
        <v>30</v>
      </c>
      <c r="P3830" s="47" t="s">
        <v>46</v>
      </c>
    </row>
    <row r="3831" spans="1:16" ht="15" customHeight="1">
      <c r="A3831" s="47">
        <v>2033</v>
      </c>
      <c r="B3831" s="2">
        <v>4885</v>
      </c>
      <c r="C3831" s="47" t="s">
        <v>857</v>
      </c>
      <c r="D3831" s="16" t="s">
        <v>547</v>
      </c>
      <c r="E3831" s="16" t="s">
        <v>548</v>
      </c>
      <c r="F3831" s="16"/>
      <c r="G3831" s="16"/>
      <c r="H3831" s="47" t="s">
        <v>231</v>
      </c>
      <c r="I3831" s="16"/>
      <c r="J3831" s="16"/>
      <c r="K3831" s="16"/>
      <c r="L3831" s="15" t="s">
        <v>255</v>
      </c>
      <c r="M3831" s="15"/>
      <c r="N3831" s="47" t="s">
        <v>232</v>
      </c>
      <c r="O3831" s="47" t="s">
        <v>30</v>
      </c>
      <c r="P3831" s="47" t="s">
        <v>46</v>
      </c>
    </row>
    <row r="3832" spans="1:16" ht="15" customHeight="1">
      <c r="A3832" s="47">
        <v>2033</v>
      </c>
      <c r="B3832" s="2">
        <v>4886</v>
      </c>
      <c r="C3832" s="47" t="s">
        <v>857</v>
      </c>
      <c r="D3832" s="16" t="s">
        <v>172</v>
      </c>
      <c r="E3832" s="16" t="s">
        <v>1103</v>
      </c>
      <c r="F3832" s="16"/>
      <c r="G3832" s="16"/>
      <c r="H3832" s="47" t="s">
        <v>231</v>
      </c>
      <c r="I3832" s="16"/>
      <c r="J3832" s="16"/>
      <c r="K3832" s="16"/>
      <c r="L3832" s="15" t="s">
        <v>205</v>
      </c>
      <c r="M3832" s="15"/>
      <c r="N3832" s="47" t="s">
        <v>232</v>
      </c>
      <c r="O3832" s="47" t="s">
        <v>30</v>
      </c>
      <c r="P3832" s="47" t="s">
        <v>46</v>
      </c>
    </row>
    <row r="3833" spans="1:16" ht="15" customHeight="1">
      <c r="A3833" s="47">
        <v>2033</v>
      </c>
      <c r="B3833" s="2">
        <v>4887</v>
      </c>
      <c r="C3833" s="47" t="s">
        <v>857</v>
      </c>
      <c r="D3833" s="16" t="s">
        <v>172</v>
      </c>
      <c r="E3833" s="16" t="s">
        <v>1103</v>
      </c>
      <c r="F3833" s="16"/>
      <c r="G3833" s="16"/>
      <c r="H3833" s="47" t="s">
        <v>231</v>
      </c>
      <c r="I3833" s="16"/>
      <c r="J3833" s="16"/>
      <c r="K3833" s="16"/>
      <c r="L3833" s="15" t="s">
        <v>205</v>
      </c>
      <c r="M3833" s="15"/>
      <c r="N3833" s="47" t="s">
        <v>232</v>
      </c>
      <c r="O3833" s="47" t="s">
        <v>30</v>
      </c>
      <c r="P3833" s="47" t="s">
        <v>46</v>
      </c>
    </row>
    <row r="3834" spans="1:16" ht="15" customHeight="1">
      <c r="A3834" s="47">
        <v>2033</v>
      </c>
      <c r="B3834" s="2">
        <v>4888</v>
      </c>
      <c r="C3834" s="47" t="s">
        <v>857</v>
      </c>
      <c r="D3834" s="16" t="s">
        <v>172</v>
      </c>
      <c r="E3834" s="16" t="s">
        <v>1103</v>
      </c>
      <c r="F3834" s="16"/>
      <c r="G3834" s="16"/>
      <c r="H3834" s="47" t="s">
        <v>231</v>
      </c>
      <c r="I3834" s="16"/>
      <c r="J3834" s="16"/>
      <c r="K3834" s="16"/>
      <c r="L3834" s="15" t="s">
        <v>205</v>
      </c>
      <c r="M3834" s="15"/>
      <c r="N3834" s="47" t="s">
        <v>232</v>
      </c>
      <c r="O3834" s="47" t="s">
        <v>30</v>
      </c>
      <c r="P3834" s="47" t="s">
        <v>46</v>
      </c>
    </row>
    <row r="3835" spans="1:16" ht="15" customHeight="1">
      <c r="A3835" s="47">
        <v>2033</v>
      </c>
      <c r="B3835" s="2">
        <v>4889</v>
      </c>
      <c r="C3835" s="47" t="s">
        <v>857</v>
      </c>
      <c r="D3835" s="16" t="s">
        <v>172</v>
      </c>
      <c r="E3835" s="16" t="s">
        <v>1103</v>
      </c>
      <c r="F3835" s="16"/>
      <c r="G3835" s="16"/>
      <c r="H3835" s="47" t="s">
        <v>231</v>
      </c>
      <c r="I3835" s="16"/>
      <c r="J3835" s="16"/>
      <c r="K3835" s="16"/>
      <c r="L3835" s="15" t="s">
        <v>205</v>
      </c>
      <c r="M3835" s="15"/>
      <c r="N3835" s="47" t="s">
        <v>232</v>
      </c>
      <c r="O3835" s="47" t="s">
        <v>30</v>
      </c>
      <c r="P3835" s="47" t="s">
        <v>46</v>
      </c>
    </row>
    <row r="3836" spans="1:16" ht="15" customHeight="1">
      <c r="A3836" s="47">
        <v>2033</v>
      </c>
      <c r="B3836" s="2">
        <v>4890</v>
      </c>
      <c r="C3836" s="47" t="s">
        <v>857</v>
      </c>
      <c r="D3836" s="16" t="s">
        <v>172</v>
      </c>
      <c r="E3836" s="16" t="s">
        <v>1103</v>
      </c>
      <c r="F3836" s="16"/>
      <c r="G3836" s="16"/>
      <c r="H3836" s="47" t="s">
        <v>231</v>
      </c>
      <c r="I3836" s="16"/>
      <c r="J3836" s="16"/>
      <c r="K3836" s="16"/>
      <c r="L3836" s="15" t="s">
        <v>205</v>
      </c>
      <c r="M3836" s="15"/>
      <c r="N3836" s="47" t="s">
        <v>232</v>
      </c>
      <c r="O3836" s="47" t="s">
        <v>30</v>
      </c>
      <c r="P3836" s="47" t="s">
        <v>46</v>
      </c>
    </row>
    <row r="3837" spans="1:16" ht="15" customHeight="1">
      <c r="A3837" s="47">
        <v>2033</v>
      </c>
      <c r="B3837" s="2">
        <v>4891</v>
      </c>
      <c r="C3837" s="47" t="s">
        <v>857</v>
      </c>
      <c r="D3837" s="16" t="s">
        <v>172</v>
      </c>
      <c r="E3837" s="16" t="s">
        <v>1103</v>
      </c>
      <c r="F3837" s="16"/>
      <c r="G3837" s="16"/>
      <c r="H3837" s="47" t="s">
        <v>231</v>
      </c>
      <c r="I3837" s="16"/>
      <c r="J3837" s="16"/>
      <c r="K3837" s="16"/>
      <c r="L3837" s="15" t="s">
        <v>205</v>
      </c>
      <c r="M3837" s="15"/>
      <c r="N3837" s="47" t="s">
        <v>232</v>
      </c>
      <c r="O3837" s="47" t="s">
        <v>30</v>
      </c>
      <c r="P3837" s="47" t="s">
        <v>46</v>
      </c>
    </row>
    <row r="3838" spans="1:16" ht="15" customHeight="1">
      <c r="A3838" s="47">
        <v>2033</v>
      </c>
      <c r="B3838" s="2">
        <v>4892</v>
      </c>
      <c r="C3838" s="47" t="s">
        <v>857</v>
      </c>
      <c r="D3838" s="16" t="s">
        <v>172</v>
      </c>
      <c r="E3838" s="16" t="s">
        <v>1103</v>
      </c>
      <c r="F3838" s="16"/>
      <c r="G3838" s="16"/>
      <c r="H3838" s="47" t="s">
        <v>231</v>
      </c>
      <c r="I3838" s="16"/>
      <c r="J3838" s="16"/>
      <c r="K3838" s="16"/>
      <c r="L3838" s="15" t="s">
        <v>205</v>
      </c>
      <c r="M3838" s="15"/>
      <c r="N3838" s="47" t="s">
        <v>232</v>
      </c>
      <c r="O3838" s="47" t="s">
        <v>30</v>
      </c>
      <c r="P3838" s="47" t="s">
        <v>46</v>
      </c>
    </row>
    <row r="3839" spans="1:16" ht="15" customHeight="1">
      <c r="A3839" s="47">
        <v>2033</v>
      </c>
      <c r="B3839" s="2">
        <v>4893</v>
      </c>
      <c r="C3839" s="47" t="s">
        <v>857</v>
      </c>
      <c r="D3839" s="16" t="s">
        <v>542</v>
      </c>
      <c r="E3839" s="16" t="s">
        <v>1103</v>
      </c>
      <c r="F3839" s="16"/>
      <c r="G3839" s="16"/>
      <c r="H3839" s="47" t="s">
        <v>231</v>
      </c>
      <c r="I3839" s="16"/>
      <c r="J3839" s="16"/>
      <c r="K3839" s="16"/>
      <c r="L3839" s="15" t="s">
        <v>536</v>
      </c>
      <c r="M3839" s="15" t="s">
        <v>543</v>
      </c>
      <c r="N3839" s="47" t="s">
        <v>232</v>
      </c>
      <c r="O3839" s="47" t="s">
        <v>30</v>
      </c>
      <c r="P3839" s="47" t="s">
        <v>46</v>
      </c>
    </row>
    <row r="3840" spans="1:16" ht="15" customHeight="1">
      <c r="A3840" s="47">
        <v>2033</v>
      </c>
      <c r="B3840" s="2">
        <v>4894</v>
      </c>
      <c r="C3840" s="47" t="s">
        <v>857</v>
      </c>
      <c r="D3840" s="47" t="s">
        <v>224</v>
      </c>
      <c r="E3840" s="16" t="s">
        <v>1103</v>
      </c>
      <c r="F3840" s="16"/>
      <c r="G3840" s="16"/>
      <c r="H3840" s="47" t="s">
        <v>231</v>
      </c>
      <c r="I3840" s="16"/>
      <c r="J3840" s="16"/>
      <c r="K3840" s="16"/>
      <c r="L3840" s="15" t="s">
        <v>536</v>
      </c>
      <c r="M3840" s="15" t="s">
        <v>537</v>
      </c>
      <c r="N3840" s="47" t="s">
        <v>232</v>
      </c>
      <c r="O3840" s="47" t="s">
        <v>30</v>
      </c>
      <c r="P3840" s="47" t="s">
        <v>46</v>
      </c>
    </row>
    <row r="3841" spans="1:16" ht="15" customHeight="1">
      <c r="A3841" s="47">
        <v>2033</v>
      </c>
      <c r="B3841" s="2">
        <v>4895</v>
      </c>
      <c r="C3841" s="47" t="s">
        <v>857</v>
      </c>
      <c r="D3841" s="47" t="s">
        <v>224</v>
      </c>
      <c r="E3841" s="16" t="s">
        <v>541</v>
      </c>
      <c r="F3841" s="16"/>
      <c r="G3841" s="16"/>
      <c r="H3841" s="47" t="s">
        <v>231</v>
      </c>
      <c r="I3841" s="16"/>
      <c r="J3841" s="16"/>
      <c r="K3841" s="16"/>
      <c r="L3841" s="15" t="s">
        <v>536</v>
      </c>
      <c r="M3841" s="15" t="s">
        <v>539</v>
      </c>
      <c r="N3841" s="47" t="s">
        <v>232</v>
      </c>
      <c r="O3841" s="47" t="s">
        <v>30</v>
      </c>
      <c r="P3841" s="47" t="s">
        <v>46</v>
      </c>
    </row>
    <row r="3842" spans="1:16" ht="15" customHeight="1">
      <c r="A3842" s="47">
        <v>2033</v>
      </c>
      <c r="B3842" s="2">
        <v>4896</v>
      </c>
      <c r="C3842" s="47" t="s">
        <v>857</v>
      </c>
      <c r="D3842" s="47" t="s">
        <v>224</v>
      </c>
      <c r="E3842" s="16" t="s">
        <v>541</v>
      </c>
      <c r="F3842" s="16"/>
      <c r="G3842" s="16"/>
      <c r="H3842" s="47" t="s">
        <v>231</v>
      </c>
      <c r="I3842" s="16"/>
      <c r="J3842" s="16"/>
      <c r="K3842" s="16"/>
      <c r="L3842" s="15" t="s">
        <v>536</v>
      </c>
      <c r="M3842" s="15" t="s">
        <v>539</v>
      </c>
      <c r="N3842" s="47" t="s">
        <v>232</v>
      </c>
      <c r="O3842" s="47" t="s">
        <v>30</v>
      </c>
      <c r="P3842" s="47" t="s">
        <v>46</v>
      </c>
    </row>
    <row r="3843" spans="1:16" ht="15" customHeight="1">
      <c r="A3843" s="47">
        <v>2033</v>
      </c>
      <c r="B3843" s="2">
        <v>4897</v>
      </c>
      <c r="C3843" s="47" t="s">
        <v>857</v>
      </c>
      <c r="D3843" s="47" t="s">
        <v>224</v>
      </c>
      <c r="E3843" s="16" t="s">
        <v>541</v>
      </c>
      <c r="F3843" s="16"/>
      <c r="G3843" s="16"/>
      <c r="H3843" s="47" t="s">
        <v>231</v>
      </c>
      <c r="I3843" s="16"/>
      <c r="J3843" s="16"/>
      <c r="K3843" s="16"/>
      <c r="L3843" s="15" t="s">
        <v>536</v>
      </c>
      <c r="M3843" s="15" t="s">
        <v>539</v>
      </c>
      <c r="N3843" s="47" t="s">
        <v>232</v>
      </c>
      <c r="O3843" s="47" t="s">
        <v>30</v>
      </c>
      <c r="P3843" s="47" t="s">
        <v>46</v>
      </c>
    </row>
    <row r="3844" spans="1:16" ht="15" customHeight="1">
      <c r="A3844" s="47">
        <v>2033</v>
      </c>
      <c r="B3844" s="2">
        <v>4898</v>
      </c>
      <c r="C3844" s="47" t="s">
        <v>857</v>
      </c>
      <c r="D3844" s="16" t="s">
        <v>172</v>
      </c>
      <c r="E3844" s="16" t="s">
        <v>519</v>
      </c>
      <c r="F3844" s="16"/>
      <c r="G3844" s="16"/>
      <c r="H3844" s="47" t="s">
        <v>231</v>
      </c>
      <c r="I3844" s="16"/>
      <c r="J3844" s="16"/>
      <c r="K3844" s="16"/>
      <c r="L3844" s="15" t="s">
        <v>205</v>
      </c>
      <c r="M3844" s="15"/>
      <c r="N3844" s="47" t="s">
        <v>232</v>
      </c>
      <c r="O3844" s="47" t="s">
        <v>30</v>
      </c>
      <c r="P3844" s="47" t="s">
        <v>46</v>
      </c>
    </row>
    <row r="3845" spans="1:16" ht="15" customHeight="1">
      <c r="A3845" s="47">
        <v>2033</v>
      </c>
      <c r="B3845" s="2">
        <v>4899</v>
      </c>
      <c r="C3845" s="47" t="s">
        <v>857</v>
      </c>
      <c r="D3845" s="16" t="s">
        <v>172</v>
      </c>
      <c r="E3845" s="16" t="s">
        <v>519</v>
      </c>
      <c r="F3845" s="16"/>
      <c r="G3845" s="16"/>
      <c r="H3845" s="47" t="s">
        <v>231</v>
      </c>
      <c r="I3845" s="16"/>
      <c r="J3845" s="16"/>
      <c r="K3845" s="16"/>
      <c r="L3845" s="15" t="s">
        <v>205</v>
      </c>
      <c r="M3845" s="15"/>
      <c r="N3845" s="47" t="s">
        <v>232</v>
      </c>
      <c r="O3845" s="47" t="s">
        <v>30</v>
      </c>
      <c r="P3845" s="47" t="s">
        <v>46</v>
      </c>
    </row>
    <row r="3846" spans="1:16" ht="15" customHeight="1">
      <c r="A3846" s="47">
        <v>2033</v>
      </c>
      <c r="B3846" s="2">
        <v>4900</v>
      </c>
      <c r="C3846" s="47" t="s">
        <v>857</v>
      </c>
      <c r="D3846" s="16" t="s">
        <v>172</v>
      </c>
      <c r="E3846" s="16" t="s">
        <v>519</v>
      </c>
      <c r="F3846" s="16"/>
      <c r="G3846" s="16"/>
      <c r="H3846" s="47" t="s">
        <v>231</v>
      </c>
      <c r="I3846" s="16"/>
      <c r="J3846" s="16"/>
      <c r="K3846" s="16"/>
      <c r="L3846" s="15" t="s">
        <v>205</v>
      </c>
      <c r="M3846" s="15"/>
      <c r="N3846" s="47" t="s">
        <v>232</v>
      </c>
      <c r="O3846" s="47" t="s">
        <v>30</v>
      </c>
      <c r="P3846" s="47" t="s">
        <v>46</v>
      </c>
    </row>
    <row r="3847" spans="1:16" ht="15" customHeight="1">
      <c r="A3847" s="47">
        <v>2033</v>
      </c>
      <c r="B3847" s="2">
        <v>4901</v>
      </c>
      <c r="C3847" s="47" t="s">
        <v>857</v>
      </c>
      <c r="D3847" s="16" t="s">
        <v>172</v>
      </c>
      <c r="E3847" s="16" t="s">
        <v>519</v>
      </c>
      <c r="F3847" s="16"/>
      <c r="G3847" s="16"/>
      <c r="H3847" s="47" t="s">
        <v>231</v>
      </c>
      <c r="I3847" s="16"/>
      <c r="J3847" s="16"/>
      <c r="K3847" s="16"/>
      <c r="L3847" s="15" t="s">
        <v>205</v>
      </c>
      <c r="M3847" s="15"/>
      <c r="N3847" s="47" t="s">
        <v>232</v>
      </c>
      <c r="O3847" s="47" t="s">
        <v>30</v>
      </c>
      <c r="P3847" s="47" t="s">
        <v>46</v>
      </c>
    </row>
    <row r="3848" spans="1:16" ht="15" customHeight="1">
      <c r="A3848" s="47">
        <v>2033</v>
      </c>
      <c r="B3848" s="2">
        <v>4902</v>
      </c>
      <c r="C3848" s="47" t="s">
        <v>857</v>
      </c>
      <c r="D3848" s="16" t="s">
        <v>172</v>
      </c>
      <c r="E3848" s="16" t="s">
        <v>519</v>
      </c>
      <c r="F3848" s="16"/>
      <c r="G3848" s="16"/>
      <c r="H3848" s="47" t="s">
        <v>231</v>
      </c>
      <c r="I3848" s="16"/>
      <c r="J3848" s="16"/>
      <c r="K3848" s="16"/>
      <c r="L3848" s="15" t="s">
        <v>205</v>
      </c>
      <c r="M3848" s="15"/>
      <c r="N3848" s="47" t="s">
        <v>232</v>
      </c>
      <c r="O3848" s="47" t="s">
        <v>30</v>
      </c>
      <c r="P3848" s="47" t="s">
        <v>46</v>
      </c>
    </row>
    <row r="3849" spans="1:16" ht="15" customHeight="1">
      <c r="A3849" s="47">
        <v>2033</v>
      </c>
      <c r="B3849" s="2">
        <v>4903</v>
      </c>
      <c r="C3849" s="47" t="s">
        <v>857</v>
      </c>
      <c r="D3849" s="16" t="s">
        <v>172</v>
      </c>
      <c r="E3849" s="16" t="s">
        <v>519</v>
      </c>
      <c r="F3849" s="16"/>
      <c r="G3849" s="16"/>
      <c r="H3849" s="47" t="s">
        <v>231</v>
      </c>
      <c r="I3849" s="16"/>
      <c r="J3849" s="16"/>
      <c r="K3849" s="16"/>
      <c r="L3849" s="15" t="s">
        <v>205</v>
      </c>
      <c r="M3849" s="15"/>
      <c r="N3849" s="47" t="s">
        <v>232</v>
      </c>
      <c r="O3849" s="47" t="s">
        <v>30</v>
      </c>
      <c r="P3849" s="47" t="s">
        <v>46</v>
      </c>
    </row>
    <row r="3850" spans="1:16" ht="15" customHeight="1">
      <c r="A3850" s="47">
        <v>2033</v>
      </c>
      <c r="B3850" s="2">
        <v>4904</v>
      </c>
      <c r="C3850" s="47" t="s">
        <v>857</v>
      </c>
      <c r="D3850" s="16" t="s">
        <v>172</v>
      </c>
      <c r="E3850" s="16" t="s">
        <v>519</v>
      </c>
      <c r="F3850" s="16"/>
      <c r="G3850" s="16"/>
      <c r="H3850" s="47" t="s">
        <v>231</v>
      </c>
      <c r="I3850" s="16"/>
      <c r="J3850" s="16"/>
      <c r="K3850" s="16"/>
      <c r="L3850" s="15" t="s">
        <v>205</v>
      </c>
      <c r="M3850" s="15"/>
      <c r="N3850" s="47" t="s">
        <v>232</v>
      </c>
      <c r="O3850" s="47" t="s">
        <v>30</v>
      </c>
      <c r="P3850" s="47" t="s">
        <v>46</v>
      </c>
    </row>
    <row r="3851" spans="1:16" ht="15" customHeight="1">
      <c r="A3851" s="47">
        <v>2033</v>
      </c>
      <c r="B3851" s="2">
        <v>4905</v>
      </c>
      <c r="C3851" s="47" t="s">
        <v>857</v>
      </c>
      <c r="D3851" s="16" t="s">
        <v>542</v>
      </c>
      <c r="E3851" s="16" t="s">
        <v>519</v>
      </c>
      <c r="F3851" s="16"/>
      <c r="G3851" s="16"/>
      <c r="H3851" s="47" t="s">
        <v>231</v>
      </c>
      <c r="I3851" s="16"/>
      <c r="J3851" s="16"/>
      <c r="K3851" s="16"/>
      <c r="L3851" s="15" t="s">
        <v>544</v>
      </c>
      <c r="M3851" s="15" t="s">
        <v>545</v>
      </c>
      <c r="N3851" s="47" t="s">
        <v>232</v>
      </c>
      <c r="O3851" s="47" t="s">
        <v>30</v>
      </c>
      <c r="P3851" s="47" t="s">
        <v>46</v>
      </c>
    </row>
    <row r="3852" spans="1:16" ht="15" customHeight="1">
      <c r="A3852" s="47">
        <v>2033</v>
      </c>
      <c r="B3852" s="2">
        <v>4906</v>
      </c>
      <c r="C3852" s="47" t="s">
        <v>857</v>
      </c>
      <c r="D3852" s="47" t="s">
        <v>224</v>
      </c>
      <c r="E3852" s="16" t="s">
        <v>519</v>
      </c>
      <c r="F3852" s="16"/>
      <c r="G3852" s="16"/>
      <c r="H3852" s="47" t="s">
        <v>231</v>
      </c>
      <c r="I3852" s="16"/>
      <c r="J3852" s="16"/>
      <c r="K3852" s="16"/>
      <c r="L3852" s="15" t="s">
        <v>536</v>
      </c>
      <c r="M3852" s="15" t="s">
        <v>540</v>
      </c>
      <c r="N3852" s="47" t="s">
        <v>232</v>
      </c>
      <c r="O3852" s="47" t="s">
        <v>30</v>
      </c>
      <c r="P3852" s="47" t="s">
        <v>46</v>
      </c>
    </row>
    <row r="3853" spans="1:16" ht="15" customHeight="1">
      <c r="A3853" s="47">
        <v>2034</v>
      </c>
      <c r="B3853" s="2">
        <v>4907</v>
      </c>
      <c r="C3853" s="47" t="s">
        <v>857</v>
      </c>
      <c r="D3853" s="47" t="s">
        <v>224</v>
      </c>
      <c r="E3853" s="16" t="s">
        <v>538</v>
      </c>
      <c r="F3853" s="16"/>
      <c r="G3853" s="16"/>
      <c r="H3853" s="47" t="s">
        <v>231</v>
      </c>
      <c r="I3853" s="16"/>
      <c r="J3853" s="16"/>
      <c r="K3853" s="16"/>
      <c r="L3853" s="15" t="s">
        <v>536</v>
      </c>
      <c r="M3853" s="15" t="s">
        <v>539</v>
      </c>
      <c r="N3853" s="47" t="s">
        <v>232</v>
      </c>
      <c r="O3853" s="47" t="s">
        <v>30</v>
      </c>
      <c r="P3853" s="47" t="s">
        <v>46</v>
      </c>
    </row>
    <row r="3854" spans="1:16" ht="15" customHeight="1">
      <c r="A3854" s="47">
        <v>2034</v>
      </c>
      <c r="B3854" s="2">
        <v>4908</v>
      </c>
      <c r="C3854" s="47" t="s">
        <v>857</v>
      </c>
      <c r="D3854" s="47" t="s">
        <v>224</v>
      </c>
      <c r="E3854" s="16" t="s">
        <v>538</v>
      </c>
      <c r="F3854" s="16"/>
      <c r="G3854" s="16"/>
      <c r="H3854" s="47" t="s">
        <v>231</v>
      </c>
      <c r="I3854" s="16"/>
      <c r="J3854" s="16"/>
      <c r="K3854" s="16"/>
      <c r="L3854" s="15" t="s">
        <v>536</v>
      </c>
      <c r="M3854" s="15" t="s">
        <v>546</v>
      </c>
      <c r="N3854" s="47" t="s">
        <v>232</v>
      </c>
      <c r="O3854" s="47" t="s">
        <v>30</v>
      </c>
      <c r="P3854" s="47" t="s">
        <v>46</v>
      </c>
    </row>
    <row r="3855" spans="1:16" ht="15" customHeight="1">
      <c r="A3855" s="47">
        <v>2034</v>
      </c>
      <c r="B3855" s="2">
        <v>4909</v>
      </c>
      <c r="C3855" s="47" t="s">
        <v>857</v>
      </c>
      <c r="D3855" s="47" t="s">
        <v>224</v>
      </c>
      <c r="E3855" s="16" t="s">
        <v>538</v>
      </c>
      <c r="F3855" s="16"/>
      <c r="G3855" s="16"/>
      <c r="H3855" s="47" t="s">
        <v>231</v>
      </c>
      <c r="I3855" s="16"/>
      <c r="J3855" s="16"/>
      <c r="K3855" s="16"/>
      <c r="L3855" s="15" t="s">
        <v>536</v>
      </c>
      <c r="M3855" s="15" t="s">
        <v>539</v>
      </c>
      <c r="N3855" s="47" t="s">
        <v>232</v>
      </c>
      <c r="O3855" s="47" t="s">
        <v>30</v>
      </c>
      <c r="P3855" s="47" t="s">
        <v>46</v>
      </c>
    </row>
    <row r="3856" spans="1:16" ht="15" customHeight="1">
      <c r="A3856" s="47">
        <v>2034</v>
      </c>
      <c r="B3856" s="2">
        <v>4910</v>
      </c>
      <c r="C3856" s="47" t="s">
        <v>857</v>
      </c>
      <c r="D3856" s="16" t="s">
        <v>547</v>
      </c>
      <c r="E3856" s="16" t="s">
        <v>548</v>
      </c>
      <c r="F3856" s="16"/>
      <c r="G3856" s="16"/>
      <c r="H3856" s="47" t="s">
        <v>231</v>
      </c>
      <c r="I3856" s="16"/>
      <c r="J3856" s="16"/>
      <c r="K3856" s="16"/>
      <c r="L3856" s="15" t="s">
        <v>255</v>
      </c>
      <c r="M3856" s="15"/>
      <c r="N3856" s="47" t="s">
        <v>232</v>
      </c>
      <c r="O3856" s="47" t="s">
        <v>30</v>
      </c>
      <c r="P3856" s="47" t="s">
        <v>46</v>
      </c>
    </row>
    <row r="3857" spans="1:16" ht="15" customHeight="1">
      <c r="A3857" s="47">
        <v>2034</v>
      </c>
      <c r="B3857" s="2">
        <v>4911</v>
      </c>
      <c r="C3857" s="47" t="s">
        <v>857</v>
      </c>
      <c r="D3857" s="16" t="s">
        <v>172</v>
      </c>
      <c r="E3857" s="16" t="s">
        <v>1103</v>
      </c>
      <c r="F3857" s="16"/>
      <c r="G3857" s="16"/>
      <c r="H3857" s="47" t="s">
        <v>231</v>
      </c>
      <c r="I3857" s="16"/>
      <c r="J3857" s="16"/>
      <c r="K3857" s="16"/>
      <c r="L3857" s="15" t="s">
        <v>205</v>
      </c>
      <c r="M3857" s="15"/>
      <c r="N3857" s="47" t="s">
        <v>232</v>
      </c>
      <c r="O3857" s="47" t="s">
        <v>30</v>
      </c>
      <c r="P3857" s="47" t="s">
        <v>46</v>
      </c>
    </row>
    <row r="3858" spans="1:16" ht="15" customHeight="1">
      <c r="A3858" s="47">
        <v>2034</v>
      </c>
      <c r="B3858" s="2">
        <v>4912</v>
      </c>
      <c r="C3858" s="47" t="s">
        <v>857</v>
      </c>
      <c r="D3858" s="16" t="s">
        <v>172</v>
      </c>
      <c r="E3858" s="16" t="s">
        <v>1103</v>
      </c>
      <c r="F3858" s="16"/>
      <c r="G3858" s="16"/>
      <c r="H3858" s="47" t="s">
        <v>231</v>
      </c>
      <c r="I3858" s="16"/>
      <c r="J3858" s="16"/>
      <c r="K3858" s="16"/>
      <c r="L3858" s="15" t="s">
        <v>205</v>
      </c>
      <c r="M3858" s="15"/>
      <c r="N3858" s="47" t="s">
        <v>232</v>
      </c>
      <c r="O3858" s="47" t="s">
        <v>30</v>
      </c>
      <c r="P3858" s="47" t="s">
        <v>46</v>
      </c>
    </row>
    <row r="3859" spans="1:16" ht="15" customHeight="1">
      <c r="A3859" s="47">
        <v>2034</v>
      </c>
      <c r="B3859" s="2">
        <v>4913</v>
      </c>
      <c r="C3859" s="47" t="s">
        <v>857</v>
      </c>
      <c r="D3859" s="16" t="s">
        <v>172</v>
      </c>
      <c r="E3859" s="16" t="s">
        <v>1103</v>
      </c>
      <c r="F3859" s="16"/>
      <c r="G3859" s="16"/>
      <c r="H3859" s="47" t="s">
        <v>231</v>
      </c>
      <c r="I3859" s="16"/>
      <c r="J3859" s="16"/>
      <c r="K3859" s="16"/>
      <c r="L3859" s="15" t="s">
        <v>205</v>
      </c>
      <c r="M3859" s="15"/>
      <c r="N3859" s="47" t="s">
        <v>232</v>
      </c>
      <c r="O3859" s="47" t="s">
        <v>30</v>
      </c>
      <c r="P3859" s="47" t="s">
        <v>46</v>
      </c>
    </row>
    <row r="3860" spans="1:16" ht="15" customHeight="1">
      <c r="A3860" s="47">
        <v>2034</v>
      </c>
      <c r="B3860" s="2">
        <v>4914</v>
      </c>
      <c r="C3860" s="47" t="s">
        <v>857</v>
      </c>
      <c r="D3860" s="16" t="s">
        <v>172</v>
      </c>
      <c r="E3860" s="16" t="s">
        <v>1103</v>
      </c>
      <c r="F3860" s="16"/>
      <c r="G3860" s="16"/>
      <c r="H3860" s="47" t="s">
        <v>231</v>
      </c>
      <c r="I3860" s="16"/>
      <c r="J3860" s="16"/>
      <c r="K3860" s="16"/>
      <c r="L3860" s="15" t="s">
        <v>205</v>
      </c>
      <c r="M3860" s="15"/>
      <c r="N3860" s="47" t="s">
        <v>232</v>
      </c>
      <c r="O3860" s="47" t="s">
        <v>30</v>
      </c>
      <c r="P3860" s="47" t="s">
        <v>46</v>
      </c>
    </row>
    <row r="3861" spans="1:16" ht="15" customHeight="1">
      <c r="A3861" s="47">
        <v>2034</v>
      </c>
      <c r="B3861" s="2">
        <v>4915</v>
      </c>
      <c r="C3861" s="47" t="s">
        <v>857</v>
      </c>
      <c r="D3861" s="16" t="s">
        <v>172</v>
      </c>
      <c r="E3861" s="16" t="s">
        <v>1103</v>
      </c>
      <c r="F3861" s="16"/>
      <c r="G3861" s="16"/>
      <c r="H3861" s="47" t="s">
        <v>231</v>
      </c>
      <c r="I3861" s="16"/>
      <c r="J3861" s="16"/>
      <c r="K3861" s="16"/>
      <c r="L3861" s="15" t="s">
        <v>205</v>
      </c>
      <c r="M3861" s="15"/>
      <c r="N3861" s="47" t="s">
        <v>232</v>
      </c>
      <c r="O3861" s="47" t="s">
        <v>30</v>
      </c>
      <c r="P3861" s="47" t="s">
        <v>46</v>
      </c>
    </row>
    <row r="3862" spans="1:16" ht="15" customHeight="1">
      <c r="A3862" s="47">
        <v>2034</v>
      </c>
      <c r="B3862" s="2">
        <v>4916</v>
      </c>
      <c r="C3862" s="47" t="s">
        <v>857</v>
      </c>
      <c r="D3862" s="16" t="s">
        <v>172</v>
      </c>
      <c r="E3862" s="16" t="s">
        <v>1103</v>
      </c>
      <c r="F3862" s="16"/>
      <c r="G3862" s="16"/>
      <c r="H3862" s="47" t="s">
        <v>231</v>
      </c>
      <c r="I3862" s="16"/>
      <c r="J3862" s="16"/>
      <c r="K3862" s="16"/>
      <c r="L3862" s="15" t="s">
        <v>205</v>
      </c>
      <c r="M3862" s="15"/>
      <c r="N3862" s="47" t="s">
        <v>232</v>
      </c>
      <c r="O3862" s="47" t="s">
        <v>30</v>
      </c>
      <c r="P3862" s="47" t="s">
        <v>46</v>
      </c>
    </row>
    <row r="3863" spans="1:16" ht="15" customHeight="1">
      <c r="A3863" s="47">
        <v>2034</v>
      </c>
      <c r="B3863" s="2">
        <v>4917</v>
      </c>
      <c r="C3863" s="47" t="s">
        <v>857</v>
      </c>
      <c r="D3863" s="16" t="s">
        <v>172</v>
      </c>
      <c r="E3863" s="16" t="s">
        <v>1103</v>
      </c>
      <c r="F3863" s="16"/>
      <c r="G3863" s="16"/>
      <c r="H3863" s="47" t="s">
        <v>231</v>
      </c>
      <c r="I3863" s="16"/>
      <c r="J3863" s="16"/>
      <c r="K3863" s="16"/>
      <c r="L3863" s="15" t="s">
        <v>205</v>
      </c>
      <c r="M3863" s="15"/>
      <c r="N3863" s="47" t="s">
        <v>232</v>
      </c>
      <c r="O3863" s="47" t="s">
        <v>30</v>
      </c>
      <c r="P3863" s="47" t="s">
        <v>46</v>
      </c>
    </row>
    <row r="3864" spans="1:16" ht="15" customHeight="1">
      <c r="A3864" s="47">
        <v>2034</v>
      </c>
      <c r="B3864" s="2">
        <v>4918</v>
      </c>
      <c r="C3864" s="47" t="s">
        <v>857</v>
      </c>
      <c r="D3864" s="16" t="s">
        <v>542</v>
      </c>
      <c r="E3864" s="16" t="s">
        <v>1103</v>
      </c>
      <c r="F3864" s="16"/>
      <c r="G3864" s="16"/>
      <c r="H3864" s="47" t="s">
        <v>231</v>
      </c>
      <c r="I3864" s="16"/>
      <c r="J3864" s="16"/>
      <c r="K3864" s="16"/>
      <c r="L3864" s="15" t="s">
        <v>536</v>
      </c>
      <c r="M3864" s="15" t="s">
        <v>543</v>
      </c>
      <c r="N3864" s="47" t="s">
        <v>232</v>
      </c>
      <c r="O3864" s="47" t="s">
        <v>30</v>
      </c>
      <c r="P3864" s="47" t="s">
        <v>46</v>
      </c>
    </row>
    <row r="3865" spans="1:16" ht="15" customHeight="1">
      <c r="A3865" s="47">
        <v>2034</v>
      </c>
      <c r="B3865" s="2">
        <v>4919</v>
      </c>
      <c r="C3865" s="47" t="s">
        <v>857</v>
      </c>
      <c r="D3865" s="47" t="s">
        <v>224</v>
      </c>
      <c r="E3865" s="16" t="s">
        <v>1103</v>
      </c>
      <c r="F3865" s="16"/>
      <c r="G3865" s="16"/>
      <c r="H3865" s="47" t="s">
        <v>231</v>
      </c>
      <c r="I3865" s="16"/>
      <c r="J3865" s="16"/>
      <c r="K3865" s="16"/>
      <c r="L3865" s="15" t="s">
        <v>536</v>
      </c>
      <c r="M3865" s="15" t="s">
        <v>537</v>
      </c>
      <c r="N3865" s="47" t="s">
        <v>232</v>
      </c>
      <c r="O3865" s="47" t="s">
        <v>30</v>
      </c>
      <c r="P3865" s="47" t="s">
        <v>46</v>
      </c>
    </row>
    <row r="3866" spans="1:16" ht="15" customHeight="1">
      <c r="A3866" s="47">
        <v>2034</v>
      </c>
      <c r="B3866" s="2">
        <v>4920</v>
      </c>
      <c r="C3866" s="47" t="s">
        <v>857</v>
      </c>
      <c r="D3866" s="47" t="s">
        <v>224</v>
      </c>
      <c r="E3866" s="16" t="s">
        <v>541</v>
      </c>
      <c r="F3866" s="16"/>
      <c r="G3866" s="16"/>
      <c r="H3866" s="47" t="s">
        <v>231</v>
      </c>
      <c r="I3866" s="16"/>
      <c r="J3866" s="16"/>
      <c r="K3866" s="16"/>
      <c r="L3866" s="15" t="s">
        <v>536</v>
      </c>
      <c r="M3866" s="15" t="s">
        <v>539</v>
      </c>
      <c r="N3866" s="47" t="s">
        <v>232</v>
      </c>
      <c r="O3866" s="47" t="s">
        <v>30</v>
      </c>
      <c r="P3866" s="47" t="s">
        <v>46</v>
      </c>
    </row>
    <row r="3867" spans="1:16" ht="15" customHeight="1">
      <c r="A3867" s="47">
        <v>2034</v>
      </c>
      <c r="B3867" s="2">
        <v>4921</v>
      </c>
      <c r="C3867" s="47" t="s">
        <v>857</v>
      </c>
      <c r="D3867" s="47" t="s">
        <v>224</v>
      </c>
      <c r="E3867" s="16" t="s">
        <v>541</v>
      </c>
      <c r="F3867" s="16"/>
      <c r="G3867" s="16"/>
      <c r="H3867" s="47" t="s">
        <v>231</v>
      </c>
      <c r="I3867" s="16"/>
      <c r="J3867" s="16"/>
      <c r="K3867" s="16"/>
      <c r="L3867" s="15" t="s">
        <v>536</v>
      </c>
      <c r="M3867" s="15" t="s">
        <v>539</v>
      </c>
      <c r="N3867" s="47" t="s">
        <v>232</v>
      </c>
      <c r="O3867" s="47" t="s">
        <v>30</v>
      </c>
      <c r="P3867" s="47" t="s">
        <v>46</v>
      </c>
    </row>
    <row r="3868" spans="1:16" ht="15" customHeight="1">
      <c r="A3868" s="47">
        <v>2034</v>
      </c>
      <c r="B3868" s="2">
        <v>4922</v>
      </c>
      <c r="C3868" s="47" t="s">
        <v>857</v>
      </c>
      <c r="D3868" s="47" t="s">
        <v>224</v>
      </c>
      <c r="E3868" s="16" t="s">
        <v>541</v>
      </c>
      <c r="F3868" s="16"/>
      <c r="G3868" s="16"/>
      <c r="H3868" s="47" t="s">
        <v>231</v>
      </c>
      <c r="I3868" s="16"/>
      <c r="J3868" s="16"/>
      <c r="K3868" s="16"/>
      <c r="L3868" s="15" t="s">
        <v>536</v>
      </c>
      <c r="M3868" s="15" t="s">
        <v>539</v>
      </c>
      <c r="N3868" s="47" t="s">
        <v>232</v>
      </c>
      <c r="O3868" s="47" t="s">
        <v>30</v>
      </c>
      <c r="P3868" s="47" t="s">
        <v>46</v>
      </c>
    </row>
    <row r="3869" spans="1:16" ht="15" customHeight="1">
      <c r="A3869" s="47">
        <v>2034</v>
      </c>
      <c r="B3869" s="2">
        <v>4923</v>
      </c>
      <c r="C3869" s="47" t="s">
        <v>857</v>
      </c>
      <c r="D3869" s="16" t="s">
        <v>172</v>
      </c>
      <c r="E3869" s="16" t="s">
        <v>519</v>
      </c>
      <c r="F3869" s="16"/>
      <c r="G3869" s="16"/>
      <c r="H3869" s="47" t="s">
        <v>231</v>
      </c>
      <c r="I3869" s="16"/>
      <c r="J3869" s="16"/>
      <c r="K3869" s="16"/>
      <c r="L3869" s="15" t="s">
        <v>205</v>
      </c>
      <c r="M3869" s="15"/>
      <c r="N3869" s="47" t="s">
        <v>232</v>
      </c>
      <c r="O3869" s="47" t="s">
        <v>30</v>
      </c>
      <c r="P3869" s="47" t="s">
        <v>46</v>
      </c>
    </row>
    <row r="3870" spans="1:16" ht="15" customHeight="1">
      <c r="A3870" s="47">
        <v>2034</v>
      </c>
      <c r="B3870" s="2">
        <v>4924</v>
      </c>
      <c r="C3870" s="47" t="s">
        <v>857</v>
      </c>
      <c r="D3870" s="16" t="s">
        <v>172</v>
      </c>
      <c r="E3870" s="16" t="s">
        <v>519</v>
      </c>
      <c r="F3870" s="16"/>
      <c r="G3870" s="16"/>
      <c r="H3870" s="47" t="s">
        <v>231</v>
      </c>
      <c r="I3870" s="16"/>
      <c r="J3870" s="16"/>
      <c r="K3870" s="16"/>
      <c r="L3870" s="15" t="s">
        <v>205</v>
      </c>
      <c r="M3870" s="15"/>
      <c r="N3870" s="47" t="s">
        <v>232</v>
      </c>
      <c r="O3870" s="47" t="s">
        <v>30</v>
      </c>
      <c r="P3870" s="47" t="s">
        <v>46</v>
      </c>
    </row>
    <row r="3871" spans="1:16" ht="15" customHeight="1">
      <c r="A3871" s="47">
        <v>2034</v>
      </c>
      <c r="B3871" s="2">
        <v>4925</v>
      </c>
      <c r="C3871" s="47" t="s">
        <v>857</v>
      </c>
      <c r="D3871" s="16" t="s">
        <v>172</v>
      </c>
      <c r="E3871" s="16" t="s">
        <v>519</v>
      </c>
      <c r="F3871" s="16"/>
      <c r="G3871" s="16"/>
      <c r="H3871" s="47" t="s">
        <v>231</v>
      </c>
      <c r="I3871" s="16"/>
      <c r="J3871" s="16"/>
      <c r="K3871" s="16"/>
      <c r="L3871" s="15" t="s">
        <v>205</v>
      </c>
      <c r="M3871" s="15"/>
      <c r="N3871" s="47" t="s">
        <v>232</v>
      </c>
      <c r="O3871" s="47" t="s">
        <v>30</v>
      </c>
      <c r="P3871" s="47" t="s">
        <v>46</v>
      </c>
    </row>
    <row r="3872" spans="1:16" ht="15" customHeight="1">
      <c r="A3872" s="47">
        <v>2034</v>
      </c>
      <c r="B3872" s="2">
        <v>4926</v>
      </c>
      <c r="C3872" s="47" t="s">
        <v>857</v>
      </c>
      <c r="D3872" s="16" t="s">
        <v>172</v>
      </c>
      <c r="E3872" s="16" t="s">
        <v>519</v>
      </c>
      <c r="F3872" s="16"/>
      <c r="G3872" s="16"/>
      <c r="H3872" s="47" t="s">
        <v>231</v>
      </c>
      <c r="I3872" s="16"/>
      <c r="J3872" s="16"/>
      <c r="K3872" s="16"/>
      <c r="L3872" s="15" t="s">
        <v>205</v>
      </c>
      <c r="M3872" s="15"/>
      <c r="N3872" s="47" t="s">
        <v>232</v>
      </c>
      <c r="O3872" s="47" t="s">
        <v>30</v>
      </c>
      <c r="P3872" s="47" t="s">
        <v>46</v>
      </c>
    </row>
    <row r="3873" spans="1:16" ht="15" customHeight="1">
      <c r="A3873" s="47">
        <v>2034</v>
      </c>
      <c r="B3873" s="2">
        <v>4927</v>
      </c>
      <c r="C3873" s="47" t="s">
        <v>857</v>
      </c>
      <c r="D3873" s="16" t="s">
        <v>172</v>
      </c>
      <c r="E3873" s="16" t="s">
        <v>519</v>
      </c>
      <c r="F3873" s="16"/>
      <c r="G3873" s="16"/>
      <c r="H3873" s="47" t="s">
        <v>231</v>
      </c>
      <c r="I3873" s="16"/>
      <c r="J3873" s="16"/>
      <c r="K3873" s="16"/>
      <c r="L3873" s="15" t="s">
        <v>205</v>
      </c>
      <c r="M3873" s="15"/>
      <c r="N3873" s="47" t="s">
        <v>232</v>
      </c>
      <c r="O3873" s="47" t="s">
        <v>30</v>
      </c>
      <c r="P3873" s="47" t="s">
        <v>46</v>
      </c>
    </row>
    <row r="3874" spans="1:16" ht="15" customHeight="1">
      <c r="A3874" s="47">
        <v>2034</v>
      </c>
      <c r="B3874" s="2">
        <v>4928</v>
      </c>
      <c r="C3874" s="47" t="s">
        <v>857</v>
      </c>
      <c r="D3874" s="16" t="s">
        <v>172</v>
      </c>
      <c r="E3874" s="16" t="s">
        <v>519</v>
      </c>
      <c r="F3874" s="16"/>
      <c r="G3874" s="16"/>
      <c r="H3874" s="47" t="s">
        <v>231</v>
      </c>
      <c r="I3874" s="16"/>
      <c r="J3874" s="16"/>
      <c r="K3874" s="16"/>
      <c r="L3874" s="15" t="s">
        <v>205</v>
      </c>
      <c r="M3874" s="15"/>
      <c r="N3874" s="47" t="s">
        <v>232</v>
      </c>
      <c r="O3874" s="47" t="s">
        <v>30</v>
      </c>
      <c r="P3874" s="47" t="s">
        <v>46</v>
      </c>
    </row>
    <row r="3875" spans="1:16" ht="15" customHeight="1">
      <c r="A3875" s="47">
        <v>2034</v>
      </c>
      <c r="B3875" s="2">
        <v>4929</v>
      </c>
      <c r="C3875" s="47" t="s">
        <v>857</v>
      </c>
      <c r="D3875" s="16" t="s">
        <v>172</v>
      </c>
      <c r="E3875" s="16" t="s">
        <v>519</v>
      </c>
      <c r="F3875" s="16"/>
      <c r="G3875" s="16"/>
      <c r="H3875" s="47" t="s">
        <v>231</v>
      </c>
      <c r="I3875" s="16"/>
      <c r="J3875" s="16"/>
      <c r="K3875" s="16"/>
      <c r="L3875" s="15" t="s">
        <v>205</v>
      </c>
      <c r="M3875" s="15"/>
      <c r="N3875" s="47" t="s">
        <v>232</v>
      </c>
      <c r="O3875" s="47" t="s">
        <v>30</v>
      </c>
      <c r="P3875" s="47" t="s">
        <v>46</v>
      </c>
    </row>
    <row r="3876" spans="1:16" ht="15" customHeight="1">
      <c r="A3876" s="47">
        <v>2034</v>
      </c>
      <c r="B3876" s="2">
        <v>4930</v>
      </c>
      <c r="C3876" s="47" t="s">
        <v>857</v>
      </c>
      <c r="D3876" s="16" t="s">
        <v>542</v>
      </c>
      <c r="E3876" s="16" t="s">
        <v>519</v>
      </c>
      <c r="F3876" s="16"/>
      <c r="G3876" s="16"/>
      <c r="H3876" s="47" t="s">
        <v>231</v>
      </c>
      <c r="I3876" s="16"/>
      <c r="J3876" s="16"/>
      <c r="K3876" s="16"/>
      <c r="L3876" s="15" t="s">
        <v>544</v>
      </c>
      <c r="M3876" s="15" t="s">
        <v>545</v>
      </c>
      <c r="N3876" s="47" t="s">
        <v>232</v>
      </c>
      <c r="O3876" s="47" t="s">
        <v>30</v>
      </c>
      <c r="P3876" s="47" t="s">
        <v>46</v>
      </c>
    </row>
    <row r="3877" spans="1:16" ht="15" customHeight="1">
      <c r="A3877" s="47">
        <v>2034</v>
      </c>
      <c r="B3877" s="2">
        <v>4931</v>
      </c>
      <c r="C3877" s="47" t="s">
        <v>857</v>
      </c>
      <c r="D3877" s="47" t="s">
        <v>224</v>
      </c>
      <c r="E3877" s="16" t="s">
        <v>519</v>
      </c>
      <c r="F3877" s="16"/>
      <c r="G3877" s="16"/>
      <c r="H3877" s="47" t="s">
        <v>231</v>
      </c>
      <c r="I3877" s="16"/>
      <c r="J3877" s="16"/>
      <c r="K3877" s="16"/>
      <c r="L3877" s="15" t="s">
        <v>536</v>
      </c>
      <c r="M3877" s="15" t="s">
        <v>540</v>
      </c>
      <c r="N3877" s="47" t="s">
        <v>232</v>
      </c>
      <c r="O3877" s="47" t="s">
        <v>30</v>
      </c>
      <c r="P3877" s="47" t="s">
        <v>46</v>
      </c>
    </row>
    <row r="3878" spans="1:16" ht="15" customHeight="1">
      <c r="A3878">
        <v>2963</v>
      </c>
      <c r="B3878" s="2">
        <v>4932</v>
      </c>
      <c r="C3878" s="2" t="s">
        <v>927</v>
      </c>
      <c r="D3878" s="47" t="s">
        <v>224</v>
      </c>
      <c r="E3878" s="16" t="s">
        <v>538</v>
      </c>
      <c r="F3878" s="16"/>
      <c r="G3878" s="16"/>
      <c r="H3878" s="47" t="s">
        <v>231</v>
      </c>
      <c r="I3878" s="16"/>
      <c r="J3878" s="16"/>
      <c r="K3878" s="16"/>
      <c r="L3878" s="15" t="s">
        <v>536</v>
      </c>
      <c r="M3878" s="15" t="s">
        <v>539</v>
      </c>
      <c r="N3878" s="47" t="s">
        <v>232</v>
      </c>
      <c r="O3878" s="47" t="s">
        <v>30</v>
      </c>
      <c r="P3878" s="47" t="s">
        <v>46</v>
      </c>
    </row>
    <row r="3879" spans="1:16" ht="15" customHeight="1">
      <c r="A3879">
        <v>2963</v>
      </c>
      <c r="B3879" s="2">
        <v>4933</v>
      </c>
      <c r="C3879" s="2" t="s">
        <v>927</v>
      </c>
      <c r="D3879" s="47" t="s">
        <v>224</v>
      </c>
      <c r="E3879" s="16" t="s">
        <v>538</v>
      </c>
      <c r="F3879" s="16"/>
      <c r="G3879" s="16"/>
      <c r="H3879" s="47" t="s">
        <v>231</v>
      </c>
      <c r="I3879" s="16"/>
      <c r="J3879" s="16"/>
      <c r="K3879" s="16"/>
      <c r="L3879" s="15" t="s">
        <v>536</v>
      </c>
      <c r="M3879" s="15" t="s">
        <v>546</v>
      </c>
      <c r="N3879" s="47" t="s">
        <v>232</v>
      </c>
      <c r="O3879" s="47" t="s">
        <v>30</v>
      </c>
      <c r="P3879" s="47" t="s">
        <v>46</v>
      </c>
    </row>
    <row r="3880" spans="1:16" ht="15" customHeight="1">
      <c r="A3880">
        <v>2963</v>
      </c>
      <c r="B3880" s="2">
        <v>4934</v>
      </c>
      <c r="C3880" s="2" t="s">
        <v>927</v>
      </c>
      <c r="D3880" s="47" t="s">
        <v>224</v>
      </c>
      <c r="E3880" s="16" t="s">
        <v>538</v>
      </c>
      <c r="F3880" s="16"/>
      <c r="G3880" s="16"/>
      <c r="H3880" s="47" t="s">
        <v>231</v>
      </c>
      <c r="I3880" s="16"/>
      <c r="J3880" s="16"/>
      <c r="K3880" s="16"/>
      <c r="L3880" s="15" t="s">
        <v>536</v>
      </c>
      <c r="M3880" s="15" t="s">
        <v>539</v>
      </c>
      <c r="N3880" s="47" t="s">
        <v>232</v>
      </c>
      <c r="O3880" s="47" t="s">
        <v>30</v>
      </c>
      <c r="P3880" s="47" t="s">
        <v>46</v>
      </c>
    </row>
    <row r="3881" spans="1:16" ht="15" customHeight="1">
      <c r="A3881">
        <v>2963</v>
      </c>
      <c r="B3881" s="2">
        <v>4935</v>
      </c>
      <c r="C3881" s="2" t="s">
        <v>927</v>
      </c>
      <c r="D3881" s="16" t="s">
        <v>547</v>
      </c>
      <c r="E3881" s="16" t="s">
        <v>548</v>
      </c>
      <c r="F3881" s="16"/>
      <c r="G3881" s="16"/>
      <c r="H3881" s="47" t="s">
        <v>231</v>
      </c>
      <c r="I3881" s="16"/>
      <c r="J3881" s="16"/>
      <c r="K3881" s="16"/>
      <c r="L3881" s="15" t="s">
        <v>255</v>
      </c>
      <c r="M3881" s="15"/>
      <c r="N3881" s="47" t="s">
        <v>232</v>
      </c>
      <c r="O3881" s="47" t="s">
        <v>30</v>
      </c>
      <c r="P3881" s="47" t="s">
        <v>46</v>
      </c>
    </row>
    <row r="3882" spans="1:16" ht="15" customHeight="1">
      <c r="A3882">
        <v>2963</v>
      </c>
      <c r="B3882" s="2">
        <v>4936</v>
      </c>
      <c r="C3882" s="2" t="s">
        <v>927</v>
      </c>
      <c r="D3882" s="16" t="s">
        <v>172</v>
      </c>
      <c r="E3882" s="16" t="s">
        <v>1103</v>
      </c>
      <c r="F3882" s="16"/>
      <c r="G3882" s="16"/>
      <c r="H3882" s="47" t="s">
        <v>231</v>
      </c>
      <c r="I3882" s="16"/>
      <c r="J3882" s="16"/>
      <c r="K3882" s="16"/>
      <c r="L3882" s="15" t="s">
        <v>205</v>
      </c>
      <c r="M3882" s="15"/>
      <c r="N3882" s="47" t="s">
        <v>232</v>
      </c>
      <c r="O3882" s="47" t="s">
        <v>30</v>
      </c>
      <c r="P3882" s="47" t="s">
        <v>46</v>
      </c>
    </row>
    <row r="3883" spans="1:16" ht="15" customHeight="1">
      <c r="A3883">
        <v>2963</v>
      </c>
      <c r="B3883" s="2">
        <v>4937</v>
      </c>
      <c r="C3883" s="2" t="s">
        <v>927</v>
      </c>
      <c r="D3883" s="16" t="s">
        <v>172</v>
      </c>
      <c r="E3883" s="16" t="s">
        <v>1103</v>
      </c>
      <c r="F3883" s="16"/>
      <c r="G3883" s="16"/>
      <c r="H3883" s="47" t="s">
        <v>231</v>
      </c>
      <c r="I3883" s="16"/>
      <c r="J3883" s="16"/>
      <c r="K3883" s="16"/>
      <c r="L3883" s="15" t="s">
        <v>205</v>
      </c>
      <c r="M3883" s="15"/>
      <c r="N3883" s="47" t="s">
        <v>232</v>
      </c>
      <c r="O3883" s="47" t="s">
        <v>30</v>
      </c>
      <c r="P3883" s="47" t="s">
        <v>46</v>
      </c>
    </row>
    <row r="3884" spans="1:16" ht="15" customHeight="1">
      <c r="A3884">
        <v>2963</v>
      </c>
      <c r="B3884" s="2">
        <v>4938</v>
      </c>
      <c r="C3884" s="2" t="s">
        <v>927</v>
      </c>
      <c r="D3884" s="16" t="s">
        <v>172</v>
      </c>
      <c r="E3884" s="16" t="s">
        <v>1103</v>
      </c>
      <c r="F3884" s="16"/>
      <c r="G3884" s="16"/>
      <c r="H3884" s="47" t="s">
        <v>231</v>
      </c>
      <c r="I3884" s="16"/>
      <c r="J3884" s="16"/>
      <c r="K3884" s="16"/>
      <c r="L3884" s="15" t="s">
        <v>205</v>
      </c>
      <c r="M3884" s="15"/>
      <c r="N3884" s="47" t="s">
        <v>232</v>
      </c>
      <c r="O3884" s="47" t="s">
        <v>30</v>
      </c>
      <c r="P3884" s="47" t="s">
        <v>46</v>
      </c>
    </row>
    <row r="3885" spans="1:16" ht="15" customHeight="1">
      <c r="A3885">
        <v>2963</v>
      </c>
      <c r="B3885" s="2">
        <v>4939</v>
      </c>
      <c r="C3885" s="2" t="s">
        <v>927</v>
      </c>
      <c r="D3885" s="16" t="s">
        <v>172</v>
      </c>
      <c r="E3885" s="16" t="s">
        <v>1103</v>
      </c>
      <c r="F3885" s="16"/>
      <c r="G3885" s="16"/>
      <c r="H3885" s="47" t="s">
        <v>231</v>
      </c>
      <c r="I3885" s="16"/>
      <c r="J3885" s="16"/>
      <c r="K3885" s="16"/>
      <c r="L3885" s="15" t="s">
        <v>205</v>
      </c>
      <c r="M3885" s="15"/>
      <c r="N3885" s="47" t="s">
        <v>232</v>
      </c>
      <c r="O3885" s="47" t="s">
        <v>30</v>
      </c>
      <c r="P3885" s="47" t="s">
        <v>46</v>
      </c>
    </row>
    <row r="3886" spans="1:16" ht="15" customHeight="1">
      <c r="A3886">
        <v>2963</v>
      </c>
      <c r="B3886" s="2">
        <v>4940</v>
      </c>
      <c r="C3886" s="2" t="s">
        <v>927</v>
      </c>
      <c r="D3886" s="16" t="s">
        <v>172</v>
      </c>
      <c r="E3886" s="16" t="s">
        <v>1103</v>
      </c>
      <c r="F3886" s="16"/>
      <c r="G3886" s="16"/>
      <c r="H3886" s="47" t="s">
        <v>231</v>
      </c>
      <c r="I3886" s="16"/>
      <c r="J3886" s="16"/>
      <c r="K3886" s="16"/>
      <c r="L3886" s="15" t="s">
        <v>205</v>
      </c>
      <c r="M3886" s="15"/>
      <c r="N3886" s="47" t="s">
        <v>232</v>
      </c>
      <c r="O3886" s="47" t="s">
        <v>30</v>
      </c>
      <c r="P3886" s="47" t="s">
        <v>46</v>
      </c>
    </row>
    <row r="3887" spans="1:16" ht="15" customHeight="1">
      <c r="A3887">
        <v>2963</v>
      </c>
      <c r="B3887" s="2">
        <v>4941</v>
      </c>
      <c r="C3887" s="2" t="s">
        <v>927</v>
      </c>
      <c r="D3887" s="16" t="s">
        <v>172</v>
      </c>
      <c r="E3887" s="16" t="s">
        <v>1103</v>
      </c>
      <c r="F3887" s="16"/>
      <c r="G3887" s="16"/>
      <c r="H3887" s="47" t="s">
        <v>231</v>
      </c>
      <c r="I3887" s="16"/>
      <c r="J3887" s="16"/>
      <c r="K3887" s="16"/>
      <c r="L3887" s="15" t="s">
        <v>205</v>
      </c>
      <c r="M3887" s="15"/>
      <c r="N3887" s="47" t="s">
        <v>232</v>
      </c>
      <c r="O3887" s="47" t="s">
        <v>30</v>
      </c>
      <c r="P3887" s="47" t="s">
        <v>46</v>
      </c>
    </row>
    <row r="3888" spans="1:16" ht="15" customHeight="1">
      <c r="A3888">
        <v>2963</v>
      </c>
      <c r="B3888" s="2">
        <v>4942</v>
      </c>
      <c r="C3888" s="2" t="s">
        <v>927</v>
      </c>
      <c r="D3888" s="16" t="s">
        <v>172</v>
      </c>
      <c r="E3888" s="16" t="s">
        <v>1103</v>
      </c>
      <c r="F3888" s="16"/>
      <c r="G3888" s="16"/>
      <c r="H3888" s="47" t="s">
        <v>231</v>
      </c>
      <c r="I3888" s="16"/>
      <c r="J3888" s="16"/>
      <c r="K3888" s="16"/>
      <c r="L3888" s="15" t="s">
        <v>205</v>
      </c>
      <c r="M3888" s="15"/>
      <c r="N3888" s="47" t="s">
        <v>232</v>
      </c>
      <c r="O3888" s="47" t="s">
        <v>30</v>
      </c>
      <c r="P3888" s="47" t="s">
        <v>46</v>
      </c>
    </row>
    <row r="3889" spans="1:16" ht="15" customHeight="1">
      <c r="A3889">
        <v>2963</v>
      </c>
      <c r="B3889" s="2">
        <v>4943</v>
      </c>
      <c r="C3889" s="2" t="s">
        <v>927</v>
      </c>
      <c r="D3889" s="16" t="s">
        <v>542</v>
      </c>
      <c r="E3889" s="16" t="s">
        <v>1103</v>
      </c>
      <c r="F3889" s="16"/>
      <c r="G3889" s="16"/>
      <c r="H3889" s="47" t="s">
        <v>231</v>
      </c>
      <c r="I3889" s="16"/>
      <c r="J3889" s="16"/>
      <c r="K3889" s="16"/>
      <c r="L3889" s="15" t="s">
        <v>536</v>
      </c>
      <c r="M3889" s="15" t="s">
        <v>543</v>
      </c>
      <c r="N3889" s="47" t="s">
        <v>232</v>
      </c>
      <c r="O3889" s="47" t="s">
        <v>30</v>
      </c>
      <c r="P3889" s="47" t="s">
        <v>46</v>
      </c>
    </row>
    <row r="3890" spans="1:16" ht="15" customHeight="1">
      <c r="A3890">
        <v>2963</v>
      </c>
      <c r="B3890" s="2">
        <v>4944</v>
      </c>
      <c r="C3890" s="2" t="s">
        <v>927</v>
      </c>
      <c r="D3890" s="47" t="s">
        <v>224</v>
      </c>
      <c r="E3890" s="16" t="s">
        <v>1103</v>
      </c>
      <c r="F3890" s="16"/>
      <c r="G3890" s="16"/>
      <c r="H3890" s="47" t="s">
        <v>231</v>
      </c>
      <c r="I3890" s="16"/>
      <c r="J3890" s="16"/>
      <c r="K3890" s="16"/>
      <c r="L3890" s="15" t="s">
        <v>536</v>
      </c>
      <c r="M3890" s="15" t="s">
        <v>537</v>
      </c>
      <c r="N3890" s="47" t="s">
        <v>232</v>
      </c>
      <c r="O3890" s="47" t="s">
        <v>30</v>
      </c>
      <c r="P3890" s="47" t="s">
        <v>46</v>
      </c>
    </row>
    <row r="3891" spans="1:16" ht="15" customHeight="1">
      <c r="A3891">
        <v>2963</v>
      </c>
      <c r="B3891" s="2">
        <v>4945</v>
      </c>
      <c r="C3891" s="2" t="s">
        <v>927</v>
      </c>
      <c r="D3891" s="47" t="s">
        <v>224</v>
      </c>
      <c r="E3891" s="16" t="s">
        <v>541</v>
      </c>
      <c r="F3891" s="16"/>
      <c r="G3891" s="16"/>
      <c r="H3891" s="47" t="s">
        <v>231</v>
      </c>
      <c r="I3891" s="16"/>
      <c r="J3891" s="16"/>
      <c r="K3891" s="16"/>
      <c r="L3891" s="15" t="s">
        <v>536</v>
      </c>
      <c r="M3891" s="15" t="s">
        <v>539</v>
      </c>
      <c r="N3891" s="47" t="s">
        <v>232</v>
      </c>
      <c r="O3891" s="47" t="s">
        <v>30</v>
      </c>
      <c r="P3891" s="47" t="s">
        <v>46</v>
      </c>
    </row>
    <row r="3892" spans="1:16" ht="15" customHeight="1">
      <c r="A3892">
        <v>2963</v>
      </c>
      <c r="B3892" s="2">
        <v>4946</v>
      </c>
      <c r="C3892" s="2" t="s">
        <v>927</v>
      </c>
      <c r="D3892" s="47" t="s">
        <v>224</v>
      </c>
      <c r="E3892" s="16" t="s">
        <v>541</v>
      </c>
      <c r="F3892" s="16"/>
      <c r="G3892" s="16"/>
      <c r="H3892" s="47" t="s">
        <v>231</v>
      </c>
      <c r="I3892" s="16"/>
      <c r="J3892" s="16"/>
      <c r="K3892" s="16"/>
      <c r="L3892" s="15" t="s">
        <v>536</v>
      </c>
      <c r="M3892" s="15" t="s">
        <v>539</v>
      </c>
      <c r="N3892" s="47" t="s">
        <v>232</v>
      </c>
      <c r="O3892" s="47" t="s">
        <v>30</v>
      </c>
      <c r="P3892" s="47" t="s">
        <v>46</v>
      </c>
    </row>
    <row r="3893" spans="1:16" ht="15" customHeight="1">
      <c r="A3893">
        <v>2963</v>
      </c>
      <c r="B3893" s="2">
        <v>4947</v>
      </c>
      <c r="C3893" s="2" t="s">
        <v>927</v>
      </c>
      <c r="D3893" s="47" t="s">
        <v>224</v>
      </c>
      <c r="E3893" s="16" t="s">
        <v>541</v>
      </c>
      <c r="F3893" s="16"/>
      <c r="G3893" s="16"/>
      <c r="H3893" s="47" t="s">
        <v>231</v>
      </c>
      <c r="I3893" s="16"/>
      <c r="J3893" s="16"/>
      <c r="K3893" s="16"/>
      <c r="L3893" s="15" t="s">
        <v>536</v>
      </c>
      <c r="M3893" s="15" t="s">
        <v>539</v>
      </c>
      <c r="N3893" s="47" t="s">
        <v>232</v>
      </c>
      <c r="O3893" s="47" t="s">
        <v>30</v>
      </c>
      <c r="P3893" s="47" t="s">
        <v>46</v>
      </c>
    </row>
    <row r="3894" spans="1:16" ht="15" customHeight="1">
      <c r="A3894">
        <v>2963</v>
      </c>
      <c r="B3894" s="2">
        <v>4948</v>
      </c>
      <c r="C3894" s="2" t="s">
        <v>927</v>
      </c>
      <c r="D3894" s="16" t="s">
        <v>172</v>
      </c>
      <c r="E3894" s="16" t="s">
        <v>519</v>
      </c>
      <c r="F3894" s="16"/>
      <c r="G3894" s="16"/>
      <c r="H3894" s="47" t="s">
        <v>231</v>
      </c>
      <c r="I3894" s="16"/>
      <c r="J3894" s="16"/>
      <c r="K3894" s="16"/>
      <c r="L3894" s="15" t="s">
        <v>205</v>
      </c>
      <c r="M3894" s="15"/>
      <c r="N3894" s="47" t="s">
        <v>232</v>
      </c>
      <c r="O3894" s="47" t="s">
        <v>30</v>
      </c>
      <c r="P3894" s="47" t="s">
        <v>46</v>
      </c>
    </row>
    <row r="3895" spans="1:16" ht="15" customHeight="1">
      <c r="A3895">
        <v>2963</v>
      </c>
      <c r="B3895" s="2">
        <v>4949</v>
      </c>
      <c r="C3895" s="2" t="s">
        <v>927</v>
      </c>
      <c r="D3895" s="16" t="s">
        <v>172</v>
      </c>
      <c r="E3895" s="16" t="s">
        <v>519</v>
      </c>
      <c r="F3895" s="16"/>
      <c r="G3895" s="16"/>
      <c r="H3895" s="47" t="s">
        <v>231</v>
      </c>
      <c r="I3895" s="16"/>
      <c r="J3895" s="16"/>
      <c r="K3895" s="16"/>
      <c r="L3895" s="15" t="s">
        <v>205</v>
      </c>
      <c r="M3895" s="15"/>
      <c r="N3895" s="47" t="s">
        <v>232</v>
      </c>
      <c r="O3895" s="47" t="s">
        <v>30</v>
      </c>
      <c r="P3895" s="47" t="s">
        <v>46</v>
      </c>
    </row>
    <row r="3896" spans="1:16" ht="15" customHeight="1">
      <c r="A3896">
        <v>2963</v>
      </c>
      <c r="B3896" s="2">
        <v>4950</v>
      </c>
      <c r="C3896" s="2" t="s">
        <v>927</v>
      </c>
      <c r="D3896" s="16" t="s">
        <v>172</v>
      </c>
      <c r="E3896" s="16" t="s">
        <v>519</v>
      </c>
      <c r="F3896" s="16"/>
      <c r="G3896" s="16"/>
      <c r="H3896" s="47" t="s">
        <v>231</v>
      </c>
      <c r="I3896" s="16"/>
      <c r="J3896" s="16"/>
      <c r="K3896" s="16"/>
      <c r="L3896" s="15" t="s">
        <v>205</v>
      </c>
      <c r="M3896" s="15"/>
      <c r="N3896" s="47" t="s">
        <v>232</v>
      </c>
      <c r="O3896" s="47" t="s">
        <v>30</v>
      </c>
      <c r="P3896" s="47" t="s">
        <v>46</v>
      </c>
    </row>
    <row r="3897" spans="1:16" ht="15" customHeight="1">
      <c r="A3897">
        <v>2963</v>
      </c>
      <c r="B3897" s="2">
        <v>4951</v>
      </c>
      <c r="C3897" s="2" t="s">
        <v>927</v>
      </c>
      <c r="D3897" s="16" t="s">
        <v>172</v>
      </c>
      <c r="E3897" s="16" t="s">
        <v>519</v>
      </c>
      <c r="F3897" s="16"/>
      <c r="G3897" s="16"/>
      <c r="H3897" s="47" t="s">
        <v>231</v>
      </c>
      <c r="I3897" s="16"/>
      <c r="J3897" s="16"/>
      <c r="K3897" s="16"/>
      <c r="L3897" s="15" t="s">
        <v>205</v>
      </c>
      <c r="M3897" s="15"/>
      <c r="N3897" s="47" t="s">
        <v>232</v>
      </c>
      <c r="O3897" s="47" t="s">
        <v>30</v>
      </c>
      <c r="P3897" s="47" t="s">
        <v>46</v>
      </c>
    </row>
    <row r="3898" spans="1:16" ht="15" customHeight="1">
      <c r="A3898">
        <v>2963</v>
      </c>
      <c r="B3898" s="2">
        <v>4952</v>
      </c>
      <c r="C3898" s="2" t="s">
        <v>927</v>
      </c>
      <c r="D3898" s="16" t="s">
        <v>172</v>
      </c>
      <c r="E3898" s="16" t="s">
        <v>519</v>
      </c>
      <c r="F3898" s="16"/>
      <c r="G3898" s="16"/>
      <c r="H3898" s="47" t="s">
        <v>231</v>
      </c>
      <c r="I3898" s="16"/>
      <c r="J3898" s="16"/>
      <c r="K3898" s="16"/>
      <c r="L3898" s="15" t="s">
        <v>205</v>
      </c>
      <c r="M3898" s="15"/>
      <c r="N3898" s="47" t="s">
        <v>232</v>
      </c>
      <c r="O3898" s="47" t="s">
        <v>30</v>
      </c>
      <c r="P3898" s="47" t="s">
        <v>46</v>
      </c>
    </row>
    <row r="3899" spans="1:16" ht="15" customHeight="1">
      <c r="A3899">
        <v>2963</v>
      </c>
      <c r="B3899" s="2">
        <v>4953</v>
      </c>
      <c r="C3899" s="2" t="s">
        <v>927</v>
      </c>
      <c r="D3899" s="16" t="s">
        <v>172</v>
      </c>
      <c r="E3899" s="16" t="s">
        <v>519</v>
      </c>
      <c r="F3899" s="16"/>
      <c r="G3899" s="16"/>
      <c r="H3899" s="47" t="s">
        <v>231</v>
      </c>
      <c r="I3899" s="16"/>
      <c r="J3899" s="16"/>
      <c r="K3899" s="16"/>
      <c r="L3899" s="15" t="s">
        <v>205</v>
      </c>
      <c r="M3899" s="15"/>
      <c r="N3899" s="47" t="s">
        <v>232</v>
      </c>
      <c r="O3899" s="47" t="s">
        <v>30</v>
      </c>
      <c r="P3899" s="47" t="s">
        <v>46</v>
      </c>
    </row>
    <row r="3900" spans="1:16" ht="15" customHeight="1">
      <c r="A3900">
        <v>2963</v>
      </c>
      <c r="B3900" s="2">
        <v>4954</v>
      </c>
      <c r="C3900" s="2" t="s">
        <v>927</v>
      </c>
      <c r="D3900" s="16" t="s">
        <v>172</v>
      </c>
      <c r="E3900" s="16" t="s">
        <v>519</v>
      </c>
      <c r="F3900" s="16"/>
      <c r="G3900" s="16"/>
      <c r="H3900" s="47" t="s">
        <v>231</v>
      </c>
      <c r="I3900" s="16"/>
      <c r="J3900" s="16"/>
      <c r="K3900" s="16"/>
      <c r="L3900" s="15" t="s">
        <v>205</v>
      </c>
      <c r="M3900" s="15"/>
      <c r="N3900" s="47" t="s">
        <v>232</v>
      </c>
      <c r="O3900" s="47" t="s">
        <v>30</v>
      </c>
      <c r="P3900" s="47" t="s">
        <v>46</v>
      </c>
    </row>
    <row r="3901" spans="1:16" ht="15" customHeight="1">
      <c r="A3901">
        <v>2963</v>
      </c>
      <c r="B3901" s="2">
        <v>4955</v>
      </c>
      <c r="C3901" s="2" t="s">
        <v>927</v>
      </c>
      <c r="D3901" s="16" t="s">
        <v>542</v>
      </c>
      <c r="E3901" s="16" t="s">
        <v>519</v>
      </c>
      <c r="F3901" s="16"/>
      <c r="G3901" s="16"/>
      <c r="H3901" s="47" t="s">
        <v>231</v>
      </c>
      <c r="I3901" s="16"/>
      <c r="J3901" s="16"/>
      <c r="K3901" s="16"/>
      <c r="L3901" s="15" t="s">
        <v>544</v>
      </c>
      <c r="M3901" s="15" t="s">
        <v>545</v>
      </c>
      <c r="N3901" s="47" t="s">
        <v>232</v>
      </c>
      <c r="O3901" s="47" t="s">
        <v>30</v>
      </c>
      <c r="P3901" s="47" t="s">
        <v>46</v>
      </c>
    </row>
    <row r="3902" spans="1:16" ht="15" customHeight="1">
      <c r="A3902">
        <v>2963</v>
      </c>
      <c r="B3902" s="2">
        <v>4956</v>
      </c>
      <c r="C3902" s="2" t="s">
        <v>927</v>
      </c>
      <c r="D3902" s="47" t="s">
        <v>224</v>
      </c>
      <c r="E3902" s="16" t="s">
        <v>519</v>
      </c>
      <c r="F3902" s="16"/>
      <c r="G3902" s="16"/>
      <c r="H3902" s="47" t="s">
        <v>231</v>
      </c>
      <c r="I3902" s="16"/>
      <c r="J3902" s="16"/>
      <c r="K3902" s="16"/>
      <c r="L3902" s="15" t="s">
        <v>536</v>
      </c>
      <c r="M3902" s="15" t="s">
        <v>540</v>
      </c>
      <c r="N3902" s="47" t="s">
        <v>232</v>
      </c>
      <c r="O3902" s="47" t="s">
        <v>30</v>
      </c>
      <c r="P3902" s="47" t="s">
        <v>46</v>
      </c>
    </row>
    <row r="3903" spans="1:16" ht="15" customHeight="1">
      <c r="A3903">
        <v>2963</v>
      </c>
      <c r="B3903" s="2">
        <v>4957</v>
      </c>
      <c r="C3903" s="2" t="s">
        <v>927</v>
      </c>
      <c r="D3903" s="47" t="s">
        <v>224</v>
      </c>
      <c r="E3903" s="16" t="s">
        <v>538</v>
      </c>
      <c r="F3903" s="16"/>
      <c r="G3903" s="16"/>
      <c r="H3903" s="47" t="s">
        <v>231</v>
      </c>
      <c r="I3903" s="16"/>
      <c r="J3903" s="16"/>
      <c r="K3903" s="16"/>
      <c r="L3903" s="15" t="s">
        <v>536</v>
      </c>
      <c r="M3903" s="15" t="s">
        <v>539</v>
      </c>
      <c r="N3903" s="47" t="s">
        <v>232</v>
      </c>
      <c r="O3903" s="47" t="s">
        <v>30</v>
      </c>
      <c r="P3903" s="47" t="s">
        <v>46</v>
      </c>
    </row>
    <row r="3904" spans="1:16" ht="15" customHeight="1">
      <c r="A3904">
        <v>2963</v>
      </c>
      <c r="B3904" s="2">
        <v>4958</v>
      </c>
      <c r="C3904" s="2" t="s">
        <v>927</v>
      </c>
      <c r="D3904" s="47" t="s">
        <v>224</v>
      </c>
      <c r="E3904" s="16" t="s">
        <v>538</v>
      </c>
      <c r="F3904" s="16"/>
      <c r="G3904" s="16"/>
      <c r="H3904" s="47" t="s">
        <v>231</v>
      </c>
      <c r="I3904" s="16"/>
      <c r="J3904" s="16"/>
      <c r="K3904" s="16"/>
      <c r="L3904" s="15" t="s">
        <v>536</v>
      </c>
      <c r="M3904" s="15" t="s">
        <v>546</v>
      </c>
      <c r="N3904" s="47" t="s">
        <v>232</v>
      </c>
      <c r="O3904" s="47" t="s">
        <v>30</v>
      </c>
      <c r="P3904" s="47" t="s">
        <v>46</v>
      </c>
    </row>
    <row r="3905" spans="1:16" ht="15" customHeight="1">
      <c r="A3905">
        <v>2963</v>
      </c>
      <c r="B3905" s="2">
        <v>4959</v>
      </c>
      <c r="C3905" s="2" t="s">
        <v>927</v>
      </c>
      <c r="D3905" s="47" t="s">
        <v>224</v>
      </c>
      <c r="E3905" s="16" t="s">
        <v>538</v>
      </c>
      <c r="F3905" s="16"/>
      <c r="G3905" s="16"/>
      <c r="H3905" s="47" t="s">
        <v>231</v>
      </c>
      <c r="I3905" s="16"/>
      <c r="J3905" s="16"/>
      <c r="K3905" s="16"/>
      <c r="L3905" s="15" t="s">
        <v>536</v>
      </c>
      <c r="M3905" s="15" t="s">
        <v>539</v>
      </c>
      <c r="N3905" s="47" t="s">
        <v>232</v>
      </c>
      <c r="O3905" s="47" t="s">
        <v>30</v>
      </c>
      <c r="P3905" s="47" t="s">
        <v>46</v>
      </c>
    </row>
    <row r="3906" spans="1:16" ht="15" customHeight="1">
      <c r="A3906">
        <v>2963</v>
      </c>
      <c r="B3906" s="2">
        <v>4960</v>
      </c>
      <c r="C3906" s="2" t="s">
        <v>927</v>
      </c>
      <c r="D3906" s="16" t="s">
        <v>547</v>
      </c>
      <c r="E3906" s="16" t="s">
        <v>548</v>
      </c>
      <c r="F3906" s="16"/>
      <c r="G3906" s="16"/>
      <c r="H3906" s="47" t="s">
        <v>231</v>
      </c>
      <c r="I3906" s="16"/>
      <c r="J3906" s="16"/>
      <c r="K3906" s="16"/>
      <c r="L3906" s="15" t="s">
        <v>255</v>
      </c>
      <c r="M3906" s="15"/>
      <c r="N3906" s="47" t="s">
        <v>232</v>
      </c>
      <c r="O3906" s="47" t="s">
        <v>30</v>
      </c>
      <c r="P3906" s="47" t="s">
        <v>46</v>
      </c>
    </row>
    <row r="3907" spans="1:16" ht="15" customHeight="1">
      <c r="A3907">
        <v>2963</v>
      </c>
      <c r="B3907" s="2">
        <v>4961</v>
      </c>
      <c r="C3907" s="2" t="s">
        <v>927</v>
      </c>
      <c r="D3907" s="16" t="s">
        <v>172</v>
      </c>
      <c r="E3907" s="16" t="s">
        <v>1103</v>
      </c>
      <c r="F3907" s="16"/>
      <c r="G3907" s="16"/>
      <c r="H3907" s="47" t="s">
        <v>231</v>
      </c>
      <c r="I3907" s="16"/>
      <c r="J3907" s="16"/>
      <c r="K3907" s="16"/>
      <c r="L3907" s="15" t="s">
        <v>205</v>
      </c>
      <c r="M3907" s="15"/>
      <c r="N3907" s="47" t="s">
        <v>232</v>
      </c>
      <c r="O3907" s="47" t="s">
        <v>30</v>
      </c>
      <c r="P3907" s="47" t="s">
        <v>46</v>
      </c>
    </row>
    <row r="3908" spans="1:16" ht="15" customHeight="1">
      <c r="A3908">
        <v>2963</v>
      </c>
      <c r="B3908" s="2">
        <v>4962</v>
      </c>
      <c r="C3908" s="2" t="s">
        <v>927</v>
      </c>
      <c r="D3908" s="16" t="s">
        <v>172</v>
      </c>
      <c r="E3908" s="16" t="s">
        <v>1103</v>
      </c>
      <c r="F3908" s="16"/>
      <c r="G3908" s="16"/>
      <c r="H3908" s="47" t="s">
        <v>231</v>
      </c>
      <c r="I3908" s="16"/>
      <c r="J3908" s="16"/>
      <c r="K3908" s="16"/>
      <c r="L3908" s="15" t="s">
        <v>205</v>
      </c>
      <c r="M3908" s="15"/>
      <c r="N3908" s="47" t="s">
        <v>232</v>
      </c>
      <c r="O3908" s="47" t="s">
        <v>30</v>
      </c>
      <c r="P3908" s="47" t="s">
        <v>46</v>
      </c>
    </row>
    <row r="3909" spans="1:16" ht="15" customHeight="1">
      <c r="A3909">
        <v>2963</v>
      </c>
      <c r="B3909" s="2">
        <v>4963</v>
      </c>
      <c r="C3909" s="2" t="s">
        <v>927</v>
      </c>
      <c r="D3909" s="16" t="s">
        <v>172</v>
      </c>
      <c r="E3909" s="16" t="s">
        <v>1103</v>
      </c>
      <c r="F3909" s="16"/>
      <c r="G3909" s="16"/>
      <c r="H3909" s="47" t="s">
        <v>231</v>
      </c>
      <c r="I3909" s="16"/>
      <c r="J3909" s="16"/>
      <c r="K3909" s="16"/>
      <c r="L3909" s="15" t="s">
        <v>205</v>
      </c>
      <c r="M3909" s="15"/>
      <c r="N3909" s="47" t="s">
        <v>232</v>
      </c>
      <c r="O3909" s="47" t="s">
        <v>30</v>
      </c>
      <c r="P3909" s="47" t="s">
        <v>46</v>
      </c>
    </row>
    <row r="3910" spans="1:16" ht="15" customHeight="1">
      <c r="A3910">
        <v>2963</v>
      </c>
      <c r="B3910" s="2">
        <v>4964</v>
      </c>
      <c r="C3910" s="2" t="s">
        <v>927</v>
      </c>
      <c r="D3910" s="16" t="s">
        <v>172</v>
      </c>
      <c r="E3910" s="16" t="s">
        <v>1103</v>
      </c>
      <c r="F3910" s="16"/>
      <c r="G3910" s="16"/>
      <c r="H3910" s="47" t="s">
        <v>231</v>
      </c>
      <c r="I3910" s="16"/>
      <c r="J3910" s="16"/>
      <c r="K3910" s="16"/>
      <c r="L3910" s="15" t="s">
        <v>205</v>
      </c>
      <c r="M3910" s="15"/>
      <c r="N3910" s="47" t="s">
        <v>232</v>
      </c>
      <c r="O3910" s="47" t="s">
        <v>30</v>
      </c>
      <c r="P3910" s="47" t="s">
        <v>46</v>
      </c>
    </row>
    <row r="3911" spans="1:16" ht="15" customHeight="1">
      <c r="A3911">
        <v>2963</v>
      </c>
      <c r="B3911" s="2">
        <v>4965</v>
      </c>
      <c r="C3911" s="2" t="s">
        <v>927</v>
      </c>
      <c r="D3911" s="16" t="s">
        <v>172</v>
      </c>
      <c r="E3911" s="16" t="s">
        <v>1103</v>
      </c>
      <c r="F3911" s="16"/>
      <c r="G3911" s="16"/>
      <c r="H3911" s="47" t="s">
        <v>231</v>
      </c>
      <c r="I3911" s="16"/>
      <c r="J3911" s="16"/>
      <c r="K3911" s="16"/>
      <c r="L3911" s="15" t="s">
        <v>205</v>
      </c>
      <c r="M3911" s="15"/>
      <c r="N3911" s="47" t="s">
        <v>232</v>
      </c>
      <c r="O3911" s="47" t="s">
        <v>30</v>
      </c>
      <c r="P3911" s="47" t="s">
        <v>46</v>
      </c>
    </row>
    <row r="3912" spans="1:16" ht="15" customHeight="1">
      <c r="A3912">
        <v>2963</v>
      </c>
      <c r="B3912" s="2">
        <v>4966</v>
      </c>
      <c r="C3912" s="2" t="s">
        <v>927</v>
      </c>
      <c r="D3912" s="16" t="s">
        <v>172</v>
      </c>
      <c r="E3912" s="16" t="s">
        <v>1103</v>
      </c>
      <c r="F3912" s="16"/>
      <c r="G3912" s="16"/>
      <c r="H3912" s="47" t="s">
        <v>231</v>
      </c>
      <c r="I3912" s="16"/>
      <c r="J3912" s="16"/>
      <c r="K3912" s="16"/>
      <c r="L3912" s="15" t="s">
        <v>205</v>
      </c>
      <c r="M3912" s="15"/>
      <c r="N3912" s="47" t="s">
        <v>232</v>
      </c>
      <c r="O3912" s="47" t="s">
        <v>30</v>
      </c>
      <c r="P3912" s="47" t="s">
        <v>46</v>
      </c>
    </row>
    <row r="3913" spans="1:16" ht="15" customHeight="1">
      <c r="A3913">
        <v>2963</v>
      </c>
      <c r="B3913" s="2">
        <v>4967</v>
      </c>
      <c r="C3913" s="2" t="s">
        <v>927</v>
      </c>
      <c r="D3913" s="16" t="s">
        <v>172</v>
      </c>
      <c r="E3913" s="16" t="s">
        <v>1103</v>
      </c>
      <c r="F3913" s="16"/>
      <c r="G3913" s="16"/>
      <c r="H3913" s="47" t="s">
        <v>231</v>
      </c>
      <c r="I3913" s="16"/>
      <c r="J3913" s="16"/>
      <c r="K3913" s="16"/>
      <c r="L3913" s="15" t="s">
        <v>205</v>
      </c>
      <c r="M3913" s="15"/>
      <c r="N3913" s="47" t="s">
        <v>232</v>
      </c>
      <c r="O3913" s="47" t="s">
        <v>30</v>
      </c>
      <c r="P3913" s="47" t="s">
        <v>46</v>
      </c>
    </row>
    <row r="3914" spans="1:16" ht="15" customHeight="1">
      <c r="A3914">
        <v>2963</v>
      </c>
      <c r="B3914" s="2">
        <v>4968</v>
      </c>
      <c r="C3914" s="2" t="s">
        <v>927</v>
      </c>
      <c r="D3914" s="16" t="s">
        <v>542</v>
      </c>
      <c r="E3914" s="16" t="s">
        <v>1103</v>
      </c>
      <c r="F3914" s="16"/>
      <c r="G3914" s="16"/>
      <c r="H3914" s="47" t="s">
        <v>231</v>
      </c>
      <c r="I3914" s="16"/>
      <c r="J3914" s="16"/>
      <c r="K3914" s="16"/>
      <c r="L3914" s="15" t="s">
        <v>536</v>
      </c>
      <c r="M3914" s="15" t="s">
        <v>543</v>
      </c>
      <c r="N3914" s="47" t="s">
        <v>232</v>
      </c>
      <c r="O3914" s="47" t="s">
        <v>30</v>
      </c>
      <c r="P3914" s="47" t="s">
        <v>46</v>
      </c>
    </row>
    <row r="3915" spans="1:16" ht="15" customHeight="1">
      <c r="A3915">
        <v>2963</v>
      </c>
      <c r="B3915" s="2">
        <v>4969</v>
      </c>
      <c r="C3915" s="2" t="s">
        <v>927</v>
      </c>
      <c r="D3915" s="47" t="s">
        <v>224</v>
      </c>
      <c r="E3915" s="16" t="s">
        <v>1103</v>
      </c>
      <c r="F3915" s="16"/>
      <c r="G3915" s="16"/>
      <c r="H3915" s="47" t="s">
        <v>231</v>
      </c>
      <c r="I3915" s="16"/>
      <c r="J3915" s="16"/>
      <c r="K3915" s="16"/>
      <c r="L3915" s="15" t="s">
        <v>536</v>
      </c>
      <c r="M3915" s="15" t="s">
        <v>537</v>
      </c>
      <c r="N3915" s="47" t="s">
        <v>232</v>
      </c>
      <c r="O3915" s="47" t="s">
        <v>30</v>
      </c>
      <c r="P3915" s="47" t="s">
        <v>46</v>
      </c>
    </row>
    <row r="3916" spans="1:16" ht="15" customHeight="1">
      <c r="A3916">
        <v>2963</v>
      </c>
      <c r="B3916" s="2">
        <v>4970</v>
      </c>
      <c r="C3916" s="2" t="s">
        <v>927</v>
      </c>
      <c r="D3916" s="47" t="s">
        <v>224</v>
      </c>
      <c r="E3916" s="16" t="s">
        <v>541</v>
      </c>
      <c r="F3916" s="16"/>
      <c r="G3916" s="16"/>
      <c r="H3916" s="47" t="s">
        <v>231</v>
      </c>
      <c r="I3916" s="16"/>
      <c r="J3916" s="16"/>
      <c r="K3916" s="16"/>
      <c r="L3916" s="15" t="s">
        <v>536</v>
      </c>
      <c r="M3916" s="15" t="s">
        <v>539</v>
      </c>
      <c r="N3916" s="47" t="s">
        <v>232</v>
      </c>
      <c r="O3916" s="47" t="s">
        <v>30</v>
      </c>
      <c r="P3916" s="47" t="s">
        <v>46</v>
      </c>
    </row>
    <row r="3917" spans="1:16" ht="15" customHeight="1">
      <c r="A3917">
        <v>2963</v>
      </c>
      <c r="B3917" s="2">
        <v>4971</v>
      </c>
      <c r="C3917" s="2" t="s">
        <v>927</v>
      </c>
      <c r="D3917" s="47" t="s">
        <v>224</v>
      </c>
      <c r="E3917" s="16" t="s">
        <v>541</v>
      </c>
      <c r="F3917" s="16"/>
      <c r="G3917" s="16"/>
      <c r="H3917" s="47" t="s">
        <v>231</v>
      </c>
      <c r="I3917" s="16"/>
      <c r="J3917" s="16"/>
      <c r="K3917" s="16"/>
      <c r="L3917" s="15" t="s">
        <v>536</v>
      </c>
      <c r="M3917" s="15" t="s">
        <v>539</v>
      </c>
      <c r="N3917" s="47" t="s">
        <v>232</v>
      </c>
      <c r="O3917" s="47" t="s">
        <v>30</v>
      </c>
      <c r="P3917" s="47" t="s">
        <v>46</v>
      </c>
    </row>
    <row r="3918" spans="1:16" ht="15" customHeight="1">
      <c r="A3918">
        <v>2963</v>
      </c>
      <c r="B3918" s="2">
        <v>4972</v>
      </c>
      <c r="C3918" s="2" t="s">
        <v>927</v>
      </c>
      <c r="D3918" s="47" t="s">
        <v>224</v>
      </c>
      <c r="E3918" s="16" t="s">
        <v>541</v>
      </c>
      <c r="F3918" s="16"/>
      <c r="G3918" s="16"/>
      <c r="H3918" s="47" t="s">
        <v>231</v>
      </c>
      <c r="I3918" s="16"/>
      <c r="J3918" s="16"/>
      <c r="K3918" s="16"/>
      <c r="L3918" s="15" t="s">
        <v>536</v>
      </c>
      <c r="M3918" s="15" t="s">
        <v>539</v>
      </c>
      <c r="N3918" s="47" t="s">
        <v>232</v>
      </c>
      <c r="O3918" s="47" t="s">
        <v>30</v>
      </c>
      <c r="P3918" s="47" t="s">
        <v>46</v>
      </c>
    </row>
    <row r="3919" spans="1:16" ht="15" customHeight="1">
      <c r="A3919">
        <v>2963</v>
      </c>
      <c r="B3919" s="2">
        <v>4973</v>
      </c>
      <c r="C3919" s="2" t="s">
        <v>927</v>
      </c>
      <c r="D3919" s="16" t="s">
        <v>172</v>
      </c>
      <c r="E3919" s="16" t="s">
        <v>519</v>
      </c>
      <c r="F3919" s="16"/>
      <c r="G3919" s="16"/>
      <c r="H3919" s="47" t="s">
        <v>231</v>
      </c>
      <c r="I3919" s="16"/>
      <c r="J3919" s="16"/>
      <c r="K3919" s="16"/>
      <c r="L3919" s="15" t="s">
        <v>205</v>
      </c>
      <c r="M3919" s="15"/>
      <c r="N3919" s="47" t="s">
        <v>232</v>
      </c>
      <c r="O3919" s="47" t="s">
        <v>30</v>
      </c>
      <c r="P3919" s="47" t="s">
        <v>46</v>
      </c>
    </row>
    <row r="3920" spans="1:16" ht="15" customHeight="1">
      <c r="A3920">
        <v>2963</v>
      </c>
      <c r="B3920" s="2">
        <v>4974</v>
      </c>
      <c r="C3920" s="2" t="s">
        <v>927</v>
      </c>
      <c r="D3920" s="16" t="s">
        <v>172</v>
      </c>
      <c r="E3920" s="16" t="s">
        <v>519</v>
      </c>
      <c r="F3920" s="16"/>
      <c r="G3920" s="16"/>
      <c r="H3920" s="47" t="s">
        <v>231</v>
      </c>
      <c r="I3920" s="16"/>
      <c r="J3920" s="16"/>
      <c r="K3920" s="16"/>
      <c r="L3920" s="15" t="s">
        <v>205</v>
      </c>
      <c r="M3920" s="15"/>
      <c r="N3920" s="47" t="s">
        <v>232</v>
      </c>
      <c r="O3920" s="47" t="s">
        <v>30</v>
      </c>
      <c r="P3920" s="47" t="s">
        <v>46</v>
      </c>
    </row>
    <row r="3921" spans="1:16" ht="15" customHeight="1">
      <c r="A3921">
        <v>2963</v>
      </c>
      <c r="B3921" s="2">
        <v>4975</v>
      </c>
      <c r="C3921" s="2" t="s">
        <v>927</v>
      </c>
      <c r="D3921" s="16" t="s">
        <v>172</v>
      </c>
      <c r="E3921" s="16" t="s">
        <v>519</v>
      </c>
      <c r="F3921" s="16"/>
      <c r="G3921" s="16"/>
      <c r="H3921" s="47" t="s">
        <v>231</v>
      </c>
      <c r="I3921" s="16"/>
      <c r="J3921" s="16"/>
      <c r="K3921" s="16"/>
      <c r="L3921" s="15" t="s">
        <v>205</v>
      </c>
      <c r="M3921" s="15"/>
      <c r="N3921" s="47" t="s">
        <v>232</v>
      </c>
      <c r="O3921" s="47" t="s">
        <v>30</v>
      </c>
      <c r="P3921" s="47" t="s">
        <v>46</v>
      </c>
    </row>
    <row r="3922" spans="1:16" ht="15" customHeight="1">
      <c r="A3922">
        <v>2963</v>
      </c>
      <c r="B3922" s="2">
        <v>4976</v>
      </c>
      <c r="C3922" s="2" t="s">
        <v>927</v>
      </c>
      <c r="D3922" s="16" t="s">
        <v>172</v>
      </c>
      <c r="E3922" s="16" t="s">
        <v>519</v>
      </c>
      <c r="F3922" s="16"/>
      <c r="G3922" s="16"/>
      <c r="H3922" s="47" t="s">
        <v>231</v>
      </c>
      <c r="I3922" s="16"/>
      <c r="J3922" s="16"/>
      <c r="K3922" s="16"/>
      <c r="L3922" s="15" t="s">
        <v>205</v>
      </c>
      <c r="M3922" s="15"/>
      <c r="N3922" s="47" t="s">
        <v>232</v>
      </c>
      <c r="O3922" s="47" t="s">
        <v>30</v>
      </c>
      <c r="P3922" s="47" t="s">
        <v>46</v>
      </c>
    </row>
    <row r="3923" spans="1:16" ht="15" customHeight="1">
      <c r="A3923">
        <v>2963</v>
      </c>
      <c r="B3923" s="2">
        <v>4977</v>
      </c>
      <c r="C3923" s="2" t="s">
        <v>927</v>
      </c>
      <c r="D3923" s="16" t="s">
        <v>172</v>
      </c>
      <c r="E3923" s="16" t="s">
        <v>519</v>
      </c>
      <c r="F3923" s="16"/>
      <c r="G3923" s="16"/>
      <c r="H3923" s="47" t="s">
        <v>231</v>
      </c>
      <c r="I3923" s="16"/>
      <c r="J3923" s="16"/>
      <c r="K3923" s="16"/>
      <c r="L3923" s="15" t="s">
        <v>205</v>
      </c>
      <c r="M3923" s="15"/>
      <c r="N3923" s="47" t="s">
        <v>232</v>
      </c>
      <c r="O3923" s="47" t="s">
        <v>30</v>
      </c>
      <c r="P3923" s="47" t="s">
        <v>46</v>
      </c>
    </row>
    <row r="3924" spans="1:16" ht="15" customHeight="1">
      <c r="A3924">
        <v>2963</v>
      </c>
      <c r="B3924" s="2">
        <v>4978</v>
      </c>
      <c r="C3924" s="2" t="s">
        <v>927</v>
      </c>
      <c r="D3924" s="16" t="s">
        <v>172</v>
      </c>
      <c r="E3924" s="16" t="s">
        <v>519</v>
      </c>
      <c r="F3924" s="16"/>
      <c r="G3924" s="16"/>
      <c r="H3924" s="47" t="s">
        <v>231</v>
      </c>
      <c r="I3924" s="16"/>
      <c r="J3924" s="16"/>
      <c r="K3924" s="16"/>
      <c r="L3924" s="15" t="s">
        <v>205</v>
      </c>
      <c r="M3924" s="15"/>
      <c r="N3924" s="47" t="s">
        <v>232</v>
      </c>
      <c r="O3924" s="47" t="s">
        <v>30</v>
      </c>
      <c r="P3924" s="47" t="s">
        <v>46</v>
      </c>
    </row>
    <row r="3925" spans="1:16" ht="15" customHeight="1">
      <c r="A3925">
        <v>2963</v>
      </c>
      <c r="B3925" s="2">
        <v>4979</v>
      </c>
      <c r="C3925" s="2" t="s">
        <v>927</v>
      </c>
      <c r="D3925" s="16" t="s">
        <v>172</v>
      </c>
      <c r="E3925" s="16" t="s">
        <v>519</v>
      </c>
      <c r="F3925" s="16"/>
      <c r="G3925" s="16"/>
      <c r="H3925" s="47" t="s">
        <v>231</v>
      </c>
      <c r="I3925" s="16"/>
      <c r="J3925" s="16"/>
      <c r="K3925" s="16"/>
      <c r="L3925" s="15" t="s">
        <v>205</v>
      </c>
      <c r="M3925" s="15"/>
      <c r="N3925" s="47" t="s">
        <v>232</v>
      </c>
      <c r="O3925" s="47" t="s">
        <v>30</v>
      </c>
      <c r="P3925" s="47" t="s">
        <v>46</v>
      </c>
    </row>
    <row r="3926" spans="1:16" ht="15" customHeight="1">
      <c r="A3926">
        <v>2963</v>
      </c>
      <c r="B3926" s="2">
        <v>4980</v>
      </c>
      <c r="C3926" s="2" t="s">
        <v>927</v>
      </c>
      <c r="D3926" s="16" t="s">
        <v>542</v>
      </c>
      <c r="E3926" s="16" t="s">
        <v>519</v>
      </c>
      <c r="F3926" s="16"/>
      <c r="G3926" s="16"/>
      <c r="H3926" s="47" t="s">
        <v>231</v>
      </c>
      <c r="I3926" s="16"/>
      <c r="J3926" s="16"/>
      <c r="K3926" s="16"/>
      <c r="L3926" s="15" t="s">
        <v>544</v>
      </c>
      <c r="M3926" s="15" t="s">
        <v>545</v>
      </c>
      <c r="N3926" s="47" t="s">
        <v>232</v>
      </c>
      <c r="O3926" s="47" t="s">
        <v>30</v>
      </c>
      <c r="P3926" s="47" t="s">
        <v>46</v>
      </c>
    </row>
    <row r="3927" spans="1:16" ht="15" customHeight="1">
      <c r="A3927">
        <v>2963</v>
      </c>
      <c r="B3927" s="2">
        <v>4981</v>
      </c>
      <c r="C3927" s="2" t="s">
        <v>927</v>
      </c>
      <c r="D3927" s="47" t="s">
        <v>224</v>
      </c>
      <c r="E3927" s="16" t="s">
        <v>519</v>
      </c>
      <c r="F3927" s="16"/>
      <c r="G3927" s="16"/>
      <c r="H3927" s="47" t="s">
        <v>231</v>
      </c>
      <c r="I3927" s="16"/>
      <c r="J3927" s="16"/>
      <c r="K3927" s="16"/>
      <c r="L3927" s="15" t="s">
        <v>536</v>
      </c>
      <c r="M3927" s="15" t="s">
        <v>540</v>
      </c>
      <c r="N3927" s="47" t="s">
        <v>232</v>
      </c>
      <c r="O3927" s="47" t="s">
        <v>30</v>
      </c>
      <c r="P3927" s="47" t="s">
        <v>46</v>
      </c>
    </row>
    <row r="3928" spans="1:16" ht="15" customHeight="1">
      <c r="A3928" s="47">
        <v>2965</v>
      </c>
      <c r="B3928" s="2">
        <v>4982</v>
      </c>
      <c r="C3928" s="2" t="s">
        <v>927</v>
      </c>
      <c r="D3928" s="47" t="s">
        <v>224</v>
      </c>
      <c r="E3928" s="16" t="s">
        <v>538</v>
      </c>
      <c r="F3928" s="16"/>
      <c r="G3928" s="16"/>
      <c r="H3928" s="47" t="s">
        <v>231</v>
      </c>
      <c r="I3928" s="16"/>
      <c r="J3928" s="16"/>
      <c r="K3928" s="16"/>
      <c r="L3928" s="15" t="s">
        <v>536</v>
      </c>
      <c r="M3928" s="15" t="s">
        <v>539</v>
      </c>
      <c r="N3928" s="47" t="s">
        <v>232</v>
      </c>
      <c r="O3928" s="47" t="s">
        <v>30</v>
      </c>
      <c r="P3928" s="47" t="s">
        <v>46</v>
      </c>
    </row>
    <row r="3929" spans="1:16" ht="15" customHeight="1">
      <c r="A3929" s="47">
        <v>2965</v>
      </c>
      <c r="B3929" s="2">
        <v>4983</v>
      </c>
      <c r="C3929" s="2" t="s">
        <v>927</v>
      </c>
      <c r="D3929" s="47" t="s">
        <v>224</v>
      </c>
      <c r="E3929" s="16" t="s">
        <v>538</v>
      </c>
      <c r="F3929" s="16"/>
      <c r="G3929" s="16"/>
      <c r="H3929" s="47" t="s">
        <v>231</v>
      </c>
      <c r="I3929" s="16"/>
      <c r="J3929" s="16"/>
      <c r="K3929" s="16"/>
      <c r="L3929" s="15" t="s">
        <v>536</v>
      </c>
      <c r="M3929" s="15" t="s">
        <v>546</v>
      </c>
      <c r="N3929" s="47" t="s">
        <v>232</v>
      </c>
      <c r="O3929" s="47" t="s">
        <v>30</v>
      </c>
      <c r="P3929" s="47" t="s">
        <v>46</v>
      </c>
    </row>
    <row r="3930" spans="1:16" ht="15" customHeight="1">
      <c r="A3930" s="47">
        <v>2965</v>
      </c>
      <c r="B3930" s="2">
        <v>4984</v>
      </c>
      <c r="C3930" s="2" t="s">
        <v>927</v>
      </c>
      <c r="D3930" s="47" t="s">
        <v>224</v>
      </c>
      <c r="E3930" s="16" t="s">
        <v>538</v>
      </c>
      <c r="F3930" s="16"/>
      <c r="G3930" s="16"/>
      <c r="H3930" s="47" t="s">
        <v>231</v>
      </c>
      <c r="I3930" s="16"/>
      <c r="J3930" s="16"/>
      <c r="K3930" s="16"/>
      <c r="L3930" s="15" t="s">
        <v>536</v>
      </c>
      <c r="M3930" s="15" t="s">
        <v>539</v>
      </c>
      <c r="N3930" s="47" t="s">
        <v>232</v>
      </c>
      <c r="O3930" s="47" t="s">
        <v>30</v>
      </c>
      <c r="P3930" s="47" t="s">
        <v>46</v>
      </c>
    </row>
    <row r="3931" spans="1:16" ht="15" customHeight="1">
      <c r="A3931" s="47">
        <v>2965</v>
      </c>
      <c r="B3931" s="2">
        <v>4985</v>
      </c>
      <c r="C3931" s="2" t="s">
        <v>927</v>
      </c>
      <c r="D3931" s="16" t="s">
        <v>547</v>
      </c>
      <c r="E3931" s="16" t="s">
        <v>548</v>
      </c>
      <c r="F3931" s="16"/>
      <c r="G3931" s="16"/>
      <c r="H3931" s="47" t="s">
        <v>231</v>
      </c>
      <c r="I3931" s="16"/>
      <c r="J3931" s="16"/>
      <c r="K3931" s="16"/>
      <c r="L3931" s="15" t="s">
        <v>255</v>
      </c>
      <c r="M3931" s="15"/>
      <c r="N3931" s="47" t="s">
        <v>232</v>
      </c>
      <c r="O3931" s="47" t="s">
        <v>30</v>
      </c>
      <c r="P3931" s="47" t="s">
        <v>46</v>
      </c>
    </row>
    <row r="3932" spans="1:16" ht="15" customHeight="1">
      <c r="A3932" s="47">
        <v>2965</v>
      </c>
      <c r="B3932" s="2">
        <v>4986</v>
      </c>
      <c r="C3932" s="2" t="s">
        <v>927</v>
      </c>
      <c r="D3932" s="16" t="s">
        <v>172</v>
      </c>
      <c r="E3932" s="16" t="s">
        <v>1103</v>
      </c>
      <c r="F3932" s="16"/>
      <c r="G3932" s="16"/>
      <c r="H3932" s="47" t="s">
        <v>231</v>
      </c>
      <c r="I3932" s="16"/>
      <c r="J3932" s="16"/>
      <c r="K3932" s="16"/>
      <c r="L3932" s="15" t="s">
        <v>205</v>
      </c>
      <c r="M3932" s="15"/>
      <c r="N3932" s="47" t="s">
        <v>232</v>
      </c>
      <c r="O3932" s="47" t="s">
        <v>30</v>
      </c>
      <c r="P3932" s="47" t="s">
        <v>46</v>
      </c>
    </row>
    <row r="3933" spans="1:16" ht="15" customHeight="1">
      <c r="A3933" s="47">
        <v>2965</v>
      </c>
      <c r="B3933" s="2">
        <v>4987</v>
      </c>
      <c r="C3933" s="2" t="s">
        <v>927</v>
      </c>
      <c r="D3933" s="16" t="s">
        <v>172</v>
      </c>
      <c r="E3933" s="16" t="s">
        <v>1103</v>
      </c>
      <c r="F3933" s="16"/>
      <c r="G3933" s="16"/>
      <c r="H3933" s="47" t="s">
        <v>231</v>
      </c>
      <c r="I3933" s="16"/>
      <c r="J3933" s="16"/>
      <c r="K3933" s="16"/>
      <c r="L3933" s="15" t="s">
        <v>205</v>
      </c>
      <c r="M3933" s="15"/>
      <c r="N3933" s="47" t="s">
        <v>232</v>
      </c>
      <c r="O3933" s="47" t="s">
        <v>30</v>
      </c>
      <c r="P3933" s="47" t="s">
        <v>46</v>
      </c>
    </row>
    <row r="3934" spans="1:16" ht="15" customHeight="1">
      <c r="A3934" s="47">
        <v>2965</v>
      </c>
      <c r="B3934" s="2">
        <v>4988</v>
      </c>
      <c r="C3934" s="2" t="s">
        <v>927</v>
      </c>
      <c r="D3934" s="16" t="s">
        <v>172</v>
      </c>
      <c r="E3934" s="16" t="s">
        <v>1103</v>
      </c>
      <c r="F3934" s="16"/>
      <c r="G3934" s="16"/>
      <c r="H3934" s="47" t="s">
        <v>231</v>
      </c>
      <c r="I3934" s="16"/>
      <c r="J3934" s="16"/>
      <c r="K3934" s="16"/>
      <c r="L3934" s="15" t="s">
        <v>205</v>
      </c>
      <c r="M3934" s="15"/>
      <c r="N3934" s="47" t="s">
        <v>232</v>
      </c>
      <c r="O3934" s="47" t="s">
        <v>30</v>
      </c>
      <c r="P3934" s="47" t="s">
        <v>46</v>
      </c>
    </row>
    <row r="3935" spans="1:16" ht="15" customHeight="1">
      <c r="A3935" s="47">
        <v>2965</v>
      </c>
      <c r="B3935" s="2">
        <v>4989</v>
      </c>
      <c r="C3935" s="2" t="s">
        <v>927</v>
      </c>
      <c r="D3935" s="16" t="s">
        <v>172</v>
      </c>
      <c r="E3935" s="16" t="s">
        <v>1103</v>
      </c>
      <c r="F3935" s="16"/>
      <c r="G3935" s="16"/>
      <c r="H3935" s="47" t="s">
        <v>231</v>
      </c>
      <c r="I3935" s="16"/>
      <c r="J3935" s="16"/>
      <c r="K3935" s="16"/>
      <c r="L3935" s="15" t="s">
        <v>205</v>
      </c>
      <c r="M3935" s="15"/>
      <c r="N3935" s="47" t="s">
        <v>232</v>
      </c>
      <c r="O3935" s="47" t="s">
        <v>30</v>
      </c>
      <c r="P3935" s="47" t="s">
        <v>46</v>
      </c>
    </row>
    <row r="3936" spans="1:16" ht="15" customHeight="1">
      <c r="A3936" s="47">
        <v>2965</v>
      </c>
      <c r="B3936" s="2">
        <v>4990</v>
      </c>
      <c r="C3936" s="2" t="s">
        <v>927</v>
      </c>
      <c r="D3936" s="16" t="s">
        <v>172</v>
      </c>
      <c r="E3936" s="16" t="s">
        <v>1103</v>
      </c>
      <c r="F3936" s="16"/>
      <c r="G3936" s="16"/>
      <c r="H3936" s="47" t="s">
        <v>231</v>
      </c>
      <c r="I3936" s="16"/>
      <c r="J3936" s="16"/>
      <c r="K3936" s="16"/>
      <c r="L3936" s="15" t="s">
        <v>205</v>
      </c>
      <c r="M3936" s="15"/>
      <c r="N3936" s="47" t="s">
        <v>232</v>
      </c>
      <c r="O3936" s="47" t="s">
        <v>30</v>
      </c>
      <c r="P3936" s="47" t="s">
        <v>46</v>
      </c>
    </row>
    <row r="3937" spans="1:16" ht="15" customHeight="1">
      <c r="A3937" s="47">
        <v>2965</v>
      </c>
      <c r="B3937" s="2">
        <v>4991</v>
      </c>
      <c r="C3937" s="2" t="s">
        <v>927</v>
      </c>
      <c r="D3937" s="16" t="s">
        <v>172</v>
      </c>
      <c r="E3937" s="16" t="s">
        <v>1103</v>
      </c>
      <c r="F3937" s="16"/>
      <c r="G3937" s="16"/>
      <c r="H3937" s="47" t="s">
        <v>231</v>
      </c>
      <c r="I3937" s="16"/>
      <c r="J3937" s="16"/>
      <c r="K3937" s="16"/>
      <c r="L3937" s="15" t="s">
        <v>205</v>
      </c>
      <c r="M3937" s="15"/>
      <c r="N3937" s="47" t="s">
        <v>232</v>
      </c>
      <c r="O3937" s="47" t="s">
        <v>30</v>
      </c>
      <c r="P3937" s="47" t="s">
        <v>46</v>
      </c>
    </row>
    <row r="3938" spans="1:16" ht="15" customHeight="1">
      <c r="A3938" s="47">
        <v>2965</v>
      </c>
      <c r="B3938" s="2">
        <v>4992</v>
      </c>
      <c r="C3938" s="2" t="s">
        <v>927</v>
      </c>
      <c r="D3938" s="16" t="s">
        <v>172</v>
      </c>
      <c r="E3938" s="16" t="s">
        <v>1103</v>
      </c>
      <c r="F3938" s="16"/>
      <c r="G3938" s="16"/>
      <c r="H3938" s="47" t="s">
        <v>231</v>
      </c>
      <c r="I3938" s="16"/>
      <c r="J3938" s="16"/>
      <c r="K3938" s="16"/>
      <c r="L3938" s="15" t="s">
        <v>205</v>
      </c>
      <c r="M3938" s="15"/>
      <c r="N3938" s="47" t="s">
        <v>232</v>
      </c>
      <c r="O3938" s="47" t="s">
        <v>30</v>
      </c>
      <c r="P3938" s="47" t="s">
        <v>46</v>
      </c>
    </row>
    <row r="3939" spans="1:16" ht="15" customHeight="1">
      <c r="A3939" s="47">
        <v>2965</v>
      </c>
      <c r="B3939" s="2">
        <v>4993</v>
      </c>
      <c r="C3939" s="2" t="s">
        <v>927</v>
      </c>
      <c r="D3939" s="16" t="s">
        <v>542</v>
      </c>
      <c r="E3939" s="16" t="s">
        <v>1103</v>
      </c>
      <c r="F3939" s="16"/>
      <c r="G3939" s="16"/>
      <c r="H3939" s="47" t="s">
        <v>231</v>
      </c>
      <c r="I3939" s="16"/>
      <c r="J3939" s="16"/>
      <c r="K3939" s="16"/>
      <c r="L3939" s="15" t="s">
        <v>536</v>
      </c>
      <c r="M3939" s="15" t="s">
        <v>543</v>
      </c>
      <c r="N3939" s="47" t="s">
        <v>232</v>
      </c>
      <c r="O3939" s="47" t="s">
        <v>30</v>
      </c>
      <c r="P3939" s="47" t="s">
        <v>46</v>
      </c>
    </row>
    <row r="3940" spans="1:16" ht="15" customHeight="1">
      <c r="A3940" s="47">
        <v>2965</v>
      </c>
      <c r="B3940" s="2">
        <v>4994</v>
      </c>
      <c r="C3940" s="2" t="s">
        <v>927</v>
      </c>
      <c r="D3940" s="47" t="s">
        <v>224</v>
      </c>
      <c r="E3940" s="16" t="s">
        <v>1103</v>
      </c>
      <c r="F3940" s="16"/>
      <c r="G3940" s="16"/>
      <c r="H3940" s="47" t="s">
        <v>231</v>
      </c>
      <c r="I3940" s="16"/>
      <c r="J3940" s="16"/>
      <c r="K3940" s="16"/>
      <c r="L3940" s="15" t="s">
        <v>536</v>
      </c>
      <c r="M3940" s="15" t="s">
        <v>537</v>
      </c>
      <c r="N3940" s="47" t="s">
        <v>232</v>
      </c>
      <c r="O3940" s="47" t="s">
        <v>30</v>
      </c>
      <c r="P3940" s="47" t="s">
        <v>46</v>
      </c>
    </row>
    <row r="3941" spans="1:16" ht="15" customHeight="1">
      <c r="A3941" s="47">
        <v>2965</v>
      </c>
      <c r="B3941" s="2">
        <v>4995</v>
      </c>
      <c r="C3941" s="2" t="s">
        <v>927</v>
      </c>
      <c r="D3941" s="47" t="s">
        <v>224</v>
      </c>
      <c r="E3941" s="16" t="s">
        <v>541</v>
      </c>
      <c r="F3941" s="16"/>
      <c r="G3941" s="16"/>
      <c r="H3941" s="47" t="s">
        <v>231</v>
      </c>
      <c r="I3941" s="16"/>
      <c r="J3941" s="16"/>
      <c r="K3941" s="16"/>
      <c r="L3941" s="15" t="s">
        <v>536</v>
      </c>
      <c r="M3941" s="15" t="s">
        <v>539</v>
      </c>
      <c r="N3941" s="47" t="s">
        <v>232</v>
      </c>
      <c r="O3941" s="47" t="s">
        <v>30</v>
      </c>
      <c r="P3941" s="47" t="s">
        <v>46</v>
      </c>
    </row>
    <row r="3942" spans="1:16" ht="15" customHeight="1">
      <c r="A3942" s="47">
        <v>2965</v>
      </c>
      <c r="B3942" s="2">
        <v>4996</v>
      </c>
      <c r="C3942" s="2" t="s">
        <v>927</v>
      </c>
      <c r="D3942" s="47" t="s">
        <v>224</v>
      </c>
      <c r="E3942" s="16" t="s">
        <v>541</v>
      </c>
      <c r="F3942" s="16"/>
      <c r="G3942" s="16"/>
      <c r="H3942" s="47" t="s">
        <v>231</v>
      </c>
      <c r="I3942" s="16"/>
      <c r="J3942" s="16"/>
      <c r="K3942" s="16"/>
      <c r="L3942" s="15" t="s">
        <v>536</v>
      </c>
      <c r="M3942" s="15" t="s">
        <v>539</v>
      </c>
      <c r="N3942" s="47" t="s">
        <v>232</v>
      </c>
      <c r="O3942" s="47" t="s">
        <v>30</v>
      </c>
      <c r="P3942" s="47" t="s">
        <v>46</v>
      </c>
    </row>
    <row r="3943" spans="1:16" ht="15" customHeight="1">
      <c r="A3943" s="47">
        <v>2965</v>
      </c>
      <c r="B3943" s="2">
        <v>4997</v>
      </c>
      <c r="C3943" s="2" t="s">
        <v>927</v>
      </c>
      <c r="D3943" s="47" t="s">
        <v>224</v>
      </c>
      <c r="E3943" s="16" t="s">
        <v>541</v>
      </c>
      <c r="F3943" s="16"/>
      <c r="G3943" s="16"/>
      <c r="H3943" s="47" t="s">
        <v>231</v>
      </c>
      <c r="I3943" s="16"/>
      <c r="J3943" s="16"/>
      <c r="K3943" s="16"/>
      <c r="L3943" s="15" t="s">
        <v>536</v>
      </c>
      <c r="M3943" s="15" t="s">
        <v>539</v>
      </c>
      <c r="N3943" s="47" t="s">
        <v>232</v>
      </c>
      <c r="O3943" s="47" t="s">
        <v>30</v>
      </c>
      <c r="P3943" s="47" t="s">
        <v>46</v>
      </c>
    </row>
    <row r="3944" spans="1:16" ht="15" customHeight="1">
      <c r="A3944" s="47">
        <v>2965</v>
      </c>
      <c r="B3944" s="2">
        <v>4998</v>
      </c>
      <c r="C3944" s="2" t="s">
        <v>927</v>
      </c>
      <c r="D3944" s="16" t="s">
        <v>172</v>
      </c>
      <c r="E3944" s="16" t="s">
        <v>519</v>
      </c>
      <c r="F3944" s="16"/>
      <c r="G3944" s="16"/>
      <c r="H3944" s="47" t="s">
        <v>231</v>
      </c>
      <c r="I3944" s="16"/>
      <c r="J3944" s="16"/>
      <c r="K3944" s="16"/>
      <c r="L3944" s="15" t="s">
        <v>205</v>
      </c>
      <c r="M3944" s="15"/>
      <c r="N3944" s="47" t="s">
        <v>232</v>
      </c>
      <c r="O3944" s="47" t="s">
        <v>30</v>
      </c>
      <c r="P3944" s="47" t="s">
        <v>46</v>
      </c>
    </row>
    <row r="3945" spans="1:16" ht="15" customHeight="1">
      <c r="A3945" s="47">
        <v>2965</v>
      </c>
      <c r="B3945" s="2">
        <v>4999</v>
      </c>
      <c r="C3945" s="2" t="s">
        <v>927</v>
      </c>
      <c r="D3945" s="16" t="s">
        <v>172</v>
      </c>
      <c r="E3945" s="16" t="s">
        <v>519</v>
      </c>
      <c r="F3945" s="16"/>
      <c r="G3945" s="16"/>
      <c r="H3945" s="47" t="s">
        <v>231</v>
      </c>
      <c r="I3945" s="16"/>
      <c r="J3945" s="16"/>
      <c r="K3945" s="16"/>
      <c r="L3945" s="15" t="s">
        <v>205</v>
      </c>
      <c r="M3945" s="15"/>
      <c r="N3945" s="47" t="s">
        <v>232</v>
      </c>
      <c r="O3945" s="47" t="s">
        <v>30</v>
      </c>
      <c r="P3945" s="47" t="s">
        <v>46</v>
      </c>
    </row>
    <row r="3946" spans="1:16" ht="15" customHeight="1">
      <c r="A3946" s="47">
        <v>2965</v>
      </c>
      <c r="B3946" s="2">
        <v>5000</v>
      </c>
      <c r="C3946" s="2" t="s">
        <v>927</v>
      </c>
      <c r="D3946" s="16" t="s">
        <v>172</v>
      </c>
      <c r="E3946" s="16" t="s">
        <v>519</v>
      </c>
      <c r="F3946" s="16"/>
      <c r="G3946" s="16"/>
      <c r="H3946" s="47" t="s">
        <v>231</v>
      </c>
      <c r="I3946" s="16"/>
      <c r="J3946" s="16"/>
      <c r="K3946" s="16"/>
      <c r="L3946" s="15" t="s">
        <v>205</v>
      </c>
      <c r="M3946" s="15"/>
      <c r="N3946" s="47" t="s">
        <v>232</v>
      </c>
      <c r="O3946" s="47" t="s">
        <v>30</v>
      </c>
      <c r="P3946" s="47" t="s">
        <v>46</v>
      </c>
    </row>
    <row r="3947" spans="1:16" ht="15" customHeight="1">
      <c r="A3947" s="47">
        <v>2965</v>
      </c>
      <c r="B3947" s="2">
        <v>5001</v>
      </c>
      <c r="C3947" s="2" t="s">
        <v>927</v>
      </c>
      <c r="D3947" s="16" t="s">
        <v>172</v>
      </c>
      <c r="E3947" s="16" t="s">
        <v>519</v>
      </c>
      <c r="F3947" s="16"/>
      <c r="G3947" s="16"/>
      <c r="H3947" s="47" t="s">
        <v>231</v>
      </c>
      <c r="I3947" s="16"/>
      <c r="J3947" s="16"/>
      <c r="K3947" s="16"/>
      <c r="L3947" s="15" t="s">
        <v>205</v>
      </c>
      <c r="M3947" s="15"/>
      <c r="N3947" s="47" t="s">
        <v>232</v>
      </c>
      <c r="O3947" s="47" t="s">
        <v>30</v>
      </c>
      <c r="P3947" s="47" t="s">
        <v>46</v>
      </c>
    </row>
    <row r="3948" spans="1:16" ht="15" customHeight="1">
      <c r="A3948" s="47">
        <v>2965</v>
      </c>
      <c r="B3948" s="2">
        <v>5002</v>
      </c>
      <c r="C3948" s="2" t="s">
        <v>927</v>
      </c>
      <c r="D3948" s="16" t="s">
        <v>172</v>
      </c>
      <c r="E3948" s="16" t="s">
        <v>519</v>
      </c>
      <c r="F3948" s="16"/>
      <c r="G3948" s="16"/>
      <c r="H3948" s="47" t="s">
        <v>231</v>
      </c>
      <c r="I3948" s="16"/>
      <c r="J3948" s="16"/>
      <c r="K3948" s="16"/>
      <c r="L3948" s="15" t="s">
        <v>205</v>
      </c>
      <c r="M3948" s="15"/>
      <c r="N3948" s="47" t="s">
        <v>232</v>
      </c>
      <c r="O3948" s="47" t="s">
        <v>30</v>
      </c>
      <c r="P3948" s="47" t="s">
        <v>46</v>
      </c>
    </row>
    <row r="3949" spans="1:16" ht="15" customHeight="1">
      <c r="A3949" s="47">
        <v>2965</v>
      </c>
      <c r="B3949" s="2">
        <v>5003</v>
      </c>
      <c r="C3949" s="2" t="s">
        <v>927</v>
      </c>
      <c r="D3949" s="16" t="s">
        <v>172</v>
      </c>
      <c r="E3949" s="16" t="s">
        <v>519</v>
      </c>
      <c r="F3949" s="16"/>
      <c r="G3949" s="16"/>
      <c r="H3949" s="47" t="s">
        <v>231</v>
      </c>
      <c r="I3949" s="16"/>
      <c r="J3949" s="16"/>
      <c r="K3949" s="16"/>
      <c r="L3949" s="15" t="s">
        <v>205</v>
      </c>
      <c r="M3949" s="15"/>
      <c r="N3949" s="47" t="s">
        <v>232</v>
      </c>
      <c r="O3949" s="47" t="s">
        <v>30</v>
      </c>
      <c r="P3949" s="47" t="s">
        <v>46</v>
      </c>
    </row>
    <row r="3950" spans="1:16" ht="15" customHeight="1">
      <c r="A3950" s="47">
        <v>2965</v>
      </c>
      <c r="B3950" s="2">
        <v>5004</v>
      </c>
      <c r="C3950" s="2" t="s">
        <v>927</v>
      </c>
      <c r="D3950" s="16" t="s">
        <v>172</v>
      </c>
      <c r="E3950" s="16" t="s">
        <v>519</v>
      </c>
      <c r="F3950" s="16"/>
      <c r="G3950" s="16"/>
      <c r="H3950" s="47" t="s">
        <v>231</v>
      </c>
      <c r="I3950" s="16"/>
      <c r="J3950" s="16"/>
      <c r="K3950" s="16"/>
      <c r="L3950" s="15" t="s">
        <v>205</v>
      </c>
      <c r="M3950" s="15"/>
      <c r="N3950" s="47" t="s">
        <v>232</v>
      </c>
      <c r="O3950" s="47" t="s">
        <v>30</v>
      </c>
      <c r="P3950" s="47" t="s">
        <v>46</v>
      </c>
    </row>
    <row r="3951" spans="1:16" ht="15" customHeight="1">
      <c r="A3951" s="47">
        <v>2965</v>
      </c>
      <c r="B3951" s="2">
        <v>5005</v>
      </c>
      <c r="C3951" s="2" t="s">
        <v>927</v>
      </c>
      <c r="D3951" s="16" t="s">
        <v>542</v>
      </c>
      <c r="E3951" s="16" t="s">
        <v>519</v>
      </c>
      <c r="F3951" s="16"/>
      <c r="G3951" s="16"/>
      <c r="H3951" s="47" t="s">
        <v>231</v>
      </c>
      <c r="I3951" s="16"/>
      <c r="J3951" s="16"/>
      <c r="K3951" s="16"/>
      <c r="L3951" s="15" t="s">
        <v>544</v>
      </c>
      <c r="M3951" s="15" t="s">
        <v>545</v>
      </c>
      <c r="N3951" s="47" t="s">
        <v>232</v>
      </c>
      <c r="O3951" s="47" t="s">
        <v>30</v>
      </c>
      <c r="P3951" s="47" t="s">
        <v>46</v>
      </c>
    </row>
    <row r="3952" spans="1:16" ht="15" customHeight="1">
      <c r="A3952" s="47">
        <v>2965</v>
      </c>
      <c r="B3952" s="2">
        <v>5006</v>
      </c>
      <c r="C3952" s="2" t="s">
        <v>927</v>
      </c>
      <c r="D3952" s="47" t="s">
        <v>224</v>
      </c>
      <c r="E3952" s="16" t="s">
        <v>519</v>
      </c>
      <c r="F3952" s="16"/>
      <c r="G3952" s="16"/>
      <c r="H3952" s="47" t="s">
        <v>231</v>
      </c>
      <c r="I3952" s="16"/>
      <c r="J3952" s="16"/>
      <c r="K3952" s="16"/>
      <c r="L3952" s="15" t="s">
        <v>536</v>
      </c>
      <c r="M3952" s="15" t="s">
        <v>540</v>
      </c>
      <c r="N3952" s="47" t="s">
        <v>232</v>
      </c>
      <c r="O3952" s="47" t="s">
        <v>30</v>
      </c>
      <c r="P3952" s="47" t="s">
        <v>46</v>
      </c>
    </row>
  </sheetData>
  <sortState xmlns:xlrd2="http://schemas.microsoft.com/office/spreadsheetml/2017/richdata2" ref="A2:AI3952">
    <sortCondition ref="B2:B3952"/>
  </sortState>
  <phoneticPr fontId="12" type="noConversion"/>
  <dataValidations count="3">
    <dataValidation operator="greaterThan" allowBlank="1" showInputMessage="1" showErrorMessage="1" prompt="Abundance - Integer &gt; 0_x000a__x000a_Darwin core supl. info:_x000a_The number of individuals represented_x000a_present at the time of the Occurrence." sqref="G429:G439 G1634 G540:G545 G1302:G1304 M1688:M1689 G1383:G1538 G1654:G1669 M1670:M1679 M1683:M1684 N1704 G1693:G1730 M1635:M1652 G443:G536 G1592 M1539:M1591 M1593:M1633 G2468:G2472 G2474:G2478 G2480:G2484 G2486:G2490 G2492:G2496 G2498:G2502 G2504:G2508 G2510:G2514 G2516:G2520 G2522:G2526 G2528:G2532 G2534:G2538 G2540:G2544 G2546:G2550 G2552:G2556 G2558:G2562 G2564:G2568 G2570:G2574 G2576:G2580 G2582:G2586 G2588:G2592 G2594:G2598 G2600:G2603 G2625:G2629 G2636:G2640 G2642:G2646 G2648:G2652 G2654:G2658 G2660:G2664 G2666:G2670 G2672:G2676 G2678:G2682 G2684:G2688 G2690:G2694 G2696:G2700 G2702:G2706 G2708:G2712 G2714:G2718 G2720:G2724 G2726:G2730 G2732:G2736 G2738:G2742 G2744:G2748 G2750:G2754 G2756:G2760 G2781:G2785 G2787:G2791 G2793:G2797 G2799:G2803 G2805:G2809 G2811:G2815 G2817:G2821 G2823:G2827 G2829:G2833 G2835:G2839 G2841:G2845 G2847:G2851 G2853:G2857 G2859:G2863 G2865:G2869 G2871:G2875 G2877:G2881 G2883:G2887 G2889:G2893 G2895:G2899 G2901:G2905 G2907:G2911 G2913:G2917 G2946:G2950 G2952:G2957 G2959:G2963 G2965:G2969 G2971:G2975 G2977:G2981 G2983:G2987 G2989:G2993 G2995:G2999 G3001:G3005 G3007:G3011 G3013:G3017 G3019:G3023 G3025:G3029 G3031:G3035 G3037:G3041 G3043:G3047 G3049:G3053 G3055:G3059 G3061:G3065 G3067:G3071 G3073:G3077 G3079:G3083 G3098:G3102 G3104:G3108 G3110:G3114 G3116:G3120 G3122:G3126 G3128:G3132 G3134:G3138 G3140:G3144 G3146:G3150 G3152:G3156 G3158:G3162 G3164:G3168 G3170:G3174 G3176:G3180 G3182:G3186 G3188:G3192 G3194:G3198 G3200:G3204 G3206:G3210 G3212:G3216 G3218:G3222 G3224:G3228 G3230:G3234 G3250:G3254 G3256:G3260 G3262:G3266 G3268:G3272 G3274:G3278 G3280:G3284 G3286:G3290 G3292:G3296 G3298:G3302 G3304:G3308 G3310:G3314 G3316:G3320 G3322:G3326 G3328:G3332 G3334:G3338 G3340:G3344 G3346:G3350 G3352:G3356 G3358:G3362 G3364:G3368 G3370:G3374 G3376:G3380 G3382:G3386 G3388:G3392 G3236:G3248 G3085:G3096 G2919:G2944 G2762:G2779 G2605:G2623 G3517:G3521 G3465:G3469 G3505:G3509 G3511:G3515 G3491:G3495 G3476:G3477 G3479:G3483 G3485:G3489 G3424:G3425 G3413:G3417 G3401:G3405 G3407:G3411 G3439:G3443 G3427:G3431 G3433:G3437 G3453:G3457 G3459:G3463 G2312:G2466 G3531:G3535 G3537:G3541 G3543:G3547 G3502:G3503 G3450:G3451 G3398:G3399 G3419:G3422 G3394:G3396 G3445:G3448 G3471:G3474 G3497:G3500 G3523:G3526 G3528:G3529 F1916 G1750:G1915 M2294:M2299 M2307:M2308 M2302:M2303 G1917:G2293 G2:G425 G547:G1171 G2631:G2634 G3549:G1048576" xr:uid="{29EECB79-C858-9046-85C2-50E7D9EE45C5}"/>
    <dataValidation operator="greaterThan" allowBlank="1" showInputMessage="1" showErrorMessage="1" sqref="T1654:Z1730 T1:Z1652 T1750:Z1048576" xr:uid="{F487777C-70DD-6F41-A8C4-17D9C4BB41FA}"/>
    <dataValidation allowBlank="1" showInputMessage="1" showErrorMessage="1" prompt="A brief phrase or a standard term (&quot;cf.&quot;, &quot;aff.&quot;) to express the determiner's doubts about the Identification. " sqref="S1654:S1730 S2:S1652 S1750:S1048576" xr:uid="{03C85176-CF9C-534B-9BDF-FDE72FD0BC2A}"/>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errorTitle="eventID invalid" error="The sample must associated with an event in event sheet" prompt="The eventID where the sample is associated with. Must be an eventID in the event sheet" xr:uid="{6F12530A-90DE-3A47-AE66-F2FBB65E985D}">
          <x14:formula1>
            <xm:f>Events!$B$2:$B$998</xm:f>
          </x14:formula1>
          <xm:sqref>G429:G439 G540:G545 G1634 G1302:G1304 G443:G536 G1592 G2468:G2472 G2474:G2478 G2480:G2484 G2486:G2490 G2492:G2496 G2498:G2502 G2504:G2508 G2510:G2514 G2516:G2520 G2522:G2526 G2528:G2532 G2534:G2538 G2540:G2544 G2546:G2550 G2552:G2556 G2558:G2562 G2564:G2568 G2570:G2574 G2576:G2580 G2582:G2586 G2588:G2592 G2594:G2598 G2600:G2603 G2625:G2629 G2636:G2640 G2642:G2646 G2648:G2652 G2654:G2658 G2660:G2664 G2666:G2670 G2672:G2676 G2678:G2682 G2684:G2688 G2690:G2694 G2696:G2700 G2702:G2706 G2708:G2712 G2714:G2718 G2720:G2724 G2726:G2730 G2732:G2736 G2738:G2742 G2744:G2748 G2750:G2754 G2756:G2760 G2781:G2785 G2787:G2791 G2793:G2797 G2799:G2803 G2805:G2809 G2811:G2815 G2817:G2821 G2823:G2827 G2829:G2833 G2835:G2839 G2841:G2845 G2847:G2851 G2853:G2857 G2859:G2863 G2865:G2869 G2871:G2875 G2877:G2881 G2883:G2887 G2889:G2893 G2895:G2899 G2901:G2905 G2907:G2911 G2913:G2917 G2946:G2950 G2952:G2957 G2959:G2963 G2965:G2969 G2971:G2975 G2977:G2981 G2983:G2987 G2989:G2993 G2995:G2999 G3001:G3005 G3007:G3011 G3013:G3017 G3019:G3023 G3025:G3029 G3031:G3035 G3037:G3041 G3043:G3047 G3049:G3053 G3055:G3059 G3061:G3065 G3067:G3071 G3073:G3077 G3079:G3083 G3098:G3102 G3104:G3108 G3110:G3114 G3116:G3120 G3122:G3126 G3128:G3132 G3134:G3138 G3140:G3144 G3146:G3150 G3152:G3156 G3158:G3162 G3164:G3168 G3170:G3174 G3176:G3180 G3182:G3186 G3188:G3192 G3194:G3198 G3200:G3204 G3206:G3210 G3212:G3216 G3218:G3222 G3224:G3228 G3230:G3234 G3250:G3254 G3256:G3260 G3262:G3266 G3268:G3272 G3274:G3278 G3280:G3284 G3286:G3290 G3292:G3296 G3298:G3302 G3304:G3308 G3310:G3314 G3316:G3320 G3322:G3326 G3328:G3332 G3334:G3338 G3340:G3344 G3346:G3350 G3352:G3356 G3358:G3362 G3364:G3368 G3370:G3374 G3376:G3380 G3382:G3386 G3388:G3392 G3236:G3248 G3085:G3096 G2919:G2944 G2762:G2779 G2605:G2623 G3517:G3521 G3465:G3469 G3505:G3509 G3511:G3515 G3491:G3495 G3476:G3477 G3479:G3483 G3485:G3489 G3424:G3425 G3413:G3417 G3401:G3405 G3407:G3411 G3439:G3443 G3427:G3431 G3433:G3437 G3453:G3457 G3459:G3463 G2322:G2466 G3531:G3535 G3537:G3541 G3543:G3547 G3502:G3503 G3450:G3451 G3398:G3399 G3419:G3422 G3394:G3396 G3445:G3448 G3471:G3474 G3497:G3500 G3523:G3526 G3528:G3529 F1916 G1750:G1915 G1917:G2291 G2:G425 G547:G1171 G2631:G2634 G3549:G1048576</xm:sqref>
        </x14:dataValidation>
        <x14:dataValidation type="list" allowBlank="1" showInputMessage="1" showErrorMessage="1" promptTitle="select project for the sample" prompt="Only the finest subsample will need this. If a whole organism is split into multiple parts for multiple projects, only record the individual part for the project for this field. Leave this field empty for the whole organism sample." xr:uid="{C21492E7-CCB1-8046-859E-F01C4F782EAD}">
          <x14:formula1>
            <xm:f>'Drop-down_menus'!$H$2:$H$12</xm:f>
          </x14:formula1>
          <xm:sqref>Q2:Q1382 Q1751:Q1048576</xm:sqref>
        </x14:dataValidation>
        <x14:dataValidation type="list" errorStyle="warning" allowBlank="1" showInputMessage="1" showErrorMessage="1" errorTitle="Name not in range" prompt="Person who recorded the original sample data" xr:uid="{566D1093-3E28-1140-BFAA-A78F07AC289B}">
          <x14:formula1>
            <xm:f>'Drop-down_menus'!$D$2:$D$10</xm:f>
          </x14:formula1>
          <xm:sqref>O1750 O1592 O1634 O1751:P2291 O2:P1382 O2322:P1048576</xm:sqref>
        </x14:dataValidation>
        <x14:dataValidation type="list" allowBlank="1" showErrorMessage="1" xr:uid="{00000000-0002-0000-0100-000004000000}">
          <x14:formula1>
            <xm:f>'Drop-down_menus'!$F$2:$F$11</xm:f>
          </x14:formula1>
          <xm:sqref>AA2:AA1008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726F9-C797-B04B-B422-1CAD75322F1F}">
  <dimension ref="A1:AH28"/>
  <sheetViews>
    <sheetView zoomScale="130" zoomScaleNormal="130" workbookViewId="0">
      <selection activeCell="B2" sqref="B2"/>
    </sheetView>
  </sheetViews>
  <sheetFormatPr baseColWidth="10" defaultColWidth="11.3984375" defaultRowHeight="14"/>
  <cols>
    <col min="1" max="1" width="18.796875" customWidth="1"/>
    <col min="2" max="2" width="9.796875" bestFit="1" customWidth="1"/>
    <col min="3" max="3" width="8.796875" bestFit="1" customWidth="1"/>
    <col min="4" max="4" width="17.19921875" bestFit="1" customWidth="1"/>
    <col min="5" max="5" width="22.3984375" bestFit="1" customWidth="1"/>
    <col min="6" max="6" width="16.19921875" customWidth="1"/>
    <col min="7" max="7" width="15" customWidth="1"/>
    <col min="8" max="8" width="15.19921875" bestFit="1" customWidth="1"/>
    <col min="9" max="9" width="14.19921875" bestFit="1" customWidth="1"/>
    <col min="10" max="10" width="13.59765625" bestFit="1" customWidth="1"/>
    <col min="11" max="11" width="15.796875" bestFit="1" customWidth="1"/>
    <col min="12" max="12" width="20.19921875" bestFit="1" customWidth="1"/>
    <col min="13" max="13" width="14.796875" bestFit="1" customWidth="1"/>
    <col min="14" max="14" width="13" bestFit="1" customWidth="1"/>
    <col min="15" max="15" width="11.59765625" bestFit="1" customWidth="1"/>
    <col min="16" max="16" width="8" bestFit="1" customWidth="1"/>
    <col min="17" max="17" width="12.796875" bestFit="1" customWidth="1"/>
    <col min="18" max="18" width="10.796875" bestFit="1" customWidth="1"/>
  </cols>
  <sheetData>
    <row r="1" spans="1:34" ht="48">
      <c r="A1" s="43" t="s">
        <v>145</v>
      </c>
      <c r="B1" s="43" t="s">
        <v>146</v>
      </c>
      <c r="C1" s="43" t="s">
        <v>0</v>
      </c>
      <c r="D1" s="43" t="s">
        <v>147</v>
      </c>
      <c r="E1" s="43" t="s">
        <v>148</v>
      </c>
      <c r="F1" s="43" t="s">
        <v>149</v>
      </c>
      <c r="G1" s="43" t="s">
        <v>150</v>
      </c>
      <c r="H1" s="43" t="s">
        <v>151</v>
      </c>
      <c r="I1" s="43" t="s">
        <v>152</v>
      </c>
      <c r="J1" s="43" t="s">
        <v>153</v>
      </c>
      <c r="K1" s="43" t="s">
        <v>154</v>
      </c>
      <c r="L1" s="43" t="s">
        <v>155</v>
      </c>
      <c r="M1" s="43" t="s">
        <v>156</v>
      </c>
      <c r="N1" s="43" t="s">
        <v>157</v>
      </c>
      <c r="O1" s="43" t="s">
        <v>158</v>
      </c>
      <c r="P1" s="43" t="s">
        <v>159</v>
      </c>
      <c r="Q1" s="43" t="s">
        <v>160</v>
      </c>
      <c r="R1" s="43" t="s">
        <v>161</v>
      </c>
      <c r="S1" s="43" t="s">
        <v>162</v>
      </c>
      <c r="T1" s="43" t="s">
        <v>163</v>
      </c>
      <c r="U1" s="43" t="s">
        <v>164</v>
      </c>
      <c r="V1" s="43" t="s">
        <v>165</v>
      </c>
      <c r="W1" s="43" t="s">
        <v>166</v>
      </c>
      <c r="X1" s="43" t="s">
        <v>167</v>
      </c>
      <c r="Y1" s="43" t="s">
        <v>168</v>
      </c>
      <c r="Z1" s="43" t="s">
        <v>169</v>
      </c>
      <c r="AA1" s="43" t="s">
        <v>170</v>
      </c>
      <c r="AB1" s="42"/>
      <c r="AC1" s="42"/>
      <c r="AD1" s="42"/>
      <c r="AE1" s="42"/>
      <c r="AF1" s="42"/>
      <c r="AG1" s="42"/>
      <c r="AH1" s="42"/>
    </row>
    <row r="2" spans="1:34" s="13" customFormat="1" ht="13.5" customHeight="1">
      <c r="B2" s="13">
        <v>200</v>
      </c>
      <c r="C2" s="14" t="s">
        <v>101</v>
      </c>
      <c r="D2" s="14" t="s">
        <v>204</v>
      </c>
      <c r="E2" s="14"/>
      <c r="G2" s="14"/>
      <c r="H2" s="14" t="s">
        <v>58</v>
      </c>
      <c r="I2" s="14" t="s">
        <v>231</v>
      </c>
      <c r="K2" s="15"/>
      <c r="L2" s="15"/>
      <c r="M2" s="14" t="s">
        <v>232</v>
      </c>
      <c r="N2" s="14" t="s">
        <v>30</v>
      </c>
      <c r="O2" s="14" t="s">
        <v>46</v>
      </c>
      <c r="S2" s="14"/>
      <c r="T2" s="14"/>
      <c r="U2" s="14"/>
      <c r="V2" s="14"/>
      <c r="W2" s="14"/>
      <c r="X2" s="14"/>
      <c r="Y2" s="14"/>
      <c r="Z2" s="14"/>
    </row>
    <row r="3" spans="1:34">
      <c r="A3">
        <v>200</v>
      </c>
      <c r="B3" s="2" t="s">
        <v>535</v>
      </c>
      <c r="C3" s="14" t="s">
        <v>101</v>
      </c>
      <c r="D3" s="2" t="s">
        <v>172</v>
      </c>
      <c r="E3" s="2" t="s">
        <v>268</v>
      </c>
      <c r="K3" s="15" t="s">
        <v>205</v>
      </c>
      <c r="L3" s="15"/>
    </row>
    <row r="4" spans="1:34">
      <c r="A4">
        <v>200</v>
      </c>
      <c r="B4" s="2" t="s">
        <v>535</v>
      </c>
      <c r="C4" s="14" t="s">
        <v>101</v>
      </c>
      <c r="D4" s="2" t="s">
        <v>172</v>
      </c>
      <c r="E4" s="2" t="s">
        <v>519</v>
      </c>
      <c r="K4" s="15" t="s">
        <v>205</v>
      </c>
      <c r="L4" s="15"/>
    </row>
    <row r="5" spans="1:34">
      <c r="A5">
        <v>200</v>
      </c>
      <c r="B5" s="2" t="s">
        <v>535</v>
      </c>
      <c r="C5" s="14" t="s">
        <v>101</v>
      </c>
      <c r="D5" s="2" t="s">
        <v>172</v>
      </c>
      <c r="E5" s="2" t="s">
        <v>268</v>
      </c>
      <c r="K5" s="15" t="s">
        <v>205</v>
      </c>
      <c r="L5" s="15"/>
    </row>
    <row r="6" spans="1:34">
      <c r="A6">
        <v>200</v>
      </c>
      <c r="B6" s="2" t="s">
        <v>535</v>
      </c>
      <c r="C6" s="14" t="s">
        <v>101</v>
      </c>
      <c r="D6" s="2" t="s">
        <v>172</v>
      </c>
      <c r="E6" s="2" t="s">
        <v>519</v>
      </c>
      <c r="K6" s="15" t="s">
        <v>205</v>
      </c>
      <c r="L6" s="15"/>
    </row>
    <row r="7" spans="1:34">
      <c r="A7">
        <v>200</v>
      </c>
      <c r="B7" s="2" t="s">
        <v>535</v>
      </c>
      <c r="C7" s="14" t="s">
        <v>101</v>
      </c>
      <c r="D7" s="2" t="s">
        <v>172</v>
      </c>
      <c r="E7" s="2" t="s">
        <v>268</v>
      </c>
      <c r="K7" s="15" t="s">
        <v>205</v>
      </c>
      <c r="L7" s="15"/>
    </row>
    <row r="8" spans="1:34">
      <c r="A8">
        <v>200</v>
      </c>
      <c r="B8" s="2" t="s">
        <v>535</v>
      </c>
      <c r="C8" s="14" t="s">
        <v>101</v>
      </c>
      <c r="D8" s="2" t="s">
        <v>172</v>
      </c>
      <c r="E8" s="2" t="s">
        <v>519</v>
      </c>
      <c r="K8" s="15" t="s">
        <v>205</v>
      </c>
      <c r="L8" s="15"/>
    </row>
    <row r="9" spans="1:34">
      <c r="A9">
        <v>200</v>
      </c>
      <c r="B9" s="2" t="s">
        <v>535</v>
      </c>
      <c r="C9" s="14" t="s">
        <v>101</v>
      </c>
      <c r="D9" s="2" t="s">
        <v>172</v>
      </c>
      <c r="E9" s="2" t="s">
        <v>268</v>
      </c>
      <c r="K9" s="15" t="s">
        <v>205</v>
      </c>
      <c r="L9" s="15"/>
    </row>
    <row r="10" spans="1:34">
      <c r="A10">
        <v>200</v>
      </c>
      <c r="B10" s="2" t="s">
        <v>535</v>
      </c>
      <c r="C10" s="14" t="s">
        <v>101</v>
      </c>
      <c r="D10" s="2" t="s">
        <v>172</v>
      </c>
      <c r="E10" s="2" t="s">
        <v>519</v>
      </c>
      <c r="K10" s="15" t="s">
        <v>205</v>
      </c>
      <c r="L10" s="15"/>
    </row>
    <row r="11" spans="1:34">
      <c r="A11">
        <v>200</v>
      </c>
      <c r="B11" s="2" t="s">
        <v>535</v>
      </c>
      <c r="C11" s="14" t="s">
        <v>101</v>
      </c>
      <c r="D11" s="2" t="s">
        <v>172</v>
      </c>
      <c r="E11" s="2" t="s">
        <v>268</v>
      </c>
      <c r="K11" s="15" t="s">
        <v>205</v>
      </c>
      <c r="L11" s="15"/>
    </row>
    <row r="12" spans="1:34">
      <c r="A12">
        <v>200</v>
      </c>
      <c r="B12" s="2" t="s">
        <v>535</v>
      </c>
      <c r="C12" s="14" t="s">
        <v>101</v>
      </c>
      <c r="D12" s="2" t="s">
        <v>172</v>
      </c>
      <c r="E12" s="2" t="s">
        <v>519</v>
      </c>
      <c r="K12" s="15" t="s">
        <v>205</v>
      </c>
      <c r="L12" s="15"/>
    </row>
    <row r="13" spans="1:34">
      <c r="A13">
        <v>200</v>
      </c>
      <c r="B13" s="2" t="s">
        <v>535</v>
      </c>
      <c r="C13" s="14" t="s">
        <v>101</v>
      </c>
      <c r="D13" s="2" t="s">
        <v>172</v>
      </c>
      <c r="E13" s="2" t="s">
        <v>268</v>
      </c>
      <c r="K13" s="15" t="s">
        <v>205</v>
      </c>
      <c r="L13" s="15"/>
    </row>
    <row r="14" spans="1:34">
      <c r="A14">
        <v>200</v>
      </c>
      <c r="B14" s="2" t="s">
        <v>535</v>
      </c>
      <c r="C14" s="14" t="s">
        <v>101</v>
      </c>
      <c r="D14" s="2" t="s">
        <v>172</v>
      </c>
      <c r="E14" s="2" t="s">
        <v>519</v>
      </c>
      <c r="K14" s="15" t="s">
        <v>205</v>
      </c>
      <c r="L14" s="15"/>
    </row>
    <row r="15" spans="1:34">
      <c r="A15">
        <v>200</v>
      </c>
      <c r="B15" s="2" t="s">
        <v>535</v>
      </c>
      <c r="C15" s="14" t="s">
        <v>101</v>
      </c>
      <c r="D15" s="2" t="s">
        <v>172</v>
      </c>
      <c r="E15" s="2" t="s">
        <v>268</v>
      </c>
      <c r="K15" s="15" t="s">
        <v>205</v>
      </c>
      <c r="L15" s="15"/>
    </row>
    <row r="16" spans="1:34">
      <c r="A16">
        <v>200</v>
      </c>
      <c r="B16" s="2" t="s">
        <v>535</v>
      </c>
      <c r="C16" s="14" t="s">
        <v>101</v>
      </c>
      <c r="D16" s="2" t="s">
        <v>172</v>
      </c>
      <c r="E16" s="2" t="s">
        <v>519</v>
      </c>
      <c r="K16" s="15" t="s">
        <v>205</v>
      </c>
      <c r="L16" s="15"/>
    </row>
    <row r="17" spans="1:12">
      <c r="A17">
        <v>200</v>
      </c>
      <c r="B17" s="2" t="s">
        <v>535</v>
      </c>
      <c r="C17" s="14" t="s">
        <v>101</v>
      </c>
      <c r="D17" s="2" t="s">
        <v>224</v>
      </c>
      <c r="E17" s="2" t="s">
        <v>268</v>
      </c>
      <c r="K17" s="15" t="s">
        <v>536</v>
      </c>
      <c r="L17" s="15" t="s">
        <v>537</v>
      </c>
    </row>
    <row r="18" spans="1:12">
      <c r="A18">
        <v>200</v>
      </c>
      <c r="B18" s="2" t="s">
        <v>535</v>
      </c>
      <c r="C18" s="14" t="s">
        <v>101</v>
      </c>
      <c r="D18" s="2" t="s">
        <v>224</v>
      </c>
      <c r="E18" s="2" t="s">
        <v>538</v>
      </c>
      <c r="K18" s="15" t="s">
        <v>536</v>
      </c>
      <c r="L18" s="15" t="s">
        <v>539</v>
      </c>
    </row>
    <row r="19" spans="1:12">
      <c r="A19">
        <v>200</v>
      </c>
      <c r="B19" s="2" t="s">
        <v>535</v>
      </c>
      <c r="C19" s="14" t="s">
        <v>101</v>
      </c>
      <c r="D19" s="2" t="s">
        <v>224</v>
      </c>
      <c r="E19" s="2" t="s">
        <v>519</v>
      </c>
      <c r="K19" s="15" t="s">
        <v>536</v>
      </c>
      <c r="L19" s="15" t="s">
        <v>540</v>
      </c>
    </row>
    <row r="20" spans="1:12">
      <c r="A20">
        <v>200</v>
      </c>
      <c r="B20" s="2" t="s">
        <v>535</v>
      </c>
      <c r="C20" s="14" t="s">
        <v>101</v>
      </c>
      <c r="D20" s="2" t="s">
        <v>224</v>
      </c>
      <c r="E20" s="2" t="s">
        <v>541</v>
      </c>
      <c r="K20" s="15" t="s">
        <v>536</v>
      </c>
      <c r="L20" s="15" t="s">
        <v>539</v>
      </c>
    </row>
    <row r="21" spans="1:12">
      <c r="A21">
        <v>200</v>
      </c>
      <c r="B21" s="2" t="s">
        <v>535</v>
      </c>
      <c r="C21" s="14" t="s">
        <v>101</v>
      </c>
      <c r="D21" s="2" t="s">
        <v>542</v>
      </c>
      <c r="E21" s="2" t="s">
        <v>268</v>
      </c>
      <c r="K21" s="15" t="s">
        <v>536</v>
      </c>
      <c r="L21" s="15" t="s">
        <v>543</v>
      </c>
    </row>
    <row r="22" spans="1:12">
      <c r="A22">
        <v>200</v>
      </c>
      <c r="B22" s="2" t="s">
        <v>535</v>
      </c>
      <c r="C22" s="14" t="s">
        <v>101</v>
      </c>
      <c r="D22" s="2" t="s">
        <v>542</v>
      </c>
      <c r="E22" s="2" t="s">
        <v>519</v>
      </c>
      <c r="K22" s="15" t="s">
        <v>544</v>
      </c>
      <c r="L22" s="15" t="s">
        <v>545</v>
      </c>
    </row>
    <row r="23" spans="1:12">
      <c r="A23">
        <v>200</v>
      </c>
      <c r="B23" s="2" t="s">
        <v>535</v>
      </c>
      <c r="C23" s="14" t="s">
        <v>101</v>
      </c>
      <c r="D23" s="2" t="s">
        <v>224</v>
      </c>
      <c r="E23" s="2" t="s">
        <v>538</v>
      </c>
      <c r="K23" s="15" t="s">
        <v>536</v>
      </c>
      <c r="L23" s="15" t="s">
        <v>546</v>
      </c>
    </row>
    <row r="24" spans="1:12">
      <c r="A24">
        <v>200</v>
      </c>
      <c r="B24" s="2" t="s">
        <v>535</v>
      </c>
      <c r="C24" s="14" t="s">
        <v>101</v>
      </c>
      <c r="D24" s="2" t="s">
        <v>224</v>
      </c>
      <c r="E24" s="2" t="s">
        <v>541</v>
      </c>
      <c r="K24" s="15" t="s">
        <v>536</v>
      </c>
      <c r="L24" s="15" t="s">
        <v>539</v>
      </c>
    </row>
    <row r="25" spans="1:12">
      <c r="A25">
        <v>200</v>
      </c>
      <c r="B25" s="2" t="s">
        <v>535</v>
      </c>
      <c r="C25" s="14" t="s">
        <v>101</v>
      </c>
      <c r="D25" s="2" t="s">
        <v>224</v>
      </c>
      <c r="E25" s="2" t="s">
        <v>538</v>
      </c>
      <c r="K25" s="15" t="s">
        <v>536</v>
      </c>
      <c r="L25" s="15" t="s">
        <v>539</v>
      </c>
    </row>
    <row r="26" spans="1:12">
      <c r="A26">
        <v>200</v>
      </c>
      <c r="B26" s="2" t="s">
        <v>535</v>
      </c>
      <c r="C26" s="14" t="s">
        <v>101</v>
      </c>
      <c r="D26" s="2" t="s">
        <v>224</v>
      </c>
      <c r="E26" s="2" t="s">
        <v>541</v>
      </c>
      <c r="K26" s="15" t="s">
        <v>536</v>
      </c>
      <c r="L26" s="15" t="s">
        <v>539</v>
      </c>
    </row>
    <row r="27" spans="1:12">
      <c r="A27">
        <v>200</v>
      </c>
      <c r="B27" s="2" t="s">
        <v>535</v>
      </c>
      <c r="C27" s="14" t="s">
        <v>101</v>
      </c>
      <c r="D27" s="2" t="s">
        <v>547</v>
      </c>
      <c r="E27" s="2" t="s">
        <v>548</v>
      </c>
      <c r="K27" s="15" t="s">
        <v>255</v>
      </c>
      <c r="L27" s="15"/>
    </row>
    <row r="28" spans="1:12">
      <c r="A28">
        <v>200</v>
      </c>
      <c r="C28" s="14" t="s">
        <v>101</v>
      </c>
      <c r="D28" s="2" t="s">
        <v>224</v>
      </c>
      <c r="E28" s="2" t="s">
        <v>549</v>
      </c>
      <c r="K28" s="15" t="s">
        <v>544</v>
      </c>
      <c r="L28" s="15" t="s">
        <v>550</v>
      </c>
    </row>
  </sheetData>
  <phoneticPr fontId="12" type="noConversion"/>
  <dataValidations count="3">
    <dataValidation allowBlank="1" showInputMessage="1" showErrorMessage="1" prompt="A brief phrase or a standard term (&quot;cf.&quot;, &quot;aff.&quot;) to express the determiner's doubts about the Identification. " sqref="R2" xr:uid="{804BBA52-AF32-704A-A5F7-F917ED98A55F}"/>
    <dataValidation operator="greaterThan" allowBlank="1" showInputMessage="1" showErrorMessage="1" sqref="S2:Y2" xr:uid="{96FA757B-ABF2-5E4F-8630-3D9F189754BF}"/>
    <dataValidation operator="greaterThan" allowBlank="1" showInputMessage="1" showErrorMessage="1" prompt="Abundance - Integer &gt; 0_x000a__x000a_Darwin core supl. info:_x000a_The number of individuals represented_x000a_present at the time of the Occurrence." sqref="G2" xr:uid="{D693D54D-DC59-0E41-BAEB-5E3709CF77C5}"/>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errorStyle="warning" allowBlank="1" showInputMessage="1" showErrorMessage="1" errorTitle="Name not in range" prompt="Person who recorded the original sample data" xr:uid="{46A650DC-F2FE-5F48-A074-06A65D8B97D2}">
          <x14:formula1>
            <xm:f>'Drop-down_menus'!$D$2:$D$10</xm:f>
          </x14:formula1>
          <xm:sqref>N2:O2</xm:sqref>
        </x14:dataValidation>
        <x14:dataValidation type="list" allowBlank="1" showInputMessage="1" showErrorMessage="1" promptTitle="select project for the sample" prompt="Only the finest subsample will need this. If a whole organism is split into multiple parts for multiple projects, only record the individual part for the project for this field. Leave this field empty for the whole organism sample." xr:uid="{5F3A6ECD-FC75-C842-BEB4-33009D549250}">
          <x14:formula1>
            <xm:f>'Drop-down_menus'!$H$2:$H$12</xm:f>
          </x14:formula1>
          <xm:sqref>P2</xm:sqref>
        </x14:dataValidation>
        <x14:dataValidation type="list" allowBlank="1" showErrorMessage="1" xr:uid="{FA948D44-66A0-744D-BC5E-D66EB93BCADD}">
          <x14:formula1>
            <xm:f>'Drop-down_menus'!$F$2:$F$11</xm:f>
          </x14:formula1>
          <xm:sqref>Z2</xm:sqref>
        </x14:dataValidation>
        <x14:dataValidation type="list" allowBlank="1" showInputMessage="1" showErrorMessage="1" errorTitle="eventID invalid" error="The sample must associated with an event in event sheet" prompt="The eventID where the sample is associated with. Must be an eventID in the event sheet" xr:uid="{D8B8A859-F98A-3340-B021-42B58FDDBA5B}">
          <x14:formula1>
            <xm:f>Events!$B$2:$B$998</xm:f>
          </x14:formula1>
          <xm:sqref>G2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1000"/>
  <sheetViews>
    <sheetView workbookViewId="0"/>
  </sheetViews>
  <sheetFormatPr baseColWidth="10" defaultColWidth="14.3984375" defaultRowHeight="15" customHeight="1"/>
  <cols>
    <col min="1" max="26" width="9" customWidth="1"/>
  </cols>
  <sheetData>
    <row r="1" spans="1:2" ht="13.5" customHeight="1">
      <c r="A1" s="2" t="s">
        <v>551</v>
      </c>
      <c r="B1" s="2" t="s">
        <v>552</v>
      </c>
    </row>
    <row r="2" spans="1:2" ht="13.5" customHeight="1">
      <c r="A2" s="2" t="s">
        <v>553</v>
      </c>
      <c r="B2" s="2" t="s">
        <v>554</v>
      </c>
    </row>
    <row r="3" spans="1:2" ht="13.5" customHeight="1">
      <c r="A3" s="2" t="s">
        <v>555</v>
      </c>
      <c r="B3" s="2" t="s">
        <v>556</v>
      </c>
    </row>
    <row r="4" spans="1:2" ht="13.5" customHeight="1">
      <c r="A4" s="2" t="s">
        <v>557</v>
      </c>
      <c r="B4" s="2" t="s">
        <v>558</v>
      </c>
    </row>
    <row r="5" spans="1:2" ht="13.5" customHeight="1">
      <c r="A5" s="2" t="s">
        <v>558</v>
      </c>
      <c r="B5" s="2" t="s">
        <v>559</v>
      </c>
    </row>
    <row r="6" spans="1:2" ht="13.5" customHeight="1">
      <c r="A6" s="2" t="s">
        <v>560</v>
      </c>
      <c r="B6" s="2" t="s">
        <v>561</v>
      </c>
    </row>
    <row r="7" spans="1:2" ht="13.5" customHeight="1">
      <c r="A7" s="2" t="s">
        <v>562</v>
      </c>
      <c r="B7" s="2" t="s">
        <v>563</v>
      </c>
    </row>
    <row r="8" spans="1:2" ht="13.5" customHeight="1">
      <c r="A8" s="2" t="s">
        <v>564</v>
      </c>
      <c r="B8" s="2" t="s">
        <v>565</v>
      </c>
    </row>
    <row r="9" spans="1:2" ht="13.5" customHeight="1">
      <c r="A9" s="2" t="s">
        <v>566</v>
      </c>
      <c r="B9" s="2" t="s">
        <v>567</v>
      </c>
    </row>
    <row r="10" spans="1:2" ht="13.5" customHeight="1">
      <c r="A10" s="2" t="s">
        <v>568</v>
      </c>
      <c r="B10" s="2" t="s">
        <v>569</v>
      </c>
    </row>
    <row r="11" spans="1:2" ht="13.5" customHeight="1">
      <c r="A11" s="2" t="s">
        <v>570</v>
      </c>
      <c r="B11" s="2" t="s">
        <v>571</v>
      </c>
    </row>
    <row r="12" spans="1:2" ht="13.5" customHeight="1">
      <c r="A12" s="2" t="s">
        <v>572</v>
      </c>
      <c r="B12" s="2" t="s">
        <v>573</v>
      </c>
    </row>
    <row r="13" spans="1:2" ht="13.5" customHeight="1">
      <c r="A13" s="2" t="s">
        <v>574</v>
      </c>
      <c r="B13" s="2" t="s">
        <v>575</v>
      </c>
    </row>
    <row r="14" spans="1:2" ht="13.5" customHeight="1">
      <c r="A14" s="2" t="s">
        <v>576</v>
      </c>
      <c r="B14" s="2" t="s">
        <v>577</v>
      </c>
    </row>
    <row r="15" spans="1:2" ht="13.5" customHeight="1">
      <c r="A15" s="2" t="s">
        <v>578</v>
      </c>
      <c r="B15" s="2" t="s">
        <v>579</v>
      </c>
    </row>
    <row r="16" spans="1:2" ht="13.5" customHeight="1">
      <c r="A16" s="2" t="s">
        <v>580</v>
      </c>
      <c r="B16" s="2" t="s">
        <v>581</v>
      </c>
    </row>
    <row r="17" spans="1:2" ht="13.5" customHeight="1">
      <c r="A17" s="2" t="s">
        <v>582</v>
      </c>
      <c r="B17" s="2" t="s">
        <v>583</v>
      </c>
    </row>
    <row r="18" spans="1:2" ht="13.5" customHeight="1">
      <c r="A18" s="2" t="s">
        <v>584</v>
      </c>
      <c r="B18" s="2" t="s">
        <v>585</v>
      </c>
    </row>
    <row r="19" spans="1:2" ht="13.5" customHeight="1">
      <c r="A19" s="2" t="s">
        <v>586</v>
      </c>
      <c r="B19" s="2" t="s">
        <v>587</v>
      </c>
    </row>
    <row r="20" spans="1:2" ht="13.5" customHeight="1">
      <c r="A20" s="2" t="s">
        <v>588</v>
      </c>
      <c r="B20" s="2" t="s">
        <v>589</v>
      </c>
    </row>
    <row r="21" spans="1:2" ht="13.5" customHeight="1">
      <c r="A21" s="2" t="s">
        <v>590</v>
      </c>
      <c r="B21" s="2" t="s">
        <v>580</v>
      </c>
    </row>
    <row r="22" spans="1:2" ht="13.5" customHeight="1">
      <c r="A22" s="2" t="s">
        <v>591</v>
      </c>
      <c r="B22" s="2" t="s">
        <v>592</v>
      </c>
    </row>
    <row r="23" spans="1:2" ht="13.5" customHeight="1">
      <c r="A23" s="2" t="s">
        <v>593</v>
      </c>
      <c r="B23" s="2" t="s">
        <v>594</v>
      </c>
    </row>
    <row r="24" spans="1:2" ht="13.5" customHeight="1">
      <c r="A24" s="2" t="s">
        <v>595</v>
      </c>
      <c r="B24" s="2" t="s">
        <v>596</v>
      </c>
    </row>
    <row r="25" spans="1:2" ht="13.5" customHeight="1">
      <c r="A25" s="2" t="s">
        <v>597</v>
      </c>
      <c r="B25" s="2" t="s">
        <v>598</v>
      </c>
    </row>
    <row r="26" spans="1:2" ht="13.5" customHeight="1">
      <c r="A26" s="2" t="s">
        <v>599</v>
      </c>
      <c r="B26" s="2" t="s">
        <v>600</v>
      </c>
    </row>
    <row r="27" spans="1:2" ht="13.5" customHeight="1">
      <c r="A27" s="2" t="s">
        <v>601</v>
      </c>
      <c r="B27" s="2" t="s">
        <v>602</v>
      </c>
    </row>
    <row r="28" spans="1:2" ht="13.5" customHeight="1">
      <c r="A28" s="2" t="s">
        <v>603</v>
      </c>
      <c r="B28" s="2" t="s">
        <v>604</v>
      </c>
    </row>
    <row r="29" spans="1:2" ht="13.5" customHeight="1">
      <c r="A29" s="2" t="s">
        <v>605</v>
      </c>
      <c r="B29" s="2" t="s">
        <v>606</v>
      </c>
    </row>
    <row r="30" spans="1:2" ht="13.5" customHeight="1">
      <c r="A30" s="2" t="s">
        <v>607</v>
      </c>
      <c r="B30" s="2" t="s">
        <v>608</v>
      </c>
    </row>
    <row r="31" spans="1:2" ht="13.5" customHeight="1">
      <c r="A31" s="2" t="s">
        <v>609</v>
      </c>
      <c r="B31" s="2" t="s">
        <v>610</v>
      </c>
    </row>
    <row r="32" spans="1:2" ht="13.5" customHeight="1">
      <c r="A32" s="2" t="s">
        <v>276</v>
      </c>
      <c r="B32" s="2" t="s">
        <v>611</v>
      </c>
    </row>
    <row r="33" spans="1:2" ht="13.5" customHeight="1">
      <c r="A33" s="2" t="s">
        <v>612</v>
      </c>
      <c r="B33" s="2" t="s">
        <v>613</v>
      </c>
    </row>
    <row r="34" spans="1:2" ht="13.5" customHeight="1">
      <c r="A34" s="2" t="s">
        <v>614</v>
      </c>
      <c r="B34" s="2" t="s">
        <v>615</v>
      </c>
    </row>
    <row r="35" spans="1:2" ht="13.5" customHeight="1">
      <c r="A35" s="2" t="s">
        <v>616</v>
      </c>
      <c r="B35" s="2" t="s">
        <v>617</v>
      </c>
    </row>
    <row r="36" spans="1:2" ht="13.5" customHeight="1">
      <c r="A36" s="2" t="s">
        <v>618</v>
      </c>
      <c r="B36" s="2" t="s">
        <v>619</v>
      </c>
    </row>
    <row r="37" spans="1:2" ht="13.5" customHeight="1">
      <c r="A37" s="2" t="s">
        <v>620</v>
      </c>
      <c r="B37" s="2" t="s">
        <v>621</v>
      </c>
    </row>
    <row r="38" spans="1:2" ht="13.5" customHeight="1">
      <c r="A38" s="2" t="s">
        <v>622</v>
      </c>
      <c r="B38" s="2" t="s">
        <v>623</v>
      </c>
    </row>
    <row r="39" spans="1:2" ht="13.5" customHeight="1">
      <c r="A39" s="2" t="s">
        <v>624</v>
      </c>
      <c r="B39" s="2" t="s">
        <v>625</v>
      </c>
    </row>
    <row r="40" spans="1:2" ht="13.5" customHeight="1">
      <c r="A40" s="2" t="s">
        <v>626</v>
      </c>
      <c r="B40" s="2" t="s">
        <v>627</v>
      </c>
    </row>
    <row r="41" spans="1:2" ht="13.5" customHeight="1">
      <c r="A41" s="2" t="s">
        <v>628</v>
      </c>
      <c r="B41" s="2" t="s">
        <v>629</v>
      </c>
    </row>
    <row r="42" spans="1:2" ht="13.5" customHeight="1">
      <c r="A42" s="2" t="s">
        <v>630</v>
      </c>
      <c r="B42" s="2" t="s">
        <v>631</v>
      </c>
    </row>
    <row r="43" spans="1:2" ht="13.5" customHeight="1">
      <c r="A43" s="2" t="s">
        <v>632</v>
      </c>
      <c r="B43" s="2" t="s">
        <v>633</v>
      </c>
    </row>
    <row r="44" spans="1:2" ht="13.5" customHeight="1">
      <c r="A44" s="2" t="s">
        <v>634</v>
      </c>
      <c r="B44" s="2" t="s">
        <v>635</v>
      </c>
    </row>
    <row r="45" spans="1:2" ht="13.5" customHeight="1">
      <c r="A45" s="2" t="s">
        <v>636</v>
      </c>
      <c r="B45" s="2" t="s">
        <v>637</v>
      </c>
    </row>
    <row r="46" spans="1:2" ht="13.5" customHeight="1">
      <c r="A46" s="2" t="s">
        <v>638</v>
      </c>
      <c r="B46" s="2" t="s">
        <v>639</v>
      </c>
    </row>
    <row r="47" spans="1:2" ht="13.5" customHeight="1">
      <c r="A47" s="2" t="s">
        <v>640</v>
      </c>
      <c r="B47" s="2" t="s">
        <v>641</v>
      </c>
    </row>
    <row r="48" spans="1:2" ht="13.5" customHeight="1">
      <c r="A48" s="2" t="s">
        <v>642</v>
      </c>
      <c r="B48" s="2" t="s">
        <v>643</v>
      </c>
    </row>
    <row r="49" spans="1:2" ht="13.5" customHeight="1">
      <c r="A49" s="2" t="s">
        <v>644</v>
      </c>
      <c r="B49" s="2" t="s">
        <v>645</v>
      </c>
    </row>
    <row r="50" spans="1:2" ht="13.5" customHeight="1">
      <c r="A50" s="2" t="s">
        <v>646</v>
      </c>
      <c r="B50" s="2" t="s">
        <v>647</v>
      </c>
    </row>
    <row r="51" spans="1:2" ht="13.5" customHeight="1">
      <c r="A51" s="2" t="s">
        <v>648</v>
      </c>
      <c r="B51" s="2" t="s">
        <v>649</v>
      </c>
    </row>
    <row r="52" spans="1:2" ht="13.5" customHeight="1">
      <c r="A52" s="2" t="s">
        <v>650</v>
      </c>
      <c r="B52" s="2" t="s">
        <v>651</v>
      </c>
    </row>
    <row r="53" spans="1:2" ht="13.5" customHeight="1">
      <c r="A53" s="2" t="s">
        <v>652</v>
      </c>
      <c r="B53" s="2" t="s">
        <v>653</v>
      </c>
    </row>
    <row r="54" spans="1:2" ht="13.5" customHeight="1">
      <c r="A54" s="2" t="s">
        <v>654</v>
      </c>
      <c r="B54" s="2" t="s">
        <v>655</v>
      </c>
    </row>
    <row r="55" spans="1:2" ht="13.5" customHeight="1">
      <c r="A55" s="2" t="s">
        <v>656</v>
      </c>
      <c r="B55" s="2" t="s">
        <v>657</v>
      </c>
    </row>
    <row r="56" spans="1:2" ht="13.5" customHeight="1">
      <c r="A56" s="2" t="s">
        <v>658</v>
      </c>
      <c r="B56" s="2" t="s">
        <v>659</v>
      </c>
    </row>
    <row r="57" spans="1:2" ht="13.5" customHeight="1">
      <c r="A57" s="2" t="s">
        <v>660</v>
      </c>
      <c r="B57" s="2" t="s">
        <v>661</v>
      </c>
    </row>
    <row r="58" spans="1:2" ht="13.5" customHeight="1">
      <c r="A58" s="2" t="s">
        <v>662</v>
      </c>
      <c r="B58" s="2" t="s">
        <v>663</v>
      </c>
    </row>
    <row r="59" spans="1:2" ht="13.5" customHeight="1">
      <c r="A59" s="2" t="s">
        <v>664</v>
      </c>
      <c r="B59" s="2" t="s">
        <v>665</v>
      </c>
    </row>
    <row r="60" spans="1:2" ht="13.5" customHeight="1">
      <c r="A60" s="2" t="s">
        <v>666</v>
      </c>
      <c r="B60" s="2" t="s">
        <v>667</v>
      </c>
    </row>
    <row r="61" spans="1:2" ht="13.5" customHeight="1">
      <c r="A61" s="2" t="s">
        <v>668</v>
      </c>
      <c r="B61" s="2" t="s">
        <v>669</v>
      </c>
    </row>
    <row r="62" spans="1:2" ht="13.5" customHeight="1">
      <c r="A62" s="2" t="s">
        <v>670</v>
      </c>
      <c r="B62" s="2" t="s">
        <v>671</v>
      </c>
    </row>
    <row r="63" spans="1:2" ht="13.5" customHeight="1">
      <c r="A63" s="2" t="s">
        <v>621</v>
      </c>
      <c r="B63" s="2" t="s">
        <v>672</v>
      </c>
    </row>
    <row r="64" spans="1:2" ht="13.5" customHeight="1">
      <c r="A64" s="2" t="s">
        <v>673</v>
      </c>
      <c r="B64" s="2" t="s">
        <v>674</v>
      </c>
    </row>
    <row r="65" spans="1:2" ht="13.5" customHeight="1">
      <c r="A65" s="2" t="s">
        <v>675</v>
      </c>
      <c r="B65" s="2" t="s">
        <v>676</v>
      </c>
    </row>
    <row r="66" spans="1:2" ht="13.5" customHeight="1">
      <c r="A66" s="2" t="s">
        <v>677</v>
      </c>
      <c r="B66" s="2" t="s">
        <v>678</v>
      </c>
    </row>
    <row r="67" spans="1:2" ht="13.5" customHeight="1">
      <c r="A67" s="2" t="s">
        <v>679</v>
      </c>
      <c r="B67" s="2" t="s">
        <v>680</v>
      </c>
    </row>
    <row r="68" spans="1:2" ht="13.5" customHeight="1">
      <c r="A68" s="2" t="s">
        <v>681</v>
      </c>
      <c r="B68" s="2" t="s">
        <v>682</v>
      </c>
    </row>
    <row r="69" spans="1:2" ht="13.5" customHeight="1">
      <c r="A69" s="2" t="s">
        <v>683</v>
      </c>
      <c r="B69" s="2" t="s">
        <v>684</v>
      </c>
    </row>
    <row r="70" spans="1:2" ht="13.5" customHeight="1">
      <c r="A70" s="2" t="s">
        <v>685</v>
      </c>
      <c r="B70" s="2" t="s">
        <v>686</v>
      </c>
    </row>
    <row r="71" spans="1:2" ht="13.5" customHeight="1">
      <c r="A71" s="2" t="s">
        <v>687</v>
      </c>
      <c r="B71" s="2" t="s">
        <v>688</v>
      </c>
    </row>
    <row r="72" spans="1:2" ht="13.5" customHeight="1">
      <c r="A72" s="2" t="s">
        <v>689</v>
      </c>
      <c r="B72" s="2" t="s">
        <v>690</v>
      </c>
    </row>
    <row r="73" spans="1:2" ht="13.5" customHeight="1">
      <c r="A73" s="2" t="s">
        <v>691</v>
      </c>
      <c r="B73" s="2" t="s">
        <v>692</v>
      </c>
    </row>
    <row r="74" spans="1:2" ht="13.5" customHeight="1">
      <c r="A74" s="2" t="s">
        <v>693</v>
      </c>
      <c r="B74" s="2" t="s">
        <v>694</v>
      </c>
    </row>
    <row r="75" spans="1:2" ht="13.5" customHeight="1">
      <c r="A75" s="2" t="s">
        <v>695</v>
      </c>
      <c r="B75" s="2" t="s">
        <v>696</v>
      </c>
    </row>
    <row r="76" spans="1:2" ht="13.5" customHeight="1">
      <c r="A76" s="2" t="s">
        <v>697</v>
      </c>
      <c r="B76" s="2" t="s">
        <v>698</v>
      </c>
    </row>
    <row r="77" spans="1:2" ht="13.5" customHeight="1">
      <c r="A77" s="2" t="s">
        <v>699</v>
      </c>
      <c r="B77" s="2"/>
    </row>
    <row r="78" spans="1:2" ht="13.5" customHeight="1">
      <c r="A78" s="2" t="s">
        <v>700</v>
      </c>
    </row>
    <row r="79" spans="1:2" ht="13.5" customHeight="1">
      <c r="A79" s="2" t="s">
        <v>700</v>
      </c>
    </row>
    <row r="80" spans="1:2" ht="13.5" customHeight="1">
      <c r="A80" s="2" t="s">
        <v>701</v>
      </c>
    </row>
    <row r="81" spans="1:1" ht="13.5" customHeight="1">
      <c r="A81" s="2" t="s">
        <v>702</v>
      </c>
    </row>
    <row r="82" spans="1:1" ht="13.5" customHeight="1">
      <c r="A82" s="2" t="s">
        <v>703</v>
      </c>
    </row>
    <row r="83" spans="1:1" ht="13.5" customHeight="1">
      <c r="A83" s="2" t="s">
        <v>704</v>
      </c>
    </row>
    <row r="84" spans="1:1" ht="13.5" customHeight="1">
      <c r="A84" s="2" t="s">
        <v>705</v>
      </c>
    </row>
    <row r="85" spans="1:1" ht="13.5" customHeight="1">
      <c r="A85" s="2" t="s">
        <v>706</v>
      </c>
    </row>
    <row r="86" spans="1:1" ht="13.5" customHeight="1">
      <c r="A86" s="2" t="s">
        <v>707</v>
      </c>
    </row>
    <row r="87" spans="1:1" ht="13.5" customHeight="1">
      <c r="A87" s="2" t="s">
        <v>708</v>
      </c>
    </row>
    <row r="88" spans="1:1" ht="13.5" customHeight="1">
      <c r="A88" s="2" t="s">
        <v>709</v>
      </c>
    </row>
    <row r="89" spans="1:1" ht="13.5" customHeight="1">
      <c r="A89" s="2" t="s">
        <v>710</v>
      </c>
    </row>
    <row r="90" spans="1:1" ht="13.5" customHeight="1">
      <c r="A90" s="2" t="s">
        <v>711</v>
      </c>
    </row>
    <row r="91" spans="1:1" ht="13.5" customHeight="1">
      <c r="A91" s="2" t="s">
        <v>712</v>
      </c>
    </row>
    <row r="92" spans="1:1" ht="13.5" customHeight="1">
      <c r="A92" s="2" t="s">
        <v>519</v>
      </c>
    </row>
    <row r="93" spans="1:1" ht="13.5" customHeight="1">
      <c r="A93" s="2" t="s">
        <v>713</v>
      </c>
    </row>
    <row r="94" spans="1:1" ht="13.5" customHeight="1">
      <c r="A94" s="2" t="s">
        <v>714</v>
      </c>
    </row>
    <row r="95" spans="1:1" ht="13.5" customHeight="1">
      <c r="A95" s="2" t="s">
        <v>715</v>
      </c>
    </row>
    <row r="96" spans="1:1" ht="13.5" customHeight="1">
      <c r="A96" s="2" t="s">
        <v>716</v>
      </c>
    </row>
    <row r="97" spans="1:1" ht="13.5" customHeight="1">
      <c r="A97" s="2" t="s">
        <v>717</v>
      </c>
    </row>
    <row r="98" spans="1:1" ht="13.5" customHeight="1">
      <c r="A98" s="2" t="s">
        <v>718</v>
      </c>
    </row>
    <row r="99" spans="1:1" ht="13.5" customHeight="1">
      <c r="A99" s="2" t="s">
        <v>719</v>
      </c>
    </row>
    <row r="100" spans="1:1" ht="13.5" customHeight="1">
      <c r="A100" s="2" t="s">
        <v>720</v>
      </c>
    </row>
    <row r="101" spans="1:1" ht="13.5" customHeight="1">
      <c r="A101" s="2" t="s">
        <v>721</v>
      </c>
    </row>
    <row r="102" spans="1:1" ht="13.5" customHeight="1">
      <c r="A102" s="2" t="s">
        <v>722</v>
      </c>
    </row>
    <row r="103" spans="1:1" ht="13.5" customHeight="1">
      <c r="A103" s="2" t="s">
        <v>723</v>
      </c>
    </row>
    <row r="104" spans="1:1" ht="13.5" customHeight="1">
      <c r="A104" s="2" t="s">
        <v>724</v>
      </c>
    </row>
    <row r="105" spans="1:1" ht="13.5" customHeight="1">
      <c r="A105" s="2" t="s">
        <v>725</v>
      </c>
    </row>
    <row r="106" spans="1:1" ht="13.5" customHeight="1">
      <c r="A106" s="2" t="s">
        <v>726</v>
      </c>
    </row>
    <row r="107" spans="1:1" ht="13.5" customHeight="1">
      <c r="A107" s="2" t="s">
        <v>727</v>
      </c>
    </row>
    <row r="108" spans="1:1" ht="13.5" customHeight="1">
      <c r="A108" s="2" t="s">
        <v>728</v>
      </c>
    </row>
    <row r="109" spans="1:1" ht="13.5" customHeight="1">
      <c r="A109" s="2" t="s">
        <v>729</v>
      </c>
    </row>
    <row r="110" spans="1:1" ht="13.5" customHeight="1">
      <c r="A110" s="2" t="s">
        <v>730</v>
      </c>
    </row>
    <row r="111" spans="1:1" ht="13.5" customHeight="1">
      <c r="A111" s="2" t="s">
        <v>731</v>
      </c>
    </row>
    <row r="112" spans="1:1" ht="13.5" customHeight="1">
      <c r="A112" s="2" t="s">
        <v>732</v>
      </c>
    </row>
    <row r="113" spans="1:1" ht="13.5" customHeight="1">
      <c r="A113" s="2" t="s">
        <v>733</v>
      </c>
    </row>
    <row r="114" spans="1:1" ht="13.5" customHeight="1">
      <c r="A114" s="2" t="s">
        <v>734</v>
      </c>
    </row>
    <row r="115" spans="1:1" ht="13.5" customHeight="1">
      <c r="A115" s="2" t="s">
        <v>735</v>
      </c>
    </row>
    <row r="116" spans="1:1" ht="13.5" customHeight="1">
      <c r="A116" s="2" t="s">
        <v>736</v>
      </c>
    </row>
    <row r="117" spans="1:1" ht="13.5" customHeight="1">
      <c r="A117" s="2" t="s">
        <v>737</v>
      </c>
    </row>
    <row r="118" spans="1:1" ht="13.5" customHeight="1">
      <c r="A118" s="2" t="s">
        <v>738</v>
      </c>
    </row>
    <row r="119" spans="1:1" ht="13.5" customHeight="1">
      <c r="A119" s="2" t="s">
        <v>739</v>
      </c>
    </row>
    <row r="120" spans="1:1" ht="13.5" customHeight="1">
      <c r="A120" s="2" t="s">
        <v>740</v>
      </c>
    </row>
    <row r="121" spans="1:1" ht="13.5" customHeight="1">
      <c r="A121" s="2" t="s">
        <v>741</v>
      </c>
    </row>
    <row r="122" spans="1:1" ht="13.5" customHeight="1">
      <c r="A122" s="2" t="s">
        <v>742</v>
      </c>
    </row>
    <row r="123" spans="1:1" ht="13.5" customHeight="1">
      <c r="A123" s="2" t="s">
        <v>743</v>
      </c>
    </row>
    <row r="124" spans="1:1" ht="13.5" customHeight="1">
      <c r="A124" s="2" t="s">
        <v>744</v>
      </c>
    </row>
    <row r="125" spans="1:1" ht="13.5" customHeight="1">
      <c r="A125" s="2" t="s">
        <v>745</v>
      </c>
    </row>
    <row r="126" spans="1:1" ht="13.5" customHeight="1">
      <c r="A126" s="2" t="s">
        <v>746</v>
      </c>
    </row>
    <row r="127" spans="1:1" ht="13.5" customHeight="1">
      <c r="A127" s="2" t="s">
        <v>747</v>
      </c>
    </row>
    <row r="128" spans="1:1" ht="13.5" customHeight="1">
      <c r="A128" s="2" t="s">
        <v>748</v>
      </c>
    </row>
    <row r="129" spans="1:1" ht="13.5" customHeight="1">
      <c r="A129" s="2" t="s">
        <v>749</v>
      </c>
    </row>
    <row r="130" spans="1:1" ht="13.5" customHeight="1">
      <c r="A130" s="2" t="s">
        <v>750</v>
      </c>
    </row>
    <row r="131" spans="1:1" ht="13.5" customHeight="1">
      <c r="A131" s="2" t="s">
        <v>751</v>
      </c>
    </row>
    <row r="132" spans="1:1" ht="13.5" customHeight="1">
      <c r="A132" s="2" t="s">
        <v>752</v>
      </c>
    </row>
    <row r="133" spans="1:1" ht="13.5" customHeight="1">
      <c r="A133" s="2" t="s">
        <v>753</v>
      </c>
    </row>
    <row r="134" spans="1:1" ht="13.5" customHeight="1">
      <c r="A134" s="2" t="s">
        <v>754</v>
      </c>
    </row>
    <row r="135" spans="1:1" ht="13.5" customHeight="1">
      <c r="A135" s="2" t="s">
        <v>755</v>
      </c>
    </row>
    <row r="136" spans="1:1" ht="13.5" customHeight="1">
      <c r="A136" s="2" t="s">
        <v>756</v>
      </c>
    </row>
    <row r="137" spans="1:1" ht="13.5" customHeight="1">
      <c r="A137" s="2" t="s">
        <v>757</v>
      </c>
    </row>
    <row r="138" spans="1:1" ht="13.5" customHeight="1">
      <c r="A138" s="2" t="s">
        <v>758</v>
      </c>
    </row>
    <row r="139" spans="1:1" ht="13.5" customHeight="1">
      <c r="A139" s="2" t="s">
        <v>759</v>
      </c>
    </row>
    <row r="140" spans="1:1" ht="13.5" customHeight="1">
      <c r="A140" s="2" t="s">
        <v>760</v>
      </c>
    </row>
    <row r="141" spans="1:1" ht="13.5" customHeight="1"/>
    <row r="142" spans="1:1" ht="13.5" customHeight="1"/>
    <row r="143" spans="1:1" ht="13.5" customHeight="1"/>
    <row r="144" spans="1:1"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W1003"/>
  <sheetViews>
    <sheetView zoomScale="130" zoomScaleNormal="130" workbookViewId="0">
      <selection activeCell="D3" sqref="D3"/>
    </sheetView>
  </sheetViews>
  <sheetFormatPr baseColWidth="10" defaultColWidth="14.3984375" defaultRowHeight="15" customHeight="1"/>
  <cols>
    <col min="1" max="1" width="31.796875" bestFit="1" customWidth="1"/>
    <col min="2" max="2" width="19" customWidth="1"/>
    <col min="3" max="3" width="20.59765625" customWidth="1"/>
    <col min="4" max="4" width="19.796875" customWidth="1"/>
    <col min="5" max="5" width="35.796875" customWidth="1"/>
    <col min="6" max="6" width="10.796875" customWidth="1"/>
    <col min="7" max="7" width="15.796875" customWidth="1"/>
    <col min="8" max="23" width="10.796875" customWidth="1"/>
  </cols>
  <sheetData>
    <row r="1" spans="1:23" ht="13.5" customHeight="1">
      <c r="A1" s="5" t="s">
        <v>551</v>
      </c>
      <c r="B1" s="5" t="s">
        <v>761</v>
      </c>
      <c r="C1" s="5" t="s">
        <v>762</v>
      </c>
      <c r="D1" s="5" t="s">
        <v>763</v>
      </c>
      <c r="E1" s="5" t="s">
        <v>764</v>
      </c>
      <c r="F1" s="5" t="s">
        <v>169</v>
      </c>
      <c r="G1" s="5" t="s">
        <v>765</v>
      </c>
      <c r="H1" s="5" t="s">
        <v>766</v>
      </c>
      <c r="I1" s="5"/>
      <c r="J1" s="5"/>
      <c r="K1" s="5"/>
      <c r="L1" s="5"/>
      <c r="M1" s="5"/>
      <c r="N1" s="5"/>
      <c r="O1" s="5"/>
      <c r="P1" s="5"/>
      <c r="Q1" s="5"/>
      <c r="R1" s="5"/>
      <c r="S1" s="5"/>
      <c r="T1" s="5"/>
      <c r="U1" s="5"/>
      <c r="V1" s="5"/>
      <c r="W1" s="5"/>
    </row>
    <row r="2" spans="1:23" ht="13.5" customHeight="1">
      <c r="A2" s="2" t="s">
        <v>767</v>
      </c>
      <c r="B2" s="2" t="s">
        <v>768</v>
      </c>
      <c r="C2" s="2" t="s">
        <v>769</v>
      </c>
      <c r="D2" t="s">
        <v>43</v>
      </c>
      <c r="E2" s="11" t="s">
        <v>770</v>
      </c>
      <c r="F2" s="2" t="s">
        <v>771</v>
      </c>
      <c r="G2" s="9" t="s">
        <v>772</v>
      </c>
      <c r="H2" s="6" t="s">
        <v>773</v>
      </c>
    </row>
    <row r="3" spans="1:23" ht="13.5" customHeight="1">
      <c r="A3" s="2" t="s">
        <v>774</v>
      </c>
      <c r="B3" s="2" t="s">
        <v>775</v>
      </c>
      <c r="C3" s="6" t="s">
        <v>314</v>
      </c>
      <c r="D3" s="2" t="s">
        <v>143</v>
      </c>
      <c r="E3" s="8" t="s">
        <v>776</v>
      </c>
      <c r="F3" s="2" t="s">
        <v>777</v>
      </c>
      <c r="G3" s="7" t="s">
        <v>778</v>
      </c>
      <c r="H3" s="6" t="s">
        <v>779</v>
      </c>
    </row>
    <row r="4" spans="1:23" ht="13.5" customHeight="1">
      <c r="A4" s="2" t="s">
        <v>780</v>
      </c>
      <c r="B4" s="2" t="s">
        <v>781</v>
      </c>
      <c r="C4" s="2" t="s">
        <v>782</v>
      </c>
      <c r="D4" s="2" t="s">
        <v>113</v>
      </c>
      <c r="E4" s="9" t="s">
        <v>783</v>
      </c>
      <c r="F4" s="2" t="s">
        <v>784</v>
      </c>
      <c r="G4" s="7" t="s">
        <v>785</v>
      </c>
      <c r="H4" s="6" t="s">
        <v>786</v>
      </c>
    </row>
    <row r="5" spans="1:23" ht="13.5" customHeight="1">
      <c r="A5" s="2" t="s">
        <v>787</v>
      </c>
      <c r="C5" s="2" t="s">
        <v>788</v>
      </c>
      <c r="D5" s="16" t="s">
        <v>30</v>
      </c>
      <c r="E5" s="9" t="s">
        <v>789</v>
      </c>
      <c r="H5" s="6" t="s">
        <v>790</v>
      </c>
    </row>
    <row r="6" spans="1:23" ht="13.5" customHeight="1">
      <c r="A6" s="2" t="s">
        <v>533</v>
      </c>
      <c r="C6" s="2" t="s">
        <v>791</v>
      </c>
      <c r="D6" t="s">
        <v>50</v>
      </c>
      <c r="E6" s="9" t="s">
        <v>792</v>
      </c>
      <c r="H6" s="6" t="s">
        <v>793</v>
      </c>
    </row>
    <row r="7" spans="1:23" ht="13.5" customHeight="1">
      <c r="A7" s="2" t="s">
        <v>794</v>
      </c>
      <c r="C7" s="2" t="s">
        <v>330</v>
      </c>
      <c r="D7" t="s">
        <v>47</v>
      </c>
      <c r="E7" s="11" t="s">
        <v>770</v>
      </c>
      <c r="H7" s="6" t="s">
        <v>795</v>
      </c>
    </row>
    <row r="8" spans="1:23" ht="13.5" customHeight="1">
      <c r="A8" s="2" t="s">
        <v>796</v>
      </c>
      <c r="C8" s="2" t="s">
        <v>255</v>
      </c>
      <c r="D8" t="s">
        <v>58</v>
      </c>
      <c r="E8" s="8" t="s">
        <v>797</v>
      </c>
      <c r="H8" s="6" t="s">
        <v>645</v>
      </c>
    </row>
    <row r="9" spans="1:23" ht="13.5" customHeight="1">
      <c r="A9" s="2" t="s">
        <v>798</v>
      </c>
      <c r="C9" s="2" t="s">
        <v>799</v>
      </c>
      <c r="D9" t="s">
        <v>46</v>
      </c>
      <c r="E9" s="11" t="s">
        <v>770</v>
      </c>
      <c r="H9" s="6" t="s">
        <v>800</v>
      </c>
    </row>
    <row r="10" spans="1:23" ht="13.5" customHeight="1">
      <c r="A10" s="2" t="s">
        <v>781</v>
      </c>
      <c r="C10" s="16"/>
      <c r="D10" s="16" t="s">
        <v>35</v>
      </c>
      <c r="E10" s="8" t="s">
        <v>801</v>
      </c>
      <c r="H10" s="6" t="s">
        <v>802</v>
      </c>
    </row>
    <row r="11" spans="1:23" ht="13.5" customHeight="1">
      <c r="A11" s="2" t="s">
        <v>803</v>
      </c>
      <c r="C11" s="16"/>
      <c r="D11" s="2" t="s">
        <v>804</v>
      </c>
      <c r="H11" s="6" t="s">
        <v>805</v>
      </c>
    </row>
    <row r="12" spans="1:23" ht="13.5" customHeight="1">
      <c r="A12" s="2" t="s">
        <v>806</v>
      </c>
      <c r="D12" s="2" t="s">
        <v>231</v>
      </c>
      <c r="H12" s="6" t="s">
        <v>807</v>
      </c>
    </row>
    <row r="13" spans="1:23" ht="13.5" customHeight="1">
      <c r="A13" s="2" t="s">
        <v>808</v>
      </c>
      <c r="D13" s="2" t="s">
        <v>62</v>
      </c>
    </row>
    <row r="14" spans="1:23" ht="13.5" customHeight="1">
      <c r="A14" s="2" t="s">
        <v>809</v>
      </c>
      <c r="D14" s="2" t="s">
        <v>810</v>
      </c>
    </row>
    <row r="15" spans="1:23" ht="13.5" customHeight="1">
      <c r="A15" s="2" t="s">
        <v>811</v>
      </c>
    </row>
    <row r="16" spans="1:23" ht="13.5" customHeight="1">
      <c r="A16" s="2" t="s">
        <v>812</v>
      </c>
    </row>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sheetData>
  <sortState xmlns:xlrd2="http://schemas.microsoft.com/office/spreadsheetml/2017/richdata2" ref="D3:D13">
    <sortCondition ref="D2:D13"/>
  </sortState>
  <hyperlinks>
    <hyperlink ref="G4" r:id="rId1" xr:uid="{00000000-0004-0000-0300-000001000000}"/>
    <hyperlink ref="G3" r:id="rId2" xr:uid="{00000000-0004-0000-0300-000003000000}"/>
    <hyperlink ref="E10" r:id="rId3" xr:uid="{00000000-0004-0000-0300-000005000000}"/>
    <hyperlink ref="E8" r:id="rId4" xr:uid="{00000000-0004-0000-0300-000008000000}"/>
    <hyperlink ref="E3" r:id="rId5" xr:uid="{00000000-0004-0000-0300-000009000000}"/>
    <hyperlink ref="G2" r:id="rId6" xr:uid="{F39C068F-905D-1B41-A46F-D5101AE1E5FE}"/>
    <hyperlink ref="E4" r:id="rId7" xr:uid="{A6E9D481-5C87-FF40-B04D-6D481591CAF5}"/>
    <hyperlink ref="E5" r:id="rId8" xr:uid="{AA62C199-0957-2D45-A7BD-2370D054BD23}"/>
    <hyperlink ref="E6" r:id="rId9" xr:uid="{47A569C5-3C72-B640-9614-66939446E409}"/>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A778D-A242-B244-816E-7457A47242DB}">
  <dimension ref="A1:B11"/>
  <sheetViews>
    <sheetView workbookViewId="0">
      <selection activeCell="B11" sqref="B11"/>
    </sheetView>
  </sheetViews>
  <sheetFormatPr baseColWidth="10" defaultColWidth="11.3984375" defaultRowHeight="14"/>
  <cols>
    <col min="2" max="2" width="29.19921875" bestFit="1" customWidth="1"/>
  </cols>
  <sheetData>
    <row r="1" spans="1:2">
      <c r="A1" s="2" t="s">
        <v>813</v>
      </c>
      <c r="B1" s="2" t="s">
        <v>814</v>
      </c>
    </row>
    <row r="2" spans="1:2">
      <c r="A2" s="2" t="s">
        <v>580</v>
      </c>
      <c r="B2" s="2" t="s">
        <v>815</v>
      </c>
    </row>
    <row r="3" spans="1:2">
      <c r="A3" s="2" t="s">
        <v>816</v>
      </c>
      <c r="B3" s="2" t="s">
        <v>594</v>
      </c>
    </row>
    <row r="4" spans="1:2">
      <c r="A4" s="2" t="s">
        <v>817</v>
      </c>
      <c r="B4" s="2" t="s">
        <v>818</v>
      </c>
    </row>
    <row r="5" spans="1:2">
      <c r="A5" s="2" t="s">
        <v>819</v>
      </c>
      <c r="B5" s="2" t="s">
        <v>820</v>
      </c>
    </row>
    <row r="6" spans="1:2">
      <c r="A6" s="2" t="s">
        <v>821</v>
      </c>
      <c r="B6" s="2" t="s">
        <v>635</v>
      </c>
    </row>
    <row r="7" spans="1:2">
      <c r="A7" s="2" t="s">
        <v>822</v>
      </c>
      <c r="B7" s="2" t="s">
        <v>823</v>
      </c>
    </row>
    <row r="8" spans="1:2">
      <c r="A8" s="2" t="s">
        <v>645</v>
      </c>
      <c r="B8" s="2" t="s">
        <v>824</v>
      </c>
    </row>
    <row r="9" spans="1:2">
      <c r="A9" s="2" t="s">
        <v>59</v>
      </c>
      <c r="B9" s="2" t="s">
        <v>825</v>
      </c>
    </row>
    <row r="10" spans="1:2">
      <c r="A10" s="2" t="s">
        <v>826</v>
      </c>
      <c r="B10" s="2" t="s">
        <v>827</v>
      </c>
    </row>
    <row r="11" spans="1:2">
      <c r="A11" s="2" t="s">
        <v>828</v>
      </c>
      <c r="B11" s="2" t="s">
        <v>829</v>
      </c>
    </row>
  </sheetData>
  <sortState xmlns:xlrd2="http://schemas.microsoft.com/office/spreadsheetml/2017/richdata2" ref="A1:A11">
    <sortCondition ref="A1:A11"/>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1000"/>
  <sheetViews>
    <sheetView workbookViewId="0">
      <selection activeCell="B9" sqref="B9"/>
    </sheetView>
  </sheetViews>
  <sheetFormatPr baseColWidth="10" defaultColWidth="14.3984375" defaultRowHeight="15" customHeight="1"/>
  <cols>
    <col min="1" max="3" width="30.796875" customWidth="1"/>
    <col min="4" max="26" width="9" customWidth="1"/>
  </cols>
  <sheetData>
    <row r="1" spans="1:2" ht="13.5" customHeight="1"/>
    <row r="2" spans="1:2" ht="13.5" customHeight="1">
      <c r="A2" s="17" t="s">
        <v>830</v>
      </c>
    </row>
    <row r="3" spans="1:2" ht="13.5" customHeight="1">
      <c r="A3" s="55" t="s">
        <v>831</v>
      </c>
      <c r="B3" s="56"/>
    </row>
    <row r="4" spans="1:2" ht="13.5" customHeight="1">
      <c r="A4" s="17" t="s">
        <v>832</v>
      </c>
    </row>
    <row r="5" spans="1:2" ht="13.5" customHeight="1">
      <c r="A5" s="17" t="s">
        <v>833</v>
      </c>
    </row>
    <row r="6" spans="1:2" ht="13.5" customHeight="1">
      <c r="A6" s="17" t="s">
        <v>834</v>
      </c>
    </row>
    <row r="7" spans="1:2" ht="13.5" customHeight="1">
      <c r="A7" s="18" t="s">
        <v>835</v>
      </c>
      <c r="B7" s="18">
        <f>B4+B5/60+B6/3600</f>
        <v>0</v>
      </c>
    </row>
    <row r="8" spans="1:2" ht="13.5" customHeight="1">
      <c r="A8" s="55" t="s">
        <v>836</v>
      </c>
      <c r="B8" s="56"/>
    </row>
    <row r="9" spans="1:2" ht="13.5" customHeight="1">
      <c r="A9" s="17" t="s">
        <v>832</v>
      </c>
      <c r="B9" s="2">
        <v>66</v>
      </c>
    </row>
    <row r="10" spans="1:2" ht="13.5" customHeight="1">
      <c r="A10" s="17" t="s">
        <v>837</v>
      </c>
      <c r="B10">
        <v>1.6E-2</v>
      </c>
    </row>
    <row r="11" spans="1:2" ht="13.5" customHeight="1">
      <c r="A11" s="18" t="s">
        <v>835</v>
      </c>
      <c r="B11" s="18">
        <f>B9+B10/60</f>
        <v>66.000266666666661</v>
      </c>
    </row>
    <row r="12" spans="1:2" ht="13.5" customHeight="1"/>
    <row r="13" spans="1:2" ht="13.5" customHeight="1"/>
    <row r="14" spans="1:2" ht="13.5" customHeight="1"/>
    <row r="15" spans="1:2" ht="13.5" customHeight="1"/>
    <row r="16" spans="1:2"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A3:B3"/>
    <mergeCell ref="A8:B8"/>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E3BAD-EA43-4CDD-A538-4D4840ABC670}">
  <dimension ref="A1:E8"/>
  <sheetViews>
    <sheetView workbookViewId="0">
      <selection activeCell="D6" sqref="D6"/>
    </sheetView>
  </sheetViews>
  <sheetFormatPr baseColWidth="10" defaultColWidth="9" defaultRowHeight="14"/>
  <cols>
    <col min="1" max="1" width="27.796875" customWidth="1"/>
    <col min="4" max="4" width="15.3984375" customWidth="1"/>
    <col min="5" max="5" width="12.19921875" customWidth="1"/>
  </cols>
  <sheetData>
    <row r="1" spans="1:5" ht="60">
      <c r="A1" s="19" t="s">
        <v>838</v>
      </c>
      <c r="B1" t="s">
        <v>159</v>
      </c>
      <c r="C1" t="s">
        <v>839</v>
      </c>
      <c r="D1" s="20" t="s">
        <v>840</v>
      </c>
      <c r="E1" s="19" t="s">
        <v>841</v>
      </c>
    </row>
    <row r="2" spans="1:5" ht="16">
      <c r="A2" s="10" t="s">
        <v>842</v>
      </c>
    </row>
    <row r="3" spans="1:5" ht="16">
      <c r="A3" s="10" t="s">
        <v>843</v>
      </c>
    </row>
    <row r="4" spans="1:5" ht="16">
      <c r="A4" s="10" t="s">
        <v>844</v>
      </c>
    </row>
    <row r="5" spans="1:5" ht="32">
      <c r="A5" s="10" t="s">
        <v>845</v>
      </c>
    </row>
    <row r="6" spans="1:5" ht="32">
      <c r="A6" s="10" t="s">
        <v>846</v>
      </c>
    </row>
    <row r="7" spans="1:5" ht="16">
      <c r="A7" s="10" t="s">
        <v>847</v>
      </c>
      <c r="D7" s="2" t="s">
        <v>848</v>
      </c>
    </row>
    <row r="8" spans="1:5" ht="16">
      <c r="A8" s="10" t="s">
        <v>849</v>
      </c>
      <c r="D8" t="s">
        <v>850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STATS_Digest</vt:lpstr>
      <vt:lpstr>STATS</vt:lpstr>
      <vt:lpstr>Events</vt:lpstr>
      <vt:lpstr>Samples</vt:lpstr>
      <vt:lpstr>Incubations</vt:lpstr>
      <vt:lpstr>Variables</vt:lpstr>
      <vt:lpstr>Drop-down_menus</vt:lpstr>
      <vt:lpstr>Abbreviations</vt:lpstr>
      <vt:lpstr>LatLong_converter</vt:lpstr>
      <vt:lpstr>SW_parameters</vt:lpstr>
      <vt:lpstr>STATS!Extract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DANIS Bruno</cp:lastModifiedBy>
  <cp:revision/>
  <dcterms:created xsi:type="dcterms:W3CDTF">2023-01-16T11:32:48Z</dcterms:created>
  <dcterms:modified xsi:type="dcterms:W3CDTF">2024-03-19T14:42:44Z</dcterms:modified>
  <cp:category/>
  <cp:contentStatus/>
</cp:coreProperties>
</file>